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Hitung Output" sheetId="2" r:id="rId6"/>
    <sheet state="visible" name="ADHK" sheetId="3" r:id="rId7"/>
    <sheet state="visible" name="ADHB" sheetId="4" r:id="rId8"/>
    <sheet state="visible" name="Rekap" sheetId="5" r:id="rId9"/>
  </sheets>
  <definedNames>
    <definedName name="H">#REF!</definedName>
    <definedName localSheetId="3" name="BERLAKU">#REF!</definedName>
    <definedName localSheetId="4" name="BERLAKU">#REF!</definedName>
    <definedName name="BERLAKU">#REF!</definedName>
  </definedNames>
  <calcPr/>
</workbook>
</file>

<file path=xl/sharedStrings.xml><?xml version="1.0" encoding="utf-8"?>
<sst xmlns="http://schemas.openxmlformats.org/spreadsheetml/2006/main" count="6018" uniqueCount="106">
  <si>
    <t>HOME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</si>
  <si>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</si>
  <si>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</si>
  <si>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</si>
  <si>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</si>
  <si>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</si>
  <si>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</si>
  <si>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</si>
  <si>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</si>
  <si>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</si>
  <si>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</si>
  <si>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</si>
  <si>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</si>
  <si>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</si>
  <si>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</si>
  <si>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</si>
  <si>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</si>
  <si>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</si>
  <si>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</si>
  <si>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</si>
  <si>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</si>
  <si>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</si>
  <si>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PENGHITUNGAN OUTPUT JASA PERTANIAN</t>
  </si>
  <si>
    <t>Kategori</t>
  </si>
  <si>
    <t>Uraian</t>
  </si>
  <si>
    <t>I</t>
  </si>
  <si>
    <t>II</t>
  </si>
  <si>
    <t>III</t>
  </si>
  <si>
    <t>IV</t>
  </si>
  <si>
    <t>Total</t>
  </si>
  <si>
    <t>A</t>
  </si>
  <si>
    <t>NTB ADHB subkategori penyusun</t>
  </si>
  <si>
    <t xml:space="preserve">a. Tanaman Pangan </t>
  </si>
  <si>
    <t>b. Tanaman Hortikultura Semusim</t>
  </si>
  <si>
    <t>c. Perkebunan Semusim</t>
  </si>
  <si>
    <t>d. Tanaman Hortikultura Tahunan &amp; Lainnya</t>
  </si>
  <si>
    <t>e. Perkebunan Tahunan</t>
  </si>
  <si>
    <t xml:space="preserve">f.  Peternakan </t>
  </si>
  <si>
    <t>B</t>
  </si>
  <si>
    <t>Rasio Input Antara</t>
  </si>
  <si>
    <t>C</t>
  </si>
  <si>
    <t>Output ADHB subkategori penyusun</t>
  </si>
  <si>
    <t>D</t>
  </si>
  <si>
    <t>NTB ADHK subkategori penyusun</t>
  </si>
  <si>
    <t>E</t>
  </si>
  <si>
    <t>F</t>
  </si>
  <si>
    <t>Output ADHK subkategori penyusun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</si>
  <si>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</si>
  <si>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</si>
  <si>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</si>
  <si>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</si>
  <si>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</si>
  <si>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</si>
  <si>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 xml:space="preserve">: Pertanian, Kehutanan, dan Perikanan   </t>
  </si>
  <si>
    <t>Nilai Tambah Bruto</t>
  </si>
  <si>
    <t xml:space="preserve">Subkategori </t>
  </si>
  <si>
    <t>: Pertanian, Peternakan, Perburuan dan Jasa Pertanian</t>
  </si>
  <si>
    <t>Atas Dasar Harga Konstan 2010=100</t>
  </si>
  <si>
    <t>Jenis Kegiatan</t>
  </si>
  <si>
    <t xml:space="preserve">: Jasa Pertanian, dan Perburuan  </t>
  </si>
  <si>
    <t>Metode Estimasi Output</t>
  </si>
  <si>
    <t xml:space="preserve">: Revaluasi </t>
  </si>
  <si>
    <t>No.</t>
  </si>
  <si>
    <t>Subkategori/Jenis Kegiatan/Uraian Komoditi</t>
  </si>
  <si>
    <t>Nilai Produksi Utama ADHK Subkategori  (Juta Rp)</t>
  </si>
  <si>
    <t>Rasio Jasa Pertanian Konstan</t>
  </si>
  <si>
    <t>Nilai  Jasa  Pertanian 
(3) X (4)</t>
  </si>
  <si>
    <t>Konsumsi Antara</t>
  </si>
  <si>
    <t>Nilai Tambah Bruto (Juta Rp) (5)-(7)</t>
  </si>
  <si>
    <t>Rasio Tahun 2010</t>
  </si>
  <si>
    <t>Nilai               
(Juta Rp)     
 (6)x(5)</t>
  </si>
  <si>
    <t>Tanaman Pangan</t>
  </si>
  <si>
    <t>Tanaman Hortikultura Semusim</t>
  </si>
  <si>
    <t>Perkebunan Semusim</t>
  </si>
  <si>
    <t>Tanaman Hortikultura Tahunan &amp; Lainnya</t>
  </si>
  <si>
    <t>Perkebunan Tahunan</t>
  </si>
  <si>
    <t>Peternakan</t>
  </si>
  <si>
    <t>Sub Jumlah</t>
  </si>
  <si>
    <t>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</si>
  <si>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</si>
  <si>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</si>
  <si>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</si>
  <si>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</si>
  <si>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</si>
  <si>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</si>
  <si>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</si>
  <si>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Nilai Produksi Utama ADHB Subkategori  (Juta Rp)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</si>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</sst>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_);\(0.0\)"/>
    <numFmt numFmtId="165" formatCode="0_);\(0\)"/>
    <numFmt numFmtId="166" formatCode="#,##0.0"/>
    <numFmt numFmtId="167" formatCode="#,##0.0000000000000000000"/>
    <numFmt numFmtId="168" formatCode="#,##0.000000000000000000"/>
    <numFmt numFmtId="169" formatCode="#,##0.0000"/>
    <numFmt numFmtId="170" formatCode="#,##0.00000000000000000"/>
    <numFmt numFmtId="171" formatCode="#,##0.000000000000"/>
    <numFmt numFmtId="172" formatCode="#,##0.0000000000000"/>
    <numFmt numFmtId="173" formatCode="#,##0.00000000000"/>
    <numFmt numFmtId="174" formatCode="#,##0.0000000000"/>
    <numFmt numFmtId="175" formatCode="#,##0.00000000000000"/>
    <numFmt numFmtId="176" formatCode="#,##0.0000000000000000"/>
    <numFmt numFmtId="177" formatCode="#,##0.000000000000000"/>
  </numFmts>
  <fonts count="51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sz val="12.0"/>
      <color theme="1"/>
      <name val="Calibri"/>
      <scheme val="minor"/>
    </font>
    <font>
      <b/>
      <sz val="12.0"/>
      <color theme="1"/>
      <name val="&quot;Arial Narrow&quot;"/>
    </font>
    <font>
      <b/>
      <sz val="8.0"/>
      <color theme="1"/>
      <name val="&quot;Arial Narrow&quot;"/>
    </font>
    <font>
      <color theme="1"/>
      <name val="&quot;Arial Narrow&quot;"/>
    </font>
    <font>
      <b/>
      <u/>
      <sz val="11.0"/>
      <color rgb="FF1155CC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1.0"/>
      <color rgb="FF1155CC"/>
      <name val="Calibri"/>
    </font>
    <font>
      <b/>
      <sz val="13.0"/>
      <color theme="1"/>
      <name val="Calibri"/>
      <scheme val="minor"/>
    </font>
    <font>
      <b/>
      <sz val="13.0"/>
      <color rgb="FFFF0000"/>
      <name val="Calibri"/>
      <scheme val="minor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sz val="11.0"/>
      <color rgb="FFFF0000"/>
      <name val="Calibri"/>
      <scheme val="minor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1.0"/>
      <color rgb="FFFF0000"/>
      <name val="Calibri"/>
      <scheme val="minor"/>
    </font>
    <font>
      <b/>
      <sz val="18.0"/>
      <color theme="1"/>
      <name val="Lucida fax"/>
    </font>
    <font>
      <b/>
      <sz val="11.0"/>
      <color theme="5"/>
      <name val="Calibri"/>
      <scheme val="minor"/>
    </font>
    <font>
      <b/>
      <sz val="11.0"/>
      <color rgb="FFC55A11"/>
      <name val="Calibri"/>
      <scheme val="minor"/>
    </font>
    <font>
      <sz val="11.0"/>
      <color theme="5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b/>
      <sz val="14.0"/>
      <color theme="1"/>
      <name val="Calibri"/>
      <scheme val="minor"/>
    </font>
    <font>
      <b/>
      <u/>
      <sz val="11.0"/>
      <color rgb="FF1155CC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</fills>
  <borders count="81">
    <border/>
    <border>
      <right/>
    </border>
    <border>
      <left style="thin">
        <color rgb="FFFFFF00"/>
      </left>
      <right style="thin">
        <color rgb="FFFFFF00"/>
      </right>
      <top style="thin">
        <color rgb="FFFFFF00"/>
      </top>
    </border>
    <border>
      <left style="thin">
        <color rgb="FFFFFF00"/>
      </left>
      <top style="thin">
        <color rgb="FFFFFF00"/>
      </top>
    </border>
    <border>
      <right style="thin">
        <color rgb="FFFFFF00"/>
      </right>
      <top style="thin">
        <color rgb="FFFFFF00"/>
      </top>
    </border>
    <border>
      <left style="thin">
        <color rgb="FFFFFF00"/>
      </left>
      <top style="thin">
        <color rgb="FFFFFF00"/>
      </top>
      <bottom style="thin">
        <color rgb="FFFFFF00"/>
      </bottom>
    </border>
    <border>
      <top style="thin">
        <color rgb="FFFFFF00"/>
      </top>
      <bottom style="thin">
        <color rgb="FFFFFF00"/>
      </bottom>
    </border>
    <border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</border>
    <border>
      <left style="thin">
        <color rgb="FFFFFF00"/>
      </left>
    </border>
    <border>
      <right style="thin">
        <color rgb="FFFFFF00"/>
      </right>
    </border>
    <border>
      <left style="thin">
        <color rgb="FFFFFF00"/>
      </left>
      <right style="thin">
        <color rgb="FFFFFF00"/>
      </right>
      <bottom style="thin">
        <color rgb="FFFFFF00"/>
      </bottom>
    </border>
    <border>
      <left style="thin">
        <color rgb="FFFFFF00"/>
      </left>
      <bottom style="thin">
        <color rgb="FFFFFF00"/>
      </bottom>
    </border>
    <border>
      <right style="thin">
        <color rgb="FFFFFF00"/>
      </right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/>
    </border>
    <border>
      <left style="hair">
        <color rgb="FF000000"/>
      </left>
      <right/>
      <top/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hair">
        <color rgb="FF000000"/>
      </left>
      <right/>
      <bottom style="medium">
        <color rgb="FF000000"/>
      </bottom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medium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medium">
        <color rgb="FF000000"/>
      </right>
      <top style="medium">
        <color rgb="FF7030A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0" fontId="17" numFmtId="0" xfId="0" applyAlignment="1" applyFont="1">
      <alignment readingOrder="0"/>
    </xf>
    <xf borderId="2" fillId="6" fontId="18" numFmtId="0" xfId="0" applyAlignment="1" applyBorder="1" applyFill="1" applyFont="1">
      <alignment horizontal="center" vertical="center"/>
    </xf>
    <xf borderId="3" fillId="6" fontId="18" numFmtId="0" xfId="0" applyAlignment="1" applyBorder="1" applyFont="1">
      <alignment horizontal="center" shrinkToFit="0" vertical="center" wrapText="1"/>
    </xf>
    <xf borderId="4" fillId="0" fontId="15" numFmtId="0" xfId="0" applyBorder="1" applyFont="1"/>
    <xf borderId="5" fillId="6" fontId="18" numFmtId="0" xfId="0" applyAlignment="1" applyBorder="1" applyFont="1">
      <alignment horizontal="center" vertical="center"/>
    </xf>
    <xf borderId="6" fillId="0" fontId="15" numFmtId="0" xfId="0" applyBorder="1" applyFont="1"/>
    <xf borderId="7" fillId="0" fontId="15" numFmtId="0" xfId="0" applyBorder="1" applyFont="1"/>
    <xf borderId="0" fillId="6" fontId="18" numFmtId="0" xfId="0" applyAlignment="1" applyFont="1">
      <alignment horizontal="center" vertical="center"/>
    </xf>
    <xf borderId="8" fillId="0" fontId="15" numFmtId="0" xfId="0" applyBorder="1" applyFont="1"/>
    <xf borderId="9" fillId="0" fontId="15" numFmtId="0" xfId="0" applyBorder="1" applyFont="1"/>
    <xf borderId="10" fillId="0" fontId="15" numFmtId="0" xfId="0" applyBorder="1" applyFont="1"/>
    <xf borderId="2" fillId="6" fontId="18" numFmtId="164" xfId="0" applyAlignment="1" applyBorder="1" applyFont="1" applyNumberFormat="1">
      <alignment horizontal="center" vertical="center"/>
    </xf>
    <xf borderId="11" fillId="0" fontId="15" numFmtId="0" xfId="0" applyBorder="1" applyFont="1"/>
    <xf borderId="12" fillId="0" fontId="15" numFmtId="0" xfId="0" applyBorder="1" applyFont="1"/>
    <xf borderId="13" fillId="0" fontId="15" numFmtId="0" xfId="0" applyBorder="1" applyFont="1"/>
    <xf borderId="14" fillId="6" fontId="19" numFmtId="165" xfId="0" applyAlignment="1" applyBorder="1" applyFont="1" applyNumberFormat="1">
      <alignment horizontal="center" vertical="center"/>
    </xf>
    <xf borderId="5" fillId="6" fontId="19" numFmtId="165" xfId="0" applyAlignment="1" applyBorder="1" applyFont="1" applyNumberFormat="1">
      <alignment horizontal="center" shrinkToFit="0" vertical="center" wrapText="1"/>
    </xf>
    <xf borderId="0" fillId="6" fontId="19" numFmtId="165" xfId="0" applyAlignment="1" applyFont="1" applyNumberFormat="1">
      <alignment horizontal="center" vertical="center"/>
    </xf>
    <xf borderId="15" fillId="3" fontId="4" numFmtId="165" xfId="0" applyBorder="1" applyFont="1" applyNumberFormat="1"/>
    <xf borderId="1" fillId="3" fontId="4" numFmtId="165" xfId="0" applyBorder="1" applyFont="1" applyNumberFormat="1"/>
    <xf borderId="0" fillId="3" fontId="4" numFmtId="165" xfId="0" applyFont="1" applyNumberFormat="1"/>
    <xf borderId="0" fillId="3" fontId="4" numFmtId="164" xfId="0" applyFont="1" applyNumberFormat="1"/>
    <xf borderId="0" fillId="0" fontId="18" numFmtId="0" xfId="0" applyAlignment="1" applyFont="1">
      <alignment horizontal="center" shrinkToFit="0" wrapText="1"/>
    </xf>
    <xf borderId="1" fillId="0" fontId="18" numFmtId="1" xfId="0" applyAlignment="1" applyBorder="1" applyFont="1" applyNumberFormat="1">
      <alignment readingOrder="0" shrinkToFit="0" wrapText="0"/>
    </xf>
    <xf borderId="0" fillId="0" fontId="4" numFmtId="166" xfId="0" applyFont="1" applyNumberFormat="1"/>
    <xf borderId="0" fillId="0" fontId="4" numFmtId="0" xfId="0" applyFont="1"/>
    <xf borderId="0" fillId="0" fontId="4" numFmtId="1" xfId="0" applyFont="1" applyNumberFormat="1"/>
    <xf borderId="0" fillId="0" fontId="20" numFmtId="166" xfId="0" applyFont="1" applyNumberFormat="1"/>
    <xf borderId="0" fillId="0" fontId="2" numFmtId="0" xfId="0" applyFont="1"/>
    <xf borderId="0" fillId="0" fontId="2" numFmtId="166" xfId="0" applyFont="1" applyNumberFormat="1"/>
    <xf borderId="0" fillId="0" fontId="2" numFmtId="167" xfId="0" applyFont="1" applyNumberFormat="1"/>
    <xf borderId="0" fillId="0" fontId="2" numFmtId="4" xfId="0" applyFont="1" applyNumberFormat="1"/>
    <xf borderId="0" fillId="0" fontId="2" numFmtId="168" xfId="0" applyFont="1" applyNumberFormat="1"/>
    <xf borderId="0" fillId="0" fontId="18" numFmtId="0" xfId="0" applyAlignment="1" applyFont="1">
      <alignment horizontal="center" readingOrder="0" shrinkToFit="0" wrapText="1"/>
    </xf>
    <xf borderId="0" fillId="0" fontId="2" numFmtId="169" xfId="0" applyAlignment="1" applyFont="1" applyNumberFormat="1">
      <alignment readingOrder="0"/>
    </xf>
    <xf borderId="0" fillId="0" fontId="2" numFmtId="169" xfId="0" applyFont="1" applyNumberFormat="1"/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1" numFmtId="0" xfId="0" applyAlignment="1" applyFont="1">
      <alignment readingOrder="0"/>
    </xf>
    <xf borderId="16" fillId="7" fontId="22" numFmtId="0" xfId="0" applyAlignment="1" applyBorder="1" applyFill="1" applyFont="1">
      <alignment horizontal="left" shrinkToFit="0" vertical="center" wrapText="1"/>
    </xf>
    <xf borderId="17" fillId="8" fontId="23" numFmtId="0" xfId="0" applyAlignment="1" applyBorder="1" applyFill="1" applyFont="1">
      <alignment horizontal="center" readingOrder="0"/>
    </xf>
    <xf borderId="18" fillId="8" fontId="24" numFmtId="0" xfId="0" applyAlignment="1" applyBorder="1" applyFont="1">
      <alignment horizontal="center" readingOrder="0"/>
    </xf>
    <xf borderId="19" fillId="9" fontId="25" numFmtId="0" xfId="0" applyAlignment="1" applyBorder="1" applyFill="1" applyFont="1">
      <alignment shrinkToFit="0" vertical="center" wrapText="1"/>
    </xf>
    <xf borderId="19" fillId="10" fontId="26" numFmtId="0" xfId="0" applyAlignment="1" applyBorder="1" applyFill="1" applyFont="1">
      <alignment shrinkToFit="0" vertical="center" wrapText="1"/>
    </xf>
    <xf borderId="0" fillId="0" fontId="0" numFmtId="0" xfId="0" applyAlignment="1" applyFont="1">
      <alignment horizontal="center"/>
    </xf>
    <xf borderId="0" fillId="0" fontId="0" numFmtId="0" xfId="0" applyFont="1"/>
    <xf borderId="0" fillId="0" fontId="25" numFmtId="0" xfId="0" applyAlignment="1" applyFont="1">
      <alignment shrinkToFit="0" vertical="center" wrapText="1"/>
    </xf>
    <xf borderId="20" fillId="0" fontId="15" numFmtId="0" xfId="0" applyBorder="1" applyFont="1"/>
    <xf borderId="21" fillId="8" fontId="27" numFmtId="0" xfId="0" applyAlignment="1" applyBorder="1" applyFont="1">
      <alignment horizontal="center" readingOrder="0"/>
    </xf>
    <xf borderId="22" fillId="8" fontId="28" numFmtId="0" xfId="0" applyAlignment="1" applyBorder="1" applyFont="1">
      <alignment horizontal="center" readingOrder="0"/>
    </xf>
    <xf borderId="22" fillId="8" fontId="29" numFmtId="0" xfId="0" applyAlignment="1" applyBorder="1" applyFont="1">
      <alignment horizontal="center" readingOrder="0"/>
    </xf>
    <xf borderId="19" fillId="10" fontId="30" numFmtId="0" xfId="0" applyBorder="1" applyFont="1"/>
    <xf borderId="23" fillId="11" fontId="31" numFmtId="0" xfId="0" applyBorder="1" applyFill="1" applyFont="1"/>
    <xf borderId="24" fillId="11" fontId="31" numFmtId="0" xfId="0" applyAlignment="1" applyBorder="1" applyFont="1">
      <alignment horizontal="left"/>
    </xf>
    <xf borderId="24" fillId="11" fontId="31" numFmtId="0" xfId="0" applyAlignment="1" applyBorder="1" applyFont="1">
      <alignment readingOrder="0"/>
    </xf>
    <xf borderId="24" fillId="11" fontId="31" numFmtId="0" xfId="0" applyBorder="1" applyFont="1"/>
    <xf borderId="25" fillId="11" fontId="31" numFmtId="0" xfId="0" applyBorder="1" applyFont="1"/>
    <xf borderId="0" fillId="0" fontId="31" numFmtId="0" xfId="0" applyFont="1"/>
    <xf borderId="26" fillId="3" fontId="32" numFmtId="0" xfId="0" applyAlignment="1" applyBorder="1" applyFont="1">
      <alignment horizontal="center" vertical="center"/>
    </xf>
    <xf borderId="19" fillId="10" fontId="33" numFmtId="0" xfId="0" applyBorder="1" applyFont="1"/>
    <xf borderId="27" fillId="11" fontId="31" numFmtId="0" xfId="0" applyBorder="1" applyFont="1"/>
    <xf borderId="19" fillId="11" fontId="31" numFmtId="0" xfId="0" applyAlignment="1" applyBorder="1" applyFont="1">
      <alignment horizontal="left"/>
    </xf>
    <xf borderId="19" fillId="11" fontId="31" numFmtId="0" xfId="0" applyBorder="1" applyFont="1"/>
    <xf borderId="28" fillId="11" fontId="31" numFmtId="0" xfId="0" applyBorder="1" applyFont="1"/>
    <xf borderId="29" fillId="0" fontId="15" numFmtId="0" xfId="0" applyBorder="1" applyFont="1"/>
    <xf borderId="26" fillId="3" fontId="34" numFmtId="0" xfId="0" applyAlignment="1" applyBorder="1" applyFont="1">
      <alignment horizontal="center" vertical="center"/>
    </xf>
    <xf borderId="19" fillId="11" fontId="31" numFmtId="4" xfId="0" applyBorder="1" applyFont="1" applyNumberFormat="1"/>
    <xf borderId="30" fillId="11" fontId="31" numFmtId="0" xfId="0" applyBorder="1" applyFont="1"/>
    <xf borderId="31" fillId="11" fontId="31" numFmtId="0" xfId="0" applyAlignment="1" applyBorder="1" applyFont="1">
      <alignment horizontal="left"/>
    </xf>
    <xf borderId="31" fillId="11" fontId="31" numFmtId="0" xfId="0" applyBorder="1" applyFont="1"/>
    <xf borderId="32" fillId="11" fontId="31" numFmtId="0" xfId="0" applyBorder="1" applyFont="1"/>
    <xf borderId="33" fillId="0" fontId="31" numFmtId="0" xfId="0" applyAlignment="1" applyBorder="1" applyFont="1">
      <alignment horizontal="center" vertical="center"/>
    </xf>
    <xf borderId="34" fillId="0" fontId="31" numFmtId="0" xfId="0" applyAlignment="1" applyBorder="1" applyFont="1">
      <alignment horizontal="center" shrinkToFit="0" vertical="center" wrapText="1"/>
    </xf>
    <xf borderId="35" fillId="0" fontId="31" numFmtId="0" xfId="0" applyAlignment="1" applyBorder="1" applyFont="1">
      <alignment horizontal="center" shrinkToFit="0" vertical="center" wrapText="1"/>
    </xf>
    <xf borderId="36" fillId="0" fontId="15" numFmtId="0" xfId="0" applyBorder="1" applyFont="1"/>
    <xf borderId="37" fillId="0" fontId="3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vertical="center"/>
    </xf>
    <xf borderId="19" fillId="10" fontId="33" numFmtId="0" xfId="0" applyAlignment="1" applyBorder="1" applyFont="1">
      <alignment horizontal="center" vertical="center"/>
    </xf>
    <xf borderId="38" fillId="0" fontId="15" numFmtId="0" xfId="0" applyBorder="1" applyFont="1"/>
    <xf borderId="29" fillId="0" fontId="31" numFmtId="0" xfId="0" applyAlignment="1" applyBorder="1" applyFont="1">
      <alignment horizontal="center" shrinkToFit="0" vertical="center" wrapText="1"/>
    </xf>
    <xf borderId="39" fillId="0" fontId="15" numFmtId="0" xfId="0" applyBorder="1" applyFont="1"/>
    <xf borderId="40" fillId="12" fontId="0" numFmtId="165" xfId="0" applyAlignment="1" applyBorder="1" applyFill="1" applyFont="1" applyNumberFormat="1">
      <alignment horizontal="center" vertical="center"/>
    </xf>
    <xf borderId="41" fillId="12" fontId="0" numFmtId="165" xfId="0" applyAlignment="1" applyBorder="1" applyFont="1" applyNumberFormat="1">
      <alignment horizontal="center" vertical="center"/>
    </xf>
    <xf borderId="42" fillId="12" fontId="0" numFmtId="165" xfId="0" applyAlignment="1" applyBorder="1" applyFont="1" applyNumberFormat="1">
      <alignment horizontal="center" vertical="center"/>
    </xf>
    <xf borderId="0" fillId="0" fontId="0" numFmtId="49" xfId="0" applyAlignment="1" applyFont="1" applyNumberFormat="1">
      <alignment horizontal="center" vertical="center"/>
    </xf>
    <xf borderId="19" fillId="10" fontId="30" numFmtId="49" xfId="0" applyAlignment="1" applyBorder="1" applyFont="1" applyNumberFormat="1">
      <alignment horizontal="center" vertical="center"/>
    </xf>
    <xf borderId="43" fillId="0" fontId="0" numFmtId="0" xfId="0" applyAlignment="1" applyBorder="1" applyFont="1">
      <alignment horizontal="center"/>
    </xf>
    <xf borderId="26" fillId="0" fontId="0" numFmtId="0" xfId="0" applyBorder="1" applyFont="1"/>
    <xf borderId="26" fillId="0" fontId="0" numFmtId="0" xfId="0" applyAlignment="1" applyBorder="1" applyFont="1">
      <alignment horizontal="right" vertical="center"/>
    </xf>
    <xf borderId="44" fillId="0" fontId="0" numFmtId="0" xfId="0" applyAlignment="1" applyBorder="1" applyFont="1">
      <alignment horizontal="right" vertical="center"/>
    </xf>
    <xf borderId="45" fillId="0" fontId="0" numFmtId="0" xfId="0" applyAlignment="1" applyBorder="1" applyFont="1">
      <alignment horizontal="center"/>
    </xf>
    <xf borderId="46" fillId="0" fontId="0" numFmtId="0" xfId="0" applyAlignment="1" applyBorder="1" applyFont="1">
      <alignment horizontal="left"/>
    </xf>
    <xf borderId="46" fillId="0" fontId="0" numFmtId="4" xfId="0" applyAlignment="1" applyBorder="1" applyFont="1" applyNumberFormat="1">
      <alignment horizontal="right" vertical="center"/>
    </xf>
    <xf borderId="46" fillId="0" fontId="0" numFmtId="169" xfId="0" applyAlignment="1" applyBorder="1" applyFont="1" applyNumberFormat="1">
      <alignment horizontal="right" vertical="center"/>
    </xf>
    <xf borderId="47" fillId="0" fontId="0" numFmtId="4" xfId="0" applyAlignment="1" applyBorder="1" applyFont="1" applyNumberFormat="1">
      <alignment horizontal="right" vertical="center"/>
    </xf>
    <xf borderId="46" fillId="0" fontId="0" numFmtId="0" xfId="0" applyBorder="1" applyFont="1"/>
    <xf borderId="48" fillId="0" fontId="31" numFmtId="0" xfId="0" applyAlignment="1" applyBorder="1" applyFont="1">
      <alignment horizontal="center" vertical="center"/>
    </xf>
    <xf borderId="49" fillId="0" fontId="15" numFmtId="0" xfId="0" applyBorder="1" applyFont="1"/>
    <xf borderId="50" fillId="0" fontId="31" numFmtId="4" xfId="0" applyAlignment="1" applyBorder="1" applyFont="1" applyNumberFormat="1">
      <alignment horizontal="right" vertical="center"/>
    </xf>
    <xf borderId="50" fillId="13" fontId="31" numFmtId="0" xfId="0" applyAlignment="1" applyBorder="1" applyFill="1" applyFont="1">
      <alignment horizontal="center" vertical="center"/>
    </xf>
    <xf borderId="50" fillId="13" fontId="31" numFmtId="4" xfId="0" applyAlignment="1" applyBorder="1" applyFont="1" applyNumberFormat="1">
      <alignment horizontal="right" vertical="center"/>
    </xf>
    <xf borderId="51" fillId="0" fontId="31" numFmtId="4" xfId="0" applyAlignment="1" applyBorder="1" applyFont="1" applyNumberFormat="1">
      <alignment horizontal="right" vertical="center"/>
    </xf>
    <xf borderId="0" fillId="0" fontId="31" numFmtId="4" xfId="0" applyAlignment="1" applyFont="1" applyNumberFormat="1">
      <alignment horizontal="right" vertical="center"/>
    </xf>
    <xf borderId="19" fillId="10" fontId="33" numFmtId="4" xfId="0" applyAlignment="1" applyBorder="1" applyFont="1" applyNumberFormat="1">
      <alignment horizontal="right" vertical="center"/>
    </xf>
    <xf borderId="52" fillId="0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19" fillId="10" fontId="30" numFmtId="4" xfId="0" applyAlignment="1" applyBorder="1" applyFont="1" applyNumberFormat="1">
      <alignment horizontal="right" vertical="center"/>
    </xf>
    <xf borderId="53" fillId="3" fontId="31" numFmtId="0" xfId="0" applyBorder="1" applyFont="1"/>
    <xf borderId="53" fillId="13" fontId="0" numFmtId="4" xfId="0" applyAlignment="1" applyBorder="1" applyFont="1" applyNumberFormat="1">
      <alignment horizontal="center"/>
    </xf>
    <xf borderId="53" fillId="3" fontId="0" numFmtId="4" xfId="0" applyAlignment="1" applyBorder="1" applyFont="1" applyNumberFormat="1">
      <alignment horizontal="right" vertical="center"/>
    </xf>
    <xf borderId="53" fillId="13" fontId="0" numFmtId="4" xfId="0" applyAlignment="1" applyBorder="1" applyFont="1" applyNumberFormat="1">
      <alignment horizontal="right" vertical="center"/>
    </xf>
    <xf borderId="46" fillId="0" fontId="0" numFmtId="4" xfId="0" applyAlignment="1" applyBorder="1" applyFont="1" applyNumberFormat="1">
      <alignment horizontal="center"/>
    </xf>
    <xf borderId="54" fillId="3" fontId="0" numFmtId="4" xfId="0" applyAlignment="1" applyBorder="1" applyFont="1" applyNumberFormat="1">
      <alignment horizontal="right" vertical="center"/>
    </xf>
    <xf borderId="55" fillId="0" fontId="31" numFmtId="0" xfId="0" applyAlignment="1" applyBorder="1" applyFont="1">
      <alignment horizontal="center" vertical="center"/>
    </xf>
    <xf borderId="56" fillId="0" fontId="15" numFmtId="0" xfId="0" applyBorder="1" applyFont="1"/>
    <xf borderId="57" fillId="0" fontId="31" numFmtId="4" xfId="0" applyAlignment="1" applyBorder="1" applyFont="1" applyNumberFormat="1">
      <alignment horizontal="right" vertical="center"/>
    </xf>
    <xf borderId="57" fillId="13" fontId="31" numFmtId="4" xfId="0" applyAlignment="1" applyBorder="1" applyFont="1" applyNumberFormat="1">
      <alignment vertical="center"/>
    </xf>
    <xf borderId="58" fillId="0" fontId="31" numFmtId="4" xfId="0" applyAlignment="1" applyBorder="1" applyFont="1" applyNumberFormat="1">
      <alignment horizontal="right" vertical="center"/>
    </xf>
    <xf borderId="23" fillId="11" fontId="35" numFmtId="0" xfId="0" applyBorder="1" applyFont="1"/>
    <xf borderId="24" fillId="11" fontId="35" numFmtId="0" xfId="0" applyAlignment="1" applyBorder="1" applyFont="1">
      <alignment horizontal="left"/>
    </xf>
    <xf borderId="24" fillId="11" fontId="35" numFmtId="0" xfId="0" applyAlignment="1" applyBorder="1" applyFont="1">
      <alignment readingOrder="0"/>
    </xf>
    <xf borderId="24" fillId="11" fontId="35" numFmtId="0" xfId="0" applyBorder="1" applyFont="1"/>
    <xf borderId="25" fillId="11" fontId="35" numFmtId="0" xfId="0" applyBorder="1" applyFont="1"/>
    <xf borderId="27" fillId="11" fontId="35" numFmtId="0" xfId="0" applyBorder="1" applyFont="1"/>
    <xf borderId="19" fillId="11" fontId="35" numFmtId="0" xfId="0" applyAlignment="1" applyBorder="1" applyFont="1">
      <alignment horizontal="left"/>
    </xf>
    <xf borderId="19" fillId="11" fontId="35" numFmtId="0" xfId="0" applyBorder="1" applyFont="1"/>
    <xf borderId="28" fillId="11" fontId="35" numFmtId="0" xfId="0" applyBorder="1" applyFont="1"/>
    <xf borderId="19" fillId="11" fontId="36" numFmtId="4" xfId="0" applyBorder="1" applyFont="1" applyNumberFormat="1"/>
    <xf borderId="30" fillId="11" fontId="35" numFmtId="0" xfId="0" applyBorder="1" applyFont="1"/>
    <xf borderId="31" fillId="11" fontId="35" numFmtId="0" xfId="0" applyAlignment="1" applyBorder="1" applyFont="1">
      <alignment horizontal="left"/>
    </xf>
    <xf borderId="31" fillId="11" fontId="35" numFmtId="0" xfId="0" applyBorder="1" applyFont="1"/>
    <xf borderId="32" fillId="11" fontId="35" numFmtId="0" xfId="0" applyBorder="1" applyFont="1"/>
    <xf borderId="33" fillId="0" fontId="35" numFmtId="0" xfId="0" applyAlignment="1" applyBorder="1" applyFont="1">
      <alignment horizontal="center" vertical="center"/>
    </xf>
    <xf borderId="34" fillId="0" fontId="35" numFmtId="0" xfId="0" applyAlignment="1" applyBorder="1" applyFont="1">
      <alignment horizontal="center" shrinkToFit="0" vertical="center" wrapText="1"/>
    </xf>
    <xf borderId="35" fillId="0" fontId="35" numFmtId="0" xfId="0" applyAlignment="1" applyBorder="1" applyFont="1">
      <alignment horizontal="center" shrinkToFit="0" vertical="center" wrapText="1"/>
    </xf>
    <xf borderId="37" fillId="0" fontId="35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vertical="center"/>
    </xf>
    <xf borderId="29" fillId="0" fontId="35" numFmtId="0" xfId="0" applyAlignment="1" applyBorder="1" applyFont="1">
      <alignment horizontal="center" shrinkToFit="0" vertical="center" wrapText="1"/>
    </xf>
    <xf borderId="40" fillId="12" fontId="37" numFmtId="165" xfId="0" applyAlignment="1" applyBorder="1" applyFont="1" applyNumberFormat="1">
      <alignment horizontal="center" vertical="center"/>
    </xf>
    <xf borderId="41" fillId="12" fontId="37" numFmtId="165" xfId="0" applyAlignment="1" applyBorder="1" applyFont="1" applyNumberFormat="1">
      <alignment horizontal="center" vertical="center"/>
    </xf>
    <xf borderId="42" fillId="12" fontId="37" numFmtId="165" xfId="0" applyAlignment="1" applyBorder="1" applyFont="1" applyNumberFormat="1">
      <alignment horizontal="center" vertical="center"/>
    </xf>
    <xf borderId="0" fillId="0" fontId="37" numFmtId="49" xfId="0" applyAlignment="1" applyFont="1" applyNumberFormat="1">
      <alignment horizontal="center" vertical="center"/>
    </xf>
    <xf borderId="43" fillId="0" fontId="37" numFmtId="0" xfId="0" applyAlignment="1" applyBorder="1" applyFont="1">
      <alignment horizontal="center"/>
    </xf>
    <xf borderId="26" fillId="0" fontId="37" numFmtId="0" xfId="0" applyBorder="1" applyFont="1"/>
    <xf borderId="26" fillId="0" fontId="37" numFmtId="0" xfId="0" applyAlignment="1" applyBorder="1" applyFont="1">
      <alignment horizontal="right" vertical="center"/>
    </xf>
    <xf borderId="44" fillId="0" fontId="37" numFmtId="0" xfId="0" applyAlignment="1" applyBorder="1" applyFont="1">
      <alignment horizontal="right" vertical="center"/>
    </xf>
    <xf borderId="0" fillId="0" fontId="37" numFmtId="0" xfId="0" applyFont="1"/>
    <xf borderId="45" fillId="0" fontId="37" numFmtId="0" xfId="0" applyAlignment="1" applyBorder="1" applyFont="1">
      <alignment horizontal="center"/>
    </xf>
    <xf borderId="46" fillId="0" fontId="37" numFmtId="0" xfId="0" applyAlignment="1" applyBorder="1" applyFont="1">
      <alignment horizontal="left"/>
    </xf>
    <xf borderId="46" fillId="0" fontId="37" numFmtId="4" xfId="0" applyAlignment="1" applyBorder="1" applyFont="1" applyNumberFormat="1">
      <alignment horizontal="right" vertical="center"/>
    </xf>
    <xf borderId="46" fillId="0" fontId="37" numFmtId="169" xfId="0" applyAlignment="1" applyBorder="1" applyFont="1" applyNumberFormat="1">
      <alignment horizontal="right" vertical="center"/>
    </xf>
    <xf borderId="47" fillId="0" fontId="37" numFmtId="4" xfId="0" applyAlignment="1" applyBorder="1" applyFont="1" applyNumberFormat="1">
      <alignment horizontal="right" vertical="center"/>
    </xf>
    <xf borderId="46" fillId="0" fontId="37" numFmtId="173" xfId="0" applyAlignment="1" applyBorder="1" applyFont="1" applyNumberFormat="1">
      <alignment horizontal="right" vertical="center"/>
    </xf>
    <xf borderId="46" fillId="0" fontId="37" numFmtId="174" xfId="0" applyAlignment="1" applyBorder="1" applyFont="1" applyNumberFormat="1">
      <alignment horizontal="right" vertical="center"/>
    </xf>
    <xf borderId="46" fillId="0" fontId="37" numFmtId="171" xfId="0" applyAlignment="1" applyBorder="1" applyFont="1" applyNumberFormat="1">
      <alignment horizontal="right" vertical="center"/>
    </xf>
    <xf borderId="46" fillId="0" fontId="37" numFmtId="0" xfId="0" applyBorder="1" applyFont="1"/>
    <xf borderId="48" fillId="0" fontId="35" numFmtId="0" xfId="0" applyAlignment="1" applyBorder="1" applyFont="1">
      <alignment horizontal="center" vertical="center"/>
    </xf>
    <xf borderId="50" fillId="0" fontId="35" numFmtId="4" xfId="0" applyAlignment="1" applyBorder="1" applyFont="1" applyNumberFormat="1">
      <alignment horizontal="right" vertical="center"/>
    </xf>
    <xf borderId="50" fillId="13" fontId="35" numFmtId="0" xfId="0" applyAlignment="1" applyBorder="1" applyFont="1">
      <alignment horizontal="center" vertical="center"/>
    </xf>
    <xf borderId="50" fillId="13" fontId="35" numFmtId="4" xfId="0" applyAlignment="1" applyBorder="1" applyFont="1" applyNumberFormat="1">
      <alignment horizontal="right" vertical="center"/>
    </xf>
    <xf borderId="51" fillId="0" fontId="35" numFmtId="4" xfId="0" applyAlignment="1" applyBorder="1" applyFont="1" applyNumberFormat="1">
      <alignment horizontal="right" vertical="center"/>
    </xf>
    <xf borderId="0" fillId="0" fontId="35" numFmtId="4" xfId="0" applyAlignment="1" applyFont="1" applyNumberFormat="1">
      <alignment horizontal="right" vertical="center"/>
    </xf>
    <xf borderId="52" fillId="0" fontId="37" numFmtId="4" xfId="0" applyAlignment="1" applyBorder="1" applyFont="1" applyNumberFormat="1">
      <alignment horizontal="right" vertical="center"/>
    </xf>
    <xf borderId="0" fillId="0" fontId="37" numFmtId="4" xfId="0" applyAlignment="1" applyFont="1" applyNumberFormat="1">
      <alignment horizontal="right" vertical="center"/>
    </xf>
    <xf borderId="53" fillId="3" fontId="35" numFmtId="0" xfId="0" applyBorder="1" applyFont="1"/>
    <xf borderId="46" fillId="0" fontId="37" numFmtId="4" xfId="0" applyAlignment="1" applyBorder="1" applyFont="1" applyNumberFormat="1">
      <alignment horizontal="center"/>
    </xf>
    <xf borderId="53" fillId="13" fontId="37" numFmtId="4" xfId="0" applyAlignment="1" applyBorder="1" applyFont="1" applyNumberFormat="1">
      <alignment horizontal="center"/>
    </xf>
    <xf borderId="53" fillId="3" fontId="37" numFmtId="4" xfId="0" applyAlignment="1" applyBorder="1" applyFont="1" applyNumberFormat="1">
      <alignment horizontal="right" vertical="center"/>
    </xf>
    <xf borderId="53" fillId="13" fontId="37" numFmtId="4" xfId="0" applyAlignment="1" applyBorder="1" applyFont="1" applyNumberFormat="1">
      <alignment horizontal="right" vertical="center"/>
    </xf>
    <xf borderId="54" fillId="3" fontId="37" numFmtId="4" xfId="0" applyAlignment="1" applyBorder="1" applyFont="1" applyNumberFormat="1">
      <alignment horizontal="right" vertical="center"/>
    </xf>
    <xf borderId="55" fillId="0" fontId="35" numFmtId="0" xfId="0" applyAlignment="1" applyBorder="1" applyFont="1">
      <alignment horizontal="center" vertical="center"/>
    </xf>
    <xf borderId="57" fillId="0" fontId="35" numFmtId="4" xfId="0" applyAlignment="1" applyBorder="1" applyFont="1" applyNumberFormat="1">
      <alignment horizontal="right" vertical="center"/>
    </xf>
    <xf borderId="57" fillId="13" fontId="35" numFmtId="4" xfId="0" applyAlignment="1" applyBorder="1" applyFont="1" applyNumberFormat="1">
      <alignment vertical="center"/>
    </xf>
    <xf borderId="58" fillId="0" fontId="35" numFmtId="4" xfId="0" applyAlignment="1" applyBorder="1" applyFont="1" applyNumberFormat="1">
      <alignment horizontal="right" vertical="center"/>
    </xf>
    <xf borderId="23" fillId="11" fontId="38" numFmtId="0" xfId="0" applyBorder="1" applyFont="1"/>
    <xf borderId="24" fillId="11" fontId="38" numFmtId="0" xfId="0" applyAlignment="1" applyBorder="1" applyFont="1">
      <alignment horizontal="left"/>
    </xf>
    <xf borderId="24" fillId="11" fontId="38" numFmtId="0" xfId="0" applyAlignment="1" applyBorder="1" applyFont="1">
      <alignment readingOrder="0"/>
    </xf>
    <xf borderId="24" fillId="11" fontId="38" numFmtId="0" xfId="0" applyBorder="1" applyFont="1"/>
    <xf borderId="25" fillId="11" fontId="38" numFmtId="0" xfId="0" applyBorder="1" applyFont="1"/>
    <xf borderId="27" fillId="11" fontId="38" numFmtId="0" xfId="0" applyBorder="1" applyFont="1"/>
    <xf borderId="19" fillId="11" fontId="38" numFmtId="0" xfId="0" applyAlignment="1" applyBorder="1" applyFont="1">
      <alignment horizontal="left"/>
    </xf>
    <xf borderId="19" fillId="11" fontId="38" numFmtId="0" xfId="0" applyBorder="1" applyFont="1"/>
    <xf borderId="28" fillId="11" fontId="38" numFmtId="0" xfId="0" applyBorder="1" applyFont="1"/>
    <xf borderId="19" fillId="11" fontId="38" numFmtId="4" xfId="0" applyBorder="1" applyFont="1" applyNumberFormat="1"/>
    <xf borderId="30" fillId="11" fontId="38" numFmtId="0" xfId="0" applyBorder="1" applyFont="1"/>
    <xf borderId="31" fillId="11" fontId="38" numFmtId="0" xfId="0" applyAlignment="1" applyBorder="1" applyFont="1">
      <alignment horizontal="left"/>
    </xf>
    <xf borderId="31" fillId="11" fontId="38" numFmtId="0" xfId="0" applyBorder="1" applyFont="1"/>
    <xf borderId="32" fillId="11" fontId="38" numFmtId="0" xfId="0" applyBorder="1" applyFont="1"/>
    <xf borderId="33" fillId="0" fontId="38" numFmtId="0" xfId="0" applyAlignment="1" applyBorder="1" applyFont="1">
      <alignment horizontal="center" vertical="center"/>
    </xf>
    <xf borderId="34" fillId="0" fontId="38" numFmtId="0" xfId="0" applyAlignment="1" applyBorder="1" applyFont="1">
      <alignment horizontal="center" shrinkToFit="0" vertical="center" wrapText="1"/>
    </xf>
    <xf borderId="35" fillId="0" fontId="38" numFmtId="0" xfId="0" applyAlignment="1" applyBorder="1" applyFont="1">
      <alignment horizontal="center" shrinkToFit="0" vertical="center" wrapText="1"/>
    </xf>
    <xf borderId="37" fillId="0" fontId="38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horizontal="center" vertical="center"/>
    </xf>
    <xf borderId="29" fillId="0" fontId="38" numFmtId="0" xfId="0" applyAlignment="1" applyBorder="1" applyFont="1">
      <alignment horizontal="center" shrinkToFit="0" vertical="center" wrapText="1"/>
    </xf>
    <xf borderId="40" fillId="12" fontId="39" numFmtId="165" xfId="0" applyAlignment="1" applyBorder="1" applyFont="1" applyNumberFormat="1">
      <alignment horizontal="center" vertical="center"/>
    </xf>
    <xf borderId="41" fillId="12" fontId="39" numFmtId="165" xfId="0" applyAlignment="1" applyBorder="1" applyFont="1" applyNumberFormat="1">
      <alignment horizontal="center" vertical="center"/>
    </xf>
    <xf borderId="42" fillId="12" fontId="39" numFmtId="165" xfId="0" applyAlignment="1" applyBorder="1" applyFont="1" applyNumberFormat="1">
      <alignment horizontal="center" vertical="center"/>
    </xf>
    <xf borderId="0" fillId="0" fontId="39" numFmtId="49" xfId="0" applyAlignment="1" applyFont="1" applyNumberFormat="1">
      <alignment horizontal="center" vertical="center"/>
    </xf>
    <xf borderId="43" fillId="0" fontId="39" numFmtId="0" xfId="0" applyAlignment="1" applyBorder="1" applyFont="1">
      <alignment horizontal="center"/>
    </xf>
    <xf borderId="26" fillId="0" fontId="39" numFmtId="0" xfId="0" applyBorder="1" applyFont="1"/>
    <xf borderId="26" fillId="0" fontId="39" numFmtId="0" xfId="0" applyAlignment="1" applyBorder="1" applyFont="1">
      <alignment horizontal="right" vertical="center"/>
    </xf>
    <xf borderId="44" fillId="0" fontId="39" numFmtId="0" xfId="0" applyAlignment="1" applyBorder="1" applyFont="1">
      <alignment horizontal="right" vertical="center"/>
    </xf>
    <xf borderId="0" fillId="0" fontId="39" numFmtId="0" xfId="0" applyFont="1"/>
    <xf borderId="45" fillId="0" fontId="39" numFmtId="0" xfId="0" applyAlignment="1" applyBorder="1" applyFont="1">
      <alignment horizontal="center"/>
    </xf>
    <xf borderId="46" fillId="0" fontId="39" numFmtId="0" xfId="0" applyAlignment="1" applyBorder="1" applyFont="1">
      <alignment horizontal="left"/>
    </xf>
    <xf borderId="46" fillId="0" fontId="39" numFmtId="4" xfId="0" applyAlignment="1" applyBorder="1" applyFont="1" applyNumberFormat="1">
      <alignment horizontal="right" vertical="center"/>
    </xf>
    <xf borderId="46" fillId="0" fontId="39" numFmtId="169" xfId="0" applyAlignment="1" applyBorder="1" applyFont="1" applyNumberFormat="1">
      <alignment horizontal="right" vertical="center"/>
    </xf>
    <xf borderId="47" fillId="0" fontId="39" numFmtId="4" xfId="0" applyAlignment="1" applyBorder="1" applyFont="1" applyNumberFormat="1">
      <alignment horizontal="right" vertical="center"/>
    </xf>
    <xf borderId="46" fillId="0" fontId="39" numFmtId="172" xfId="0" applyAlignment="1" applyBorder="1" applyFont="1" applyNumberFormat="1">
      <alignment horizontal="right" vertical="center"/>
    </xf>
    <xf borderId="46" fillId="0" fontId="39" numFmtId="175" xfId="0" applyAlignment="1" applyBorder="1" applyFont="1" applyNumberFormat="1">
      <alignment horizontal="right" vertical="center"/>
    </xf>
    <xf borderId="46" fillId="0" fontId="39" numFmtId="0" xfId="0" applyBorder="1" applyFont="1"/>
    <xf borderId="48" fillId="0" fontId="38" numFmtId="0" xfId="0" applyAlignment="1" applyBorder="1" applyFont="1">
      <alignment horizontal="center" vertical="center"/>
    </xf>
    <xf borderId="50" fillId="0" fontId="38" numFmtId="4" xfId="0" applyAlignment="1" applyBorder="1" applyFont="1" applyNumberFormat="1">
      <alignment horizontal="right" vertical="center"/>
    </xf>
    <xf borderId="50" fillId="13" fontId="38" numFmtId="0" xfId="0" applyAlignment="1" applyBorder="1" applyFont="1">
      <alignment horizontal="center" vertical="center"/>
    </xf>
    <xf borderId="50" fillId="13" fontId="38" numFmtId="4" xfId="0" applyAlignment="1" applyBorder="1" applyFont="1" applyNumberFormat="1">
      <alignment horizontal="right" vertical="center"/>
    </xf>
    <xf borderId="51" fillId="0" fontId="38" numFmtId="4" xfId="0" applyAlignment="1" applyBorder="1" applyFont="1" applyNumberFormat="1">
      <alignment horizontal="right" vertical="center"/>
    </xf>
    <xf borderId="0" fillId="0" fontId="38" numFmtId="4" xfId="0" applyAlignment="1" applyFont="1" applyNumberFormat="1">
      <alignment horizontal="right" vertical="center"/>
    </xf>
    <xf borderId="52" fillId="0" fontId="39" numFmtId="4" xfId="0" applyAlignment="1" applyBorder="1" applyFont="1" applyNumberFormat="1">
      <alignment horizontal="right" vertical="center"/>
    </xf>
    <xf borderId="0" fillId="0" fontId="39" numFmtId="4" xfId="0" applyAlignment="1" applyFont="1" applyNumberFormat="1">
      <alignment horizontal="right" vertical="center"/>
    </xf>
    <xf borderId="53" fillId="3" fontId="38" numFmtId="0" xfId="0" applyBorder="1" applyFont="1"/>
    <xf borderId="46" fillId="0" fontId="39" numFmtId="4" xfId="0" applyAlignment="1" applyBorder="1" applyFont="1" applyNumberFormat="1">
      <alignment horizontal="center"/>
    </xf>
    <xf borderId="53" fillId="13" fontId="39" numFmtId="4" xfId="0" applyAlignment="1" applyBorder="1" applyFont="1" applyNumberFormat="1">
      <alignment horizontal="center"/>
    </xf>
    <xf borderId="53" fillId="3" fontId="39" numFmtId="4" xfId="0" applyAlignment="1" applyBorder="1" applyFont="1" applyNumberFormat="1">
      <alignment horizontal="right" vertical="center"/>
    </xf>
    <xf borderId="53" fillId="13" fontId="39" numFmtId="4" xfId="0" applyAlignment="1" applyBorder="1" applyFont="1" applyNumberFormat="1">
      <alignment horizontal="right" vertical="center"/>
    </xf>
    <xf borderId="54" fillId="3" fontId="39" numFmtId="4" xfId="0" applyAlignment="1" applyBorder="1" applyFont="1" applyNumberFormat="1">
      <alignment horizontal="right" vertical="center"/>
    </xf>
    <xf borderId="55" fillId="0" fontId="38" numFmtId="0" xfId="0" applyAlignment="1" applyBorder="1" applyFont="1">
      <alignment horizontal="center" vertical="center"/>
    </xf>
    <xf borderId="57" fillId="0" fontId="38" numFmtId="4" xfId="0" applyAlignment="1" applyBorder="1" applyFont="1" applyNumberFormat="1">
      <alignment horizontal="right" vertical="center"/>
    </xf>
    <xf borderId="57" fillId="13" fontId="38" numFmtId="4" xfId="0" applyAlignment="1" applyBorder="1" applyFont="1" applyNumberFormat="1">
      <alignment vertical="center"/>
    </xf>
    <xf borderId="58" fillId="0" fontId="38" numFmtId="4" xfId="0" applyAlignment="1" applyBorder="1" applyFont="1" applyNumberFormat="1">
      <alignment horizontal="right" vertical="center"/>
    </xf>
    <xf borderId="23" fillId="11" fontId="40" numFmtId="0" xfId="0" applyBorder="1" applyFont="1"/>
    <xf borderId="24" fillId="11" fontId="40" numFmtId="0" xfId="0" applyAlignment="1" applyBorder="1" applyFont="1">
      <alignment horizontal="left"/>
    </xf>
    <xf borderId="24" fillId="11" fontId="40" numFmtId="0" xfId="0" applyAlignment="1" applyBorder="1" applyFont="1">
      <alignment readingOrder="0"/>
    </xf>
    <xf borderId="24" fillId="11" fontId="40" numFmtId="0" xfId="0" applyBorder="1" applyFont="1"/>
    <xf borderId="25" fillId="11" fontId="40" numFmtId="0" xfId="0" applyBorder="1" applyFont="1"/>
    <xf borderId="0" fillId="0" fontId="40" numFmtId="0" xfId="0" applyFont="1"/>
    <xf borderId="27" fillId="11" fontId="40" numFmtId="0" xfId="0" applyBorder="1" applyFont="1"/>
    <xf borderId="19" fillId="11" fontId="40" numFmtId="0" xfId="0" applyAlignment="1" applyBorder="1" applyFont="1">
      <alignment horizontal="left"/>
    </xf>
    <xf borderId="19" fillId="11" fontId="40" numFmtId="0" xfId="0" applyBorder="1" applyFont="1"/>
    <xf borderId="28" fillId="11" fontId="40" numFmtId="0" xfId="0" applyBorder="1" applyFont="1"/>
    <xf borderId="19" fillId="11" fontId="40" numFmtId="4" xfId="0" applyBorder="1" applyFont="1" applyNumberFormat="1"/>
    <xf borderId="30" fillId="11" fontId="40" numFmtId="0" xfId="0" applyBorder="1" applyFont="1"/>
    <xf borderId="31" fillId="11" fontId="40" numFmtId="0" xfId="0" applyAlignment="1" applyBorder="1" applyFont="1">
      <alignment horizontal="left"/>
    </xf>
    <xf borderId="31" fillId="11" fontId="40" numFmtId="0" xfId="0" applyBorder="1" applyFont="1"/>
    <xf borderId="32" fillId="11" fontId="40" numFmtId="0" xfId="0" applyBorder="1" applyFont="1"/>
    <xf borderId="33" fillId="0" fontId="40" numFmtId="0" xfId="0" applyAlignment="1" applyBorder="1" applyFont="1">
      <alignment horizontal="center" vertical="center"/>
    </xf>
    <xf borderId="34" fillId="0" fontId="40" numFmtId="0" xfId="0" applyAlignment="1" applyBorder="1" applyFont="1">
      <alignment horizontal="center" shrinkToFit="0" vertical="center" wrapText="1"/>
    </xf>
    <xf borderId="35" fillId="0" fontId="40" numFmtId="0" xfId="0" applyAlignment="1" applyBorder="1" applyFont="1">
      <alignment horizontal="center" shrinkToFit="0" vertical="center" wrapText="1"/>
    </xf>
    <xf borderId="37" fillId="0" fontId="40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 vertical="center"/>
    </xf>
    <xf borderId="29" fillId="0" fontId="40" numFmtId="0" xfId="0" applyAlignment="1" applyBorder="1" applyFont="1">
      <alignment horizontal="center" shrinkToFit="0" vertical="center" wrapText="1"/>
    </xf>
    <xf borderId="40" fillId="12" fontId="41" numFmtId="165" xfId="0" applyAlignment="1" applyBorder="1" applyFont="1" applyNumberFormat="1">
      <alignment horizontal="center" vertical="center"/>
    </xf>
    <xf borderId="41" fillId="12" fontId="41" numFmtId="165" xfId="0" applyAlignment="1" applyBorder="1" applyFont="1" applyNumberFormat="1">
      <alignment horizontal="center" vertical="center"/>
    </xf>
    <xf borderId="42" fillId="12" fontId="41" numFmtId="165" xfId="0" applyAlignment="1" applyBorder="1" applyFont="1" applyNumberFormat="1">
      <alignment horizontal="center" vertical="center"/>
    </xf>
    <xf borderId="0" fillId="0" fontId="41" numFmtId="49" xfId="0" applyAlignment="1" applyFont="1" applyNumberFormat="1">
      <alignment horizontal="center" vertical="center"/>
    </xf>
    <xf borderId="43" fillId="0" fontId="41" numFmtId="0" xfId="0" applyAlignment="1" applyBorder="1" applyFont="1">
      <alignment horizontal="center"/>
    </xf>
    <xf borderId="26" fillId="0" fontId="41" numFmtId="0" xfId="0" applyBorder="1" applyFont="1"/>
    <xf borderId="26" fillId="0" fontId="41" numFmtId="0" xfId="0" applyAlignment="1" applyBorder="1" applyFont="1">
      <alignment horizontal="right" vertical="center"/>
    </xf>
    <xf borderId="44" fillId="0" fontId="41" numFmtId="0" xfId="0" applyAlignment="1" applyBorder="1" applyFont="1">
      <alignment horizontal="right" vertical="center"/>
    </xf>
    <xf borderId="0" fillId="0" fontId="41" numFmtId="0" xfId="0" applyFont="1"/>
    <xf borderId="45" fillId="0" fontId="41" numFmtId="0" xfId="0" applyAlignment="1" applyBorder="1" applyFont="1">
      <alignment horizontal="center"/>
    </xf>
    <xf borderId="46" fillId="0" fontId="41" numFmtId="0" xfId="0" applyAlignment="1" applyBorder="1" applyFont="1">
      <alignment horizontal="left"/>
    </xf>
    <xf borderId="46" fillId="0" fontId="41" numFmtId="4" xfId="0" applyAlignment="1" applyBorder="1" applyFont="1" applyNumberFormat="1">
      <alignment horizontal="right" vertical="center"/>
    </xf>
    <xf borderId="46" fillId="0" fontId="41" numFmtId="169" xfId="0" applyAlignment="1" applyBorder="1" applyFont="1" applyNumberFormat="1">
      <alignment horizontal="right" vertical="center"/>
    </xf>
    <xf borderId="47" fillId="0" fontId="41" numFmtId="4" xfId="0" applyAlignment="1" applyBorder="1" applyFont="1" applyNumberFormat="1">
      <alignment horizontal="right" vertical="center"/>
    </xf>
    <xf borderId="46" fillId="0" fontId="41" numFmtId="171" xfId="0" applyAlignment="1" applyBorder="1" applyFont="1" applyNumberFormat="1">
      <alignment horizontal="right" vertical="center"/>
    </xf>
    <xf borderId="46" fillId="0" fontId="41" numFmtId="172" xfId="0" applyAlignment="1" applyBorder="1" applyFont="1" applyNumberFormat="1">
      <alignment horizontal="right" vertical="center"/>
    </xf>
    <xf borderId="46" fillId="0" fontId="41" numFmtId="174" xfId="0" applyAlignment="1" applyBorder="1" applyFont="1" applyNumberFormat="1">
      <alignment horizontal="right" vertical="center"/>
    </xf>
    <xf borderId="46" fillId="0" fontId="41" numFmtId="173" xfId="0" applyAlignment="1" applyBorder="1" applyFont="1" applyNumberFormat="1">
      <alignment horizontal="right" vertical="center"/>
    </xf>
    <xf borderId="46" fillId="0" fontId="41" numFmtId="0" xfId="0" applyBorder="1" applyFont="1"/>
    <xf borderId="48" fillId="0" fontId="40" numFmtId="0" xfId="0" applyAlignment="1" applyBorder="1" applyFont="1">
      <alignment horizontal="center" vertical="center"/>
    </xf>
    <xf borderId="50" fillId="0" fontId="40" numFmtId="4" xfId="0" applyAlignment="1" applyBorder="1" applyFont="1" applyNumberFormat="1">
      <alignment horizontal="right" vertical="center"/>
    </xf>
    <xf borderId="50" fillId="13" fontId="40" numFmtId="0" xfId="0" applyAlignment="1" applyBorder="1" applyFont="1">
      <alignment horizontal="center" vertical="center"/>
    </xf>
    <xf borderId="50" fillId="13" fontId="40" numFmtId="4" xfId="0" applyAlignment="1" applyBorder="1" applyFont="1" applyNumberFormat="1">
      <alignment horizontal="right" vertical="center"/>
    </xf>
    <xf borderId="51" fillId="0" fontId="40" numFmtId="4" xfId="0" applyAlignment="1" applyBorder="1" applyFont="1" applyNumberFormat="1">
      <alignment horizontal="right" vertical="center"/>
    </xf>
    <xf borderId="0" fillId="0" fontId="40" numFmtId="4" xfId="0" applyAlignment="1" applyFont="1" applyNumberFormat="1">
      <alignment horizontal="right" vertical="center"/>
    </xf>
    <xf borderId="52" fillId="0" fontId="41" numFmtId="4" xfId="0" applyAlignment="1" applyBorder="1" applyFont="1" applyNumberFormat="1">
      <alignment horizontal="right" vertical="center"/>
    </xf>
    <xf borderId="0" fillId="0" fontId="41" numFmtId="4" xfId="0" applyAlignment="1" applyFont="1" applyNumberFormat="1">
      <alignment horizontal="right" vertical="center"/>
    </xf>
    <xf borderId="53" fillId="3" fontId="40" numFmtId="0" xfId="0" applyBorder="1" applyFont="1"/>
    <xf borderId="46" fillId="0" fontId="41" numFmtId="4" xfId="0" applyAlignment="1" applyBorder="1" applyFont="1" applyNumberFormat="1">
      <alignment horizontal="center"/>
    </xf>
    <xf borderId="53" fillId="13" fontId="41" numFmtId="4" xfId="0" applyAlignment="1" applyBorder="1" applyFont="1" applyNumberFormat="1">
      <alignment horizontal="center"/>
    </xf>
    <xf borderId="53" fillId="3" fontId="41" numFmtId="4" xfId="0" applyAlignment="1" applyBorder="1" applyFont="1" applyNumberFormat="1">
      <alignment horizontal="right" vertical="center"/>
    </xf>
    <xf borderId="53" fillId="13" fontId="41" numFmtId="4" xfId="0" applyAlignment="1" applyBorder="1" applyFont="1" applyNumberFormat="1">
      <alignment horizontal="right" vertical="center"/>
    </xf>
    <xf borderId="54" fillId="3" fontId="41" numFmtId="4" xfId="0" applyAlignment="1" applyBorder="1" applyFont="1" applyNumberFormat="1">
      <alignment horizontal="right" vertical="center"/>
    </xf>
    <xf borderId="55" fillId="0" fontId="40" numFmtId="0" xfId="0" applyAlignment="1" applyBorder="1" applyFont="1">
      <alignment horizontal="center" vertical="center"/>
    </xf>
    <xf borderId="57" fillId="0" fontId="40" numFmtId="4" xfId="0" applyAlignment="1" applyBorder="1" applyFont="1" applyNumberFormat="1">
      <alignment horizontal="right" vertical="center"/>
    </xf>
    <xf borderId="57" fillId="13" fontId="40" numFmtId="4" xfId="0" applyAlignment="1" applyBorder="1" applyFont="1" applyNumberFormat="1">
      <alignment vertical="center"/>
    </xf>
    <xf borderId="58" fillId="0" fontId="40" numFmtId="4" xfId="0" applyAlignment="1" applyBorder="1" applyFont="1" applyNumberFormat="1">
      <alignment horizontal="right" vertical="center"/>
    </xf>
    <xf borderId="23" fillId="11" fontId="42" numFmtId="0" xfId="0" applyBorder="1" applyFont="1"/>
    <xf borderId="24" fillId="11" fontId="42" numFmtId="0" xfId="0" applyAlignment="1" applyBorder="1" applyFont="1">
      <alignment horizontal="left"/>
    </xf>
    <xf borderId="24" fillId="11" fontId="42" numFmtId="0" xfId="0" applyAlignment="1" applyBorder="1" applyFont="1">
      <alignment readingOrder="0"/>
    </xf>
    <xf borderId="24" fillId="11" fontId="42" numFmtId="0" xfId="0" applyBorder="1" applyFont="1"/>
    <xf borderId="25" fillId="11" fontId="42" numFmtId="0" xfId="0" applyBorder="1" applyFont="1"/>
    <xf borderId="0" fillId="0" fontId="42" numFmtId="0" xfId="0" applyFont="1"/>
    <xf borderId="27" fillId="11" fontId="42" numFmtId="0" xfId="0" applyBorder="1" applyFont="1"/>
    <xf borderId="19" fillId="11" fontId="42" numFmtId="0" xfId="0" applyAlignment="1" applyBorder="1" applyFont="1">
      <alignment horizontal="left"/>
    </xf>
    <xf borderId="19" fillId="11" fontId="42" numFmtId="0" xfId="0" applyBorder="1" applyFont="1"/>
    <xf borderId="28" fillId="11" fontId="42" numFmtId="0" xfId="0" applyBorder="1" applyFont="1"/>
    <xf borderId="19" fillId="11" fontId="42" numFmtId="4" xfId="0" applyBorder="1" applyFont="1" applyNumberFormat="1"/>
    <xf borderId="30" fillId="11" fontId="42" numFmtId="0" xfId="0" applyBorder="1" applyFont="1"/>
    <xf borderId="31" fillId="11" fontId="42" numFmtId="0" xfId="0" applyAlignment="1" applyBorder="1" applyFont="1">
      <alignment horizontal="left"/>
    </xf>
    <xf borderId="31" fillId="11" fontId="42" numFmtId="0" xfId="0" applyBorder="1" applyFont="1"/>
    <xf borderId="32" fillId="11" fontId="42" numFmtId="0" xfId="0" applyBorder="1" applyFont="1"/>
    <xf borderId="0" fillId="0" fontId="43" numFmtId="0" xfId="0" applyAlignment="1" applyFont="1">
      <alignment horizontal="center"/>
    </xf>
    <xf borderId="0" fillId="0" fontId="43" numFmtId="0" xfId="0" applyFont="1"/>
    <xf borderId="33" fillId="0" fontId="42" numFmtId="0" xfId="0" applyAlignment="1" applyBorder="1" applyFont="1">
      <alignment horizontal="center" vertical="center"/>
    </xf>
    <xf borderId="34" fillId="0" fontId="42" numFmtId="0" xfId="0" applyAlignment="1" applyBorder="1" applyFont="1">
      <alignment horizontal="center" shrinkToFit="0" vertical="center" wrapText="1"/>
    </xf>
    <xf borderId="35" fillId="0" fontId="42" numFmtId="0" xfId="0" applyAlignment="1" applyBorder="1" applyFont="1">
      <alignment horizontal="center" shrinkToFit="0" vertical="center" wrapText="1"/>
    </xf>
    <xf borderId="37" fillId="0" fontId="42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horizontal="center" vertical="center"/>
    </xf>
    <xf borderId="29" fillId="0" fontId="42" numFmtId="0" xfId="0" applyAlignment="1" applyBorder="1" applyFont="1">
      <alignment horizontal="center" shrinkToFit="0" vertical="center" wrapText="1"/>
    </xf>
    <xf borderId="40" fillId="12" fontId="43" numFmtId="165" xfId="0" applyAlignment="1" applyBorder="1" applyFont="1" applyNumberFormat="1">
      <alignment horizontal="center" vertical="center"/>
    </xf>
    <xf borderId="41" fillId="12" fontId="43" numFmtId="165" xfId="0" applyAlignment="1" applyBorder="1" applyFont="1" applyNumberFormat="1">
      <alignment horizontal="center" vertical="center"/>
    </xf>
    <xf borderId="42" fillId="12" fontId="43" numFmtId="165" xfId="0" applyAlignment="1" applyBorder="1" applyFont="1" applyNumberFormat="1">
      <alignment horizontal="center" vertical="center"/>
    </xf>
    <xf borderId="0" fillId="0" fontId="43" numFmtId="49" xfId="0" applyAlignment="1" applyFont="1" applyNumberFormat="1">
      <alignment horizontal="center" vertical="center"/>
    </xf>
    <xf borderId="43" fillId="0" fontId="43" numFmtId="0" xfId="0" applyAlignment="1" applyBorder="1" applyFont="1">
      <alignment horizontal="center"/>
    </xf>
    <xf borderId="26" fillId="0" fontId="43" numFmtId="0" xfId="0" applyBorder="1" applyFont="1"/>
    <xf borderId="26" fillId="0" fontId="43" numFmtId="0" xfId="0" applyAlignment="1" applyBorder="1" applyFont="1">
      <alignment horizontal="right" vertical="center"/>
    </xf>
    <xf borderId="44" fillId="0" fontId="43" numFmtId="0" xfId="0" applyAlignment="1" applyBorder="1" applyFont="1">
      <alignment horizontal="right" vertical="center"/>
    </xf>
    <xf borderId="45" fillId="0" fontId="43" numFmtId="0" xfId="0" applyAlignment="1" applyBorder="1" applyFont="1">
      <alignment horizontal="center"/>
    </xf>
    <xf borderId="46" fillId="0" fontId="43" numFmtId="0" xfId="0" applyAlignment="1" applyBorder="1" applyFont="1">
      <alignment horizontal="left"/>
    </xf>
    <xf borderId="46" fillId="0" fontId="43" numFmtId="4" xfId="0" applyAlignment="1" applyBorder="1" applyFont="1" applyNumberFormat="1">
      <alignment horizontal="right" vertical="center"/>
    </xf>
    <xf borderId="46" fillId="0" fontId="43" numFmtId="169" xfId="0" applyAlignment="1" applyBorder="1" applyFont="1" applyNumberFormat="1">
      <alignment horizontal="right" vertical="center"/>
    </xf>
    <xf borderId="47" fillId="0" fontId="43" numFmtId="4" xfId="0" applyAlignment="1" applyBorder="1" applyFont="1" applyNumberFormat="1">
      <alignment horizontal="right" vertical="center"/>
    </xf>
    <xf borderId="46" fillId="0" fontId="43" numFmtId="172" xfId="0" applyAlignment="1" applyBorder="1" applyFont="1" applyNumberFormat="1">
      <alignment horizontal="right" vertical="center"/>
    </xf>
    <xf borderId="46" fillId="0" fontId="43" numFmtId="173" xfId="0" applyAlignment="1" applyBorder="1" applyFont="1" applyNumberFormat="1">
      <alignment horizontal="right" vertical="center"/>
    </xf>
    <xf borderId="46" fillId="0" fontId="43" numFmtId="171" xfId="0" applyAlignment="1" applyBorder="1" applyFont="1" applyNumberFormat="1">
      <alignment horizontal="right" vertical="center"/>
    </xf>
    <xf borderId="46" fillId="0" fontId="43" numFmtId="176" xfId="0" applyAlignment="1" applyBorder="1" applyFont="1" applyNumberFormat="1">
      <alignment horizontal="right" vertical="center"/>
    </xf>
    <xf borderId="46" fillId="0" fontId="43" numFmtId="0" xfId="0" applyBorder="1" applyFont="1"/>
    <xf borderId="48" fillId="0" fontId="42" numFmtId="0" xfId="0" applyAlignment="1" applyBorder="1" applyFont="1">
      <alignment horizontal="center" vertical="center"/>
    </xf>
    <xf borderId="50" fillId="0" fontId="42" numFmtId="4" xfId="0" applyAlignment="1" applyBorder="1" applyFont="1" applyNumberFormat="1">
      <alignment horizontal="right" vertical="center"/>
    </xf>
    <xf borderId="50" fillId="13" fontId="42" numFmtId="0" xfId="0" applyAlignment="1" applyBorder="1" applyFont="1">
      <alignment horizontal="center" vertical="center"/>
    </xf>
    <xf borderId="50" fillId="13" fontId="42" numFmtId="4" xfId="0" applyAlignment="1" applyBorder="1" applyFont="1" applyNumberFormat="1">
      <alignment horizontal="right" vertical="center"/>
    </xf>
    <xf borderId="51" fillId="0" fontId="42" numFmtId="4" xfId="0" applyAlignment="1" applyBorder="1" applyFont="1" applyNumberFormat="1">
      <alignment horizontal="right" vertical="center"/>
    </xf>
    <xf borderId="0" fillId="0" fontId="42" numFmtId="4" xfId="0" applyAlignment="1" applyFont="1" applyNumberFormat="1">
      <alignment horizontal="right" vertical="center"/>
    </xf>
    <xf borderId="52" fillId="0" fontId="43" numFmtId="4" xfId="0" applyAlignment="1" applyBorder="1" applyFont="1" applyNumberFormat="1">
      <alignment horizontal="right" vertical="center"/>
    </xf>
    <xf borderId="0" fillId="0" fontId="43" numFmtId="4" xfId="0" applyAlignment="1" applyFont="1" applyNumberFormat="1">
      <alignment horizontal="right" vertical="center"/>
    </xf>
    <xf borderId="53" fillId="3" fontId="42" numFmtId="0" xfId="0" applyBorder="1" applyFont="1"/>
    <xf borderId="46" fillId="0" fontId="43" numFmtId="4" xfId="0" applyAlignment="1" applyBorder="1" applyFont="1" applyNumberFormat="1">
      <alignment horizontal="center"/>
    </xf>
    <xf borderId="53" fillId="13" fontId="43" numFmtId="4" xfId="0" applyAlignment="1" applyBorder="1" applyFont="1" applyNumberFormat="1">
      <alignment horizontal="center"/>
    </xf>
    <xf borderId="53" fillId="3" fontId="43" numFmtId="4" xfId="0" applyAlignment="1" applyBorder="1" applyFont="1" applyNumberFormat="1">
      <alignment horizontal="right" vertical="center"/>
    </xf>
    <xf borderId="53" fillId="13" fontId="43" numFmtId="4" xfId="0" applyAlignment="1" applyBorder="1" applyFont="1" applyNumberFormat="1">
      <alignment horizontal="right" vertical="center"/>
    </xf>
    <xf borderId="54" fillId="3" fontId="43" numFmtId="4" xfId="0" applyAlignment="1" applyBorder="1" applyFont="1" applyNumberFormat="1">
      <alignment horizontal="right" vertical="center"/>
    </xf>
    <xf borderId="55" fillId="0" fontId="42" numFmtId="0" xfId="0" applyAlignment="1" applyBorder="1" applyFont="1">
      <alignment horizontal="center" vertical="center"/>
    </xf>
    <xf borderId="57" fillId="0" fontId="42" numFmtId="4" xfId="0" applyAlignment="1" applyBorder="1" applyFont="1" applyNumberFormat="1">
      <alignment horizontal="right" vertical="center"/>
    </xf>
    <xf borderId="57" fillId="13" fontId="42" numFmtId="4" xfId="0" applyAlignment="1" applyBorder="1" applyFont="1" applyNumberFormat="1">
      <alignment vertical="center"/>
    </xf>
    <xf borderId="58" fillId="0" fontId="42" numFmtId="4" xfId="0" applyAlignment="1" applyBorder="1" applyFont="1" applyNumberFormat="1">
      <alignment horizontal="right" vertical="center"/>
    </xf>
    <xf borderId="23" fillId="14" fontId="31" numFmtId="0" xfId="0" applyBorder="1" applyFill="1" applyFont="1"/>
    <xf borderId="24" fillId="14" fontId="31" numFmtId="0" xfId="0" applyAlignment="1" applyBorder="1" applyFont="1">
      <alignment horizontal="left"/>
    </xf>
    <xf borderId="24" fillId="14" fontId="31" numFmtId="0" xfId="0" applyAlignment="1" applyBorder="1" applyFont="1">
      <alignment readingOrder="0"/>
    </xf>
    <xf borderId="24" fillId="14" fontId="31" numFmtId="0" xfId="0" applyBorder="1" applyFont="1"/>
    <xf borderId="25" fillId="14" fontId="31" numFmtId="0" xfId="0" applyBorder="1" applyFont="1"/>
    <xf borderId="27" fillId="14" fontId="31" numFmtId="0" xfId="0" applyBorder="1" applyFont="1"/>
    <xf borderId="19" fillId="14" fontId="31" numFmtId="0" xfId="0" applyAlignment="1" applyBorder="1" applyFont="1">
      <alignment horizontal="left"/>
    </xf>
    <xf borderId="19" fillId="14" fontId="31" numFmtId="0" xfId="0" applyBorder="1" applyFont="1"/>
    <xf borderId="28" fillId="14" fontId="31" numFmtId="0" xfId="0" applyBorder="1" applyFont="1"/>
    <xf borderId="19" fillId="14" fontId="31" numFmtId="4" xfId="0" applyBorder="1" applyFont="1" applyNumberFormat="1"/>
    <xf borderId="30" fillId="14" fontId="31" numFmtId="0" xfId="0" applyBorder="1" applyFont="1"/>
    <xf borderId="31" fillId="14" fontId="31" numFmtId="0" xfId="0" applyAlignment="1" applyBorder="1" applyFont="1">
      <alignment horizontal="left"/>
    </xf>
    <xf borderId="31" fillId="14" fontId="31" numFmtId="0" xfId="0" applyBorder="1" applyFont="1"/>
    <xf borderId="32" fillId="14" fontId="31" numFmtId="0" xfId="0" applyBorder="1" applyFont="1"/>
    <xf borderId="46" fillId="0" fontId="37" numFmtId="170" xfId="0" applyAlignment="1" applyBorder="1" applyFont="1" applyNumberFormat="1">
      <alignment horizontal="right" vertical="center"/>
    </xf>
    <xf borderId="46" fillId="0" fontId="37" numFmtId="168" xfId="0" applyAlignment="1" applyBorder="1" applyFont="1" applyNumberFormat="1">
      <alignment horizontal="right" vertical="center"/>
    </xf>
    <xf borderId="46" fillId="0" fontId="37" numFmtId="177" xfId="0" applyAlignment="1" applyBorder="1" applyFont="1" applyNumberFormat="1">
      <alignment horizontal="right" vertical="center"/>
    </xf>
    <xf borderId="46" fillId="0" fontId="37" numFmtId="175" xfId="0" applyAlignment="1" applyBorder="1" applyFont="1" applyNumberFormat="1">
      <alignment horizontal="right" vertical="center"/>
    </xf>
    <xf borderId="46" fillId="0" fontId="39" numFmtId="173" xfId="0" applyAlignment="1" applyBorder="1" applyFont="1" applyNumberFormat="1">
      <alignment horizontal="right" vertical="center"/>
    </xf>
    <xf borderId="46" fillId="0" fontId="39" numFmtId="176" xfId="0" applyAlignment="1" applyBorder="1" applyFont="1" applyNumberFormat="1">
      <alignment horizontal="right" vertical="center"/>
    </xf>
    <xf borderId="46" fillId="0" fontId="39" numFmtId="177" xfId="0" applyAlignment="1" applyBorder="1" applyFont="1" applyNumberFormat="1">
      <alignment horizontal="right" vertical="center"/>
    </xf>
    <xf borderId="46" fillId="0" fontId="39" numFmtId="167" xfId="0" applyAlignment="1" applyBorder="1" applyFont="1" applyNumberFormat="1">
      <alignment horizontal="right" vertical="center"/>
    </xf>
    <xf borderId="46" fillId="0" fontId="39" numFmtId="170" xfId="0" applyAlignment="1" applyBorder="1" applyFont="1" applyNumberFormat="1">
      <alignment horizontal="right" vertical="center"/>
    </xf>
    <xf borderId="46" fillId="0" fontId="41" numFmtId="170" xfId="0" applyAlignment="1" applyBorder="1" applyFont="1" applyNumberFormat="1">
      <alignment horizontal="right" vertical="center"/>
    </xf>
    <xf borderId="46" fillId="0" fontId="41" numFmtId="168" xfId="0" applyAlignment="1" applyBorder="1" applyFont="1" applyNumberFormat="1">
      <alignment horizontal="right" vertical="center"/>
    </xf>
    <xf borderId="46" fillId="0" fontId="43" numFmtId="168" xfId="0" applyAlignment="1" applyBorder="1" applyFont="1" applyNumberFormat="1">
      <alignment horizontal="right" vertical="center"/>
    </xf>
    <xf borderId="46" fillId="0" fontId="43" numFmtId="175" xfId="0" applyAlignment="1" applyBorder="1" applyFont="1" applyNumberFormat="1">
      <alignment horizontal="right" vertical="center"/>
    </xf>
    <xf borderId="46" fillId="0" fontId="43" numFmtId="170" xfId="0" applyAlignment="1" applyBorder="1" applyFont="1" applyNumberFormat="1">
      <alignment horizontal="right" vertical="center"/>
    </xf>
    <xf borderId="0" fillId="0" fontId="44" numFmtId="0" xfId="0" applyFont="1"/>
    <xf borderId="0" fillId="0" fontId="31" numFmtId="0" xfId="0" applyAlignment="1" applyFont="1">
      <alignment readingOrder="0"/>
    </xf>
    <xf borderId="0" fillId="0" fontId="31" numFmtId="4" xfId="0" applyFont="1" applyNumberFormat="1"/>
    <xf borderId="59" fillId="0" fontId="31" numFmtId="0" xfId="0" applyAlignment="1" applyBorder="1" applyFont="1">
      <alignment horizontal="left" shrinkToFit="0" vertical="center" wrapText="1"/>
    </xf>
    <xf borderId="60" fillId="0" fontId="15" numFmtId="0" xfId="0" applyBorder="1" applyFont="1"/>
    <xf borderId="61" fillId="15" fontId="31" numFmtId="0" xfId="0" applyAlignment="1" applyBorder="1" applyFill="1" applyFont="1">
      <alignment horizontal="center" vertical="center"/>
    </xf>
    <xf borderId="62" fillId="0" fontId="15" numFmtId="0" xfId="0" applyBorder="1" applyFont="1"/>
    <xf borderId="63" fillId="0" fontId="15" numFmtId="0" xfId="0" applyBorder="1" applyFont="1"/>
    <xf borderId="64" fillId="15" fontId="31" numFmtId="0" xfId="0" applyAlignment="1" applyBorder="1" applyFont="1">
      <alignment horizontal="center" vertical="center"/>
    </xf>
    <xf borderId="65" fillId="0" fontId="15" numFmtId="0" xfId="0" applyBorder="1" applyFont="1"/>
    <xf borderId="66" fillId="0" fontId="15" numFmtId="0" xfId="0" applyBorder="1" applyFont="1"/>
    <xf borderId="67" fillId="0" fontId="31" numFmtId="0" xfId="0" applyAlignment="1" applyBorder="1" applyFont="1">
      <alignment horizontal="center" vertical="center"/>
    </xf>
    <xf borderId="68" fillId="0" fontId="31" numFmtId="0" xfId="0" applyAlignment="1" applyBorder="1" applyFont="1">
      <alignment horizontal="center" vertical="center"/>
    </xf>
    <xf borderId="69" fillId="0" fontId="45" numFmtId="0" xfId="0" applyAlignment="1" applyBorder="1" applyFont="1">
      <alignment readingOrder="0" vertical="bottom"/>
    </xf>
    <xf borderId="70" fillId="14" fontId="30" numFmtId="0" xfId="0" applyAlignment="1" applyBorder="1" applyFont="1">
      <alignment horizontal="center" vertical="center"/>
    </xf>
    <xf borderId="71" fillId="14" fontId="33" numFmtId="0" xfId="0" applyAlignment="1" applyBorder="1" applyFont="1">
      <alignment horizontal="center"/>
    </xf>
    <xf borderId="41" fillId="14" fontId="46" numFmtId="4" xfId="0" applyAlignment="1" applyBorder="1" applyFont="1" applyNumberFormat="1">
      <alignment horizontal="right" vertical="bottom"/>
    </xf>
    <xf borderId="72" fillId="14" fontId="30" numFmtId="4" xfId="0" applyBorder="1" applyFont="1" applyNumberFormat="1"/>
    <xf borderId="72" fillId="14" fontId="30" numFmtId="4" xfId="0" applyAlignment="1" applyBorder="1" applyFont="1" applyNumberFormat="1">
      <alignment readingOrder="0"/>
    </xf>
    <xf borderId="0" fillId="0" fontId="30" numFmtId="0" xfId="0" applyFont="1"/>
    <xf borderId="73" fillId="0" fontId="15" numFmtId="0" xfId="0" applyBorder="1" applyFont="1"/>
    <xf borderId="74" fillId="14" fontId="33" numFmtId="0" xfId="0" applyAlignment="1" applyBorder="1" applyFont="1">
      <alignment horizontal="center"/>
    </xf>
    <xf borderId="41" fillId="14" fontId="30" numFmtId="4" xfId="0" applyBorder="1" applyFont="1" applyNumberFormat="1"/>
    <xf borderId="69" fillId="0" fontId="47" numFmtId="0" xfId="0" applyAlignment="1" applyBorder="1" applyFont="1">
      <alignment vertical="bottom"/>
    </xf>
    <xf borderId="75" fillId="16" fontId="0" numFmtId="0" xfId="0" applyAlignment="1" applyBorder="1" applyFill="1" applyFont="1">
      <alignment horizontal="center" vertical="center"/>
    </xf>
    <xf borderId="74" fillId="16" fontId="31" numFmtId="0" xfId="0" applyAlignment="1" applyBorder="1" applyFont="1">
      <alignment horizontal="center"/>
    </xf>
    <xf borderId="41" fillId="16" fontId="4" numFmtId="4" xfId="0" applyAlignment="1" applyBorder="1" applyFont="1" applyNumberFormat="1">
      <alignment horizontal="right" vertical="bottom"/>
    </xf>
    <xf borderId="41" fillId="16" fontId="0" numFmtId="4" xfId="0" applyBorder="1" applyFont="1" applyNumberFormat="1"/>
    <xf borderId="69" fillId="17" fontId="47" numFmtId="0" xfId="0" applyAlignment="1" applyBorder="1" applyFill="1" applyFont="1">
      <alignment vertical="bottom"/>
    </xf>
    <xf borderId="69" fillId="17" fontId="47" numFmtId="0" xfId="0" applyAlignment="1" applyBorder="1" applyFont="1">
      <alignment horizontal="center" vertical="center"/>
    </xf>
    <xf borderId="76" fillId="17" fontId="47" numFmtId="0" xfId="0" applyAlignment="1" applyBorder="1" applyFont="1">
      <alignment horizontal="center" vertical="bottom"/>
    </xf>
    <xf borderId="77" fillId="17" fontId="30" numFmtId="4" xfId="0" applyBorder="1" applyFont="1" applyNumberFormat="1"/>
    <xf borderId="41" fillId="17" fontId="30" numFmtId="4" xfId="0" applyBorder="1" applyFont="1" applyNumberFormat="1"/>
    <xf borderId="78" fillId="17" fontId="30" numFmtId="4" xfId="0" applyBorder="1" applyFont="1" applyNumberFormat="1"/>
    <xf borderId="78" fillId="17" fontId="30" numFmtId="4" xfId="0" applyAlignment="1" applyBorder="1" applyFont="1" applyNumberFormat="1">
      <alignment readingOrder="0"/>
    </xf>
    <xf borderId="0" fillId="17" fontId="46" numFmtId="4" xfId="0" applyAlignment="1" applyFont="1" applyNumberFormat="1">
      <alignment horizontal="right" vertical="bottom"/>
    </xf>
    <xf borderId="41" fillId="17" fontId="30" numFmtId="4" xfId="0" applyAlignment="1" applyBorder="1" applyFont="1" applyNumberFormat="1">
      <alignment readingOrder="0"/>
    </xf>
    <xf borderId="41" fillId="17" fontId="46" numFmtId="4" xfId="0" applyAlignment="1" applyBorder="1" applyFont="1" applyNumberFormat="1">
      <alignment horizontal="right" vertical="bottom"/>
    </xf>
    <xf borderId="0" fillId="17" fontId="30" numFmtId="0" xfId="0" applyFont="1"/>
    <xf borderId="29" fillId="17" fontId="46" numFmtId="4" xfId="0" applyAlignment="1" applyBorder="1" applyFont="1" applyNumberFormat="1">
      <alignment horizontal="right" vertical="bottom"/>
    </xf>
    <xf borderId="26" fillId="3" fontId="13" numFmtId="0" xfId="0" applyAlignment="1" applyBorder="1" applyFont="1">
      <alignment horizontal="center" vertical="center"/>
    </xf>
    <xf borderId="74" fillId="3" fontId="13" numFmtId="0" xfId="0" applyAlignment="1" applyBorder="1" applyFont="1">
      <alignment horizontal="center" vertical="bottom"/>
    </xf>
    <xf borderId="78" fillId="3" fontId="48" numFmtId="4" xfId="0" applyAlignment="1" applyBorder="1" applyFont="1" applyNumberFormat="1">
      <alignment horizontal="right" vertical="bottom"/>
    </xf>
    <xf borderId="0" fillId="17" fontId="49" numFmtId="0" xfId="0" applyFont="1"/>
    <xf borderId="69" fillId="17" fontId="47" numFmtId="0" xfId="0" applyAlignment="1" applyBorder="1" applyFont="1">
      <alignment vertical="bottom"/>
    </xf>
    <xf borderId="79" fillId="3" fontId="13" numFmtId="0" xfId="0" applyAlignment="1" applyBorder="1" applyFont="1">
      <alignment horizontal="center" vertical="bottom"/>
    </xf>
    <xf borderId="73" fillId="3" fontId="48" numFmtId="4" xfId="0" applyAlignment="1" applyBorder="1" applyFont="1" applyNumberFormat="1">
      <alignment horizontal="right" vertical="bottom"/>
    </xf>
    <xf borderId="69" fillId="0" fontId="47" numFmtId="0" xfId="0" applyAlignment="1" applyBorder="1" applyFont="1">
      <alignment vertical="bottom"/>
    </xf>
    <xf borderId="75" fillId="15" fontId="0" numFmtId="0" xfId="0" applyAlignment="1" applyBorder="1" applyFont="1">
      <alignment horizontal="center" vertical="center"/>
    </xf>
    <xf borderId="74" fillId="15" fontId="50" numFmtId="0" xfId="0" applyAlignment="1" applyBorder="1" applyFont="1">
      <alignment horizontal="center"/>
    </xf>
    <xf borderId="80" fillId="15" fontId="49" numFmtId="4" xfId="0" applyBorder="1" applyFont="1" applyNumberFormat="1"/>
    <xf borderId="41" fillId="15" fontId="49" numFmtId="4" xfId="0" applyBorder="1" applyFont="1" applyNumberFormat="1"/>
    <xf borderId="0" fillId="0" fontId="49" numFmtId="0" xfId="0" applyFont="1"/>
    <xf borderId="75" fillId="0" fontId="0" numFmtId="0" xfId="0" applyAlignment="1" applyBorder="1" applyFont="1">
      <alignment horizontal="center" vertical="center"/>
    </xf>
    <xf borderId="74" fillId="0" fontId="33" numFmtId="0" xfId="0" applyAlignment="1" applyBorder="1" applyFont="1">
      <alignment horizontal="center"/>
    </xf>
    <xf borderId="78" fillId="0" fontId="30" numFmtId="4" xfId="0" applyBorder="1" applyFont="1" applyNumberFormat="1"/>
    <xf borderId="41" fillId="0" fontId="30" numFmtId="4" xfId="0" applyBorder="1" applyFont="1" applyNumberFormat="1"/>
    <xf borderId="74" fillId="0" fontId="31" numFmtId="0" xfId="0" applyAlignment="1" applyBorder="1" applyFont="1">
      <alignment horizontal="center"/>
    </xf>
    <xf borderId="78" fillId="0" fontId="0" numFmtId="4" xfId="0" applyBorder="1" applyFont="1" applyNumberFormat="1"/>
    <xf borderId="41" fillId="0" fontId="0" numFmtId="4" xfId="0" applyBorder="1" applyFont="1" applyNumberFormat="1"/>
    <xf borderId="75" fillId="18" fontId="0" numFmtId="0" xfId="0" applyAlignment="1" applyBorder="1" applyFill="1" applyFont="1">
      <alignment horizontal="center" vertical="center"/>
    </xf>
    <xf borderId="74" fillId="18" fontId="33" numFmtId="0" xfId="0" applyAlignment="1" applyBorder="1" applyFont="1">
      <alignment horizontal="center"/>
    </xf>
    <xf borderId="80" fillId="18" fontId="30" numFmtId="4" xfId="0" applyBorder="1" applyFont="1" applyNumberFormat="1"/>
    <xf borderId="41" fillId="18" fontId="30" numFmtId="4" xfId="0" applyBorder="1" applyFont="1" applyNumberFormat="1"/>
    <xf borderId="74" fillId="18" fontId="31" numFmtId="0" xfId="0" applyAlignment="1" applyBorder="1" applyFont="1">
      <alignment horizontal="center"/>
    </xf>
    <xf borderId="80" fillId="18" fontId="0" numFmtId="4" xfId="0" applyBorder="1" applyFont="1" applyNumberFormat="1"/>
    <xf borderId="41" fillId="18" fontId="0" numFmtId="4" xfId="0" applyBorder="1" applyFont="1" applyNumberFormat="1"/>
    <xf borderId="26" fillId="18" fontId="0" numFmtId="0" xfId="0" applyAlignment="1" applyBorder="1" applyFont="1">
      <alignment horizontal="center" vertical="center"/>
    </xf>
    <xf borderId="41" fillId="0" fontId="0" numFmtId="0" xfId="0" applyBorder="1" applyFont="1"/>
    <xf borderId="78" fillId="0" fontId="0" numFmtId="0" xfId="0" applyBorder="1" applyFont="1"/>
    <xf borderId="19" fillId="19" fontId="0" numFmtId="0" xfId="0" applyBorder="1" applyFill="1" applyFont="1"/>
    <xf borderId="26" fillId="0" fontId="0" numFmtId="0" xfId="0" applyAlignment="1" applyBorder="1" applyFont="1">
      <alignment horizontal="center" vertical="center"/>
    </xf>
    <xf borderId="19" fillId="19" fontId="30" numFmtId="0" xfId="0" applyBorder="1" applyFont="1"/>
    <xf borderId="26" fillId="16" fontId="30" numFmtId="0" xfId="0" applyAlignment="1" applyBorder="1" applyFont="1">
      <alignment horizontal="center" vertical="center"/>
    </xf>
    <xf borderId="74" fillId="16" fontId="33" numFmtId="0" xfId="0" applyAlignment="1" applyBorder="1" applyFont="1">
      <alignment horizontal="center"/>
    </xf>
    <xf borderId="80" fillId="16" fontId="30" numFmtId="4" xfId="0" applyBorder="1" applyFont="1" applyNumberFormat="1"/>
    <xf borderId="41" fillId="16" fontId="30" numFmtId="4" xfId="0" applyBorder="1" applyFont="1" applyNumberFormat="1"/>
    <xf borderId="0" fillId="3" fontId="4" numFmtId="0" xfId="0" applyAlignment="1" applyFont="1">
      <alignment vertical="bottom"/>
    </xf>
    <xf borderId="0" fillId="3" fontId="46" numFmtId="0" xfId="0" applyAlignment="1" applyFont="1">
      <alignment vertical="bottom"/>
    </xf>
    <xf borderId="0" fillId="3" fontId="46" numFmtId="0" xfId="0" applyAlignment="1" applyFont="1">
      <alignment horizontal="right" readingOrder="0" vertical="bottom"/>
    </xf>
    <xf borderId="0" fillId="3" fontId="46" numFmtId="0" xfId="0" applyAlignment="1" applyFont="1">
      <alignment horizontal="right" vertical="bottom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857250" cy="8572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285750" cy="285750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285750" cy="285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285750" cy="2857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3.86"/>
    <col customWidth="1" min="2" max="26" width="8.71"/>
  </cols>
  <sheetData>
    <row r="1" ht="11.2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--- "&amp;mid(ADHB!C7,3,100)</f>
        <v>Pertanian --- Jasa Pertanian, dan Perburuan 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8.2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10.43"/>
    <col customWidth="1" min="2" max="2" width="5.86"/>
    <col customWidth="1" min="3" max="3" width="38.71"/>
  </cols>
  <sheetData>
    <row r="2">
      <c r="A2" s="29" t="s">
        <v>22</v>
      </c>
    </row>
    <row r="4" ht="31.5" customHeight="1">
      <c r="A4" s="30" t="s">
        <v>23</v>
      </c>
      <c r="B4" s="31" t="s">
        <v>24</v>
      </c>
      <c r="C4" s="32"/>
      <c r="D4" s="33">
        <v>2008.0</v>
      </c>
      <c r="E4" s="34"/>
      <c r="F4" s="34"/>
      <c r="G4" s="34"/>
      <c r="H4" s="35"/>
      <c r="I4" s="33">
        <v>2009.0</v>
      </c>
      <c r="J4" s="34"/>
      <c r="K4" s="34"/>
      <c r="L4" s="34"/>
      <c r="M4" s="35"/>
      <c r="N4" s="33">
        <v>2010.0</v>
      </c>
      <c r="O4" s="34"/>
      <c r="P4" s="34"/>
      <c r="Q4" s="34"/>
      <c r="R4" s="35"/>
      <c r="S4" s="33">
        <v>2011.0</v>
      </c>
      <c r="T4" s="34"/>
      <c r="U4" s="34"/>
      <c r="V4" s="34"/>
      <c r="W4" s="35"/>
      <c r="X4" s="33">
        <v>2012.0</v>
      </c>
      <c r="Y4" s="34"/>
      <c r="Z4" s="34"/>
      <c r="AA4" s="34"/>
      <c r="AB4" s="35"/>
      <c r="AC4" s="33">
        <v>2013.0</v>
      </c>
      <c r="AD4" s="34"/>
      <c r="AE4" s="34"/>
      <c r="AF4" s="34"/>
      <c r="AG4" s="35"/>
      <c r="AH4" s="33">
        <v>2014.0</v>
      </c>
      <c r="AI4" s="34"/>
      <c r="AJ4" s="34"/>
      <c r="AK4" s="34"/>
      <c r="AL4" s="35"/>
      <c r="AM4" s="33">
        <v>2015.0</v>
      </c>
      <c r="AN4" s="34"/>
      <c r="AO4" s="34"/>
      <c r="AP4" s="34"/>
      <c r="AQ4" s="35"/>
      <c r="AR4" s="33">
        <v>2016.0</v>
      </c>
      <c r="AS4" s="34"/>
      <c r="AT4" s="34"/>
      <c r="AU4" s="34"/>
      <c r="AV4" s="35"/>
      <c r="AW4" s="33">
        <v>2017.0</v>
      </c>
      <c r="AX4" s="34"/>
      <c r="AY4" s="34"/>
      <c r="AZ4" s="34"/>
      <c r="BA4" s="35"/>
      <c r="BB4" s="33">
        <v>2018.0</v>
      </c>
      <c r="BC4" s="34"/>
      <c r="BD4" s="34"/>
      <c r="BE4" s="34"/>
      <c r="BF4" s="35"/>
      <c r="BG4" s="33">
        <v>2019.0</v>
      </c>
      <c r="BH4" s="34"/>
      <c r="BI4" s="34"/>
      <c r="BJ4" s="34"/>
      <c r="BK4" s="35"/>
      <c r="BL4" s="33">
        <v>2020.0</v>
      </c>
      <c r="BM4" s="34"/>
      <c r="BN4" s="34"/>
      <c r="BO4" s="34"/>
      <c r="BP4" s="35"/>
      <c r="BQ4" s="33">
        <f>BL4+1</f>
        <v>2021</v>
      </c>
      <c r="BR4" s="34"/>
      <c r="BS4" s="34"/>
      <c r="BT4" s="34"/>
      <c r="BU4" s="35"/>
      <c r="BV4" s="33">
        <f>BQ4+1</f>
        <v>2022</v>
      </c>
      <c r="BW4" s="34"/>
      <c r="BX4" s="34"/>
      <c r="BY4" s="34"/>
      <c r="BZ4" s="35"/>
      <c r="CA4" s="33">
        <f>BV4+1</f>
        <v>2023</v>
      </c>
      <c r="CB4" s="34"/>
      <c r="CC4" s="34"/>
      <c r="CD4" s="34"/>
      <c r="CE4" s="35"/>
      <c r="CF4" s="33">
        <f>CA4+1</f>
        <v>2024</v>
      </c>
      <c r="CG4" s="34"/>
      <c r="CH4" s="34"/>
      <c r="CI4" s="34"/>
      <c r="CJ4" s="35"/>
      <c r="CK4" s="33">
        <f>CF4+1</f>
        <v>2025</v>
      </c>
      <c r="CL4" s="34"/>
      <c r="CM4" s="34"/>
      <c r="CN4" s="34"/>
      <c r="CO4" s="35"/>
      <c r="CP4" s="33">
        <f>CK4+1</f>
        <v>2026</v>
      </c>
      <c r="CQ4" s="34"/>
      <c r="CR4" s="34"/>
      <c r="CS4" s="34"/>
      <c r="CT4" s="35"/>
      <c r="CU4" s="33">
        <f>CP4+1</f>
        <v>2027</v>
      </c>
      <c r="CV4" s="34"/>
      <c r="CW4" s="34"/>
      <c r="CX4" s="34"/>
      <c r="CY4" s="35"/>
      <c r="CZ4" s="36"/>
      <c r="DA4" s="36"/>
    </row>
    <row r="5">
      <c r="A5" s="37"/>
      <c r="B5" s="38"/>
      <c r="C5" s="39"/>
      <c r="D5" s="30" t="s">
        <v>25</v>
      </c>
      <c r="E5" s="30" t="s">
        <v>26</v>
      </c>
      <c r="F5" s="30" t="s">
        <v>27</v>
      </c>
      <c r="G5" s="30" t="s">
        <v>28</v>
      </c>
      <c r="H5" s="30" t="s">
        <v>29</v>
      </c>
      <c r="I5" s="30" t="s">
        <v>25</v>
      </c>
      <c r="J5" s="30" t="s">
        <v>26</v>
      </c>
      <c r="K5" s="30" t="s">
        <v>27</v>
      </c>
      <c r="L5" s="30" t="s">
        <v>28</v>
      </c>
      <c r="M5" s="30" t="s">
        <v>29</v>
      </c>
      <c r="N5" s="30" t="s">
        <v>25</v>
      </c>
      <c r="O5" s="30" t="s">
        <v>26</v>
      </c>
      <c r="P5" s="30" t="s">
        <v>27</v>
      </c>
      <c r="Q5" s="30" t="s">
        <v>28</v>
      </c>
      <c r="R5" s="30" t="s">
        <v>29</v>
      </c>
      <c r="S5" s="30" t="s">
        <v>25</v>
      </c>
      <c r="T5" s="30" t="s">
        <v>26</v>
      </c>
      <c r="U5" s="30" t="s">
        <v>27</v>
      </c>
      <c r="V5" s="30" t="s">
        <v>28</v>
      </c>
      <c r="W5" s="30" t="s">
        <v>29</v>
      </c>
      <c r="X5" s="30" t="s">
        <v>25</v>
      </c>
      <c r="Y5" s="30" t="s">
        <v>26</v>
      </c>
      <c r="Z5" s="30" t="s">
        <v>27</v>
      </c>
      <c r="AA5" s="30" t="s">
        <v>28</v>
      </c>
      <c r="AB5" s="30" t="s">
        <v>29</v>
      </c>
      <c r="AC5" s="30" t="s">
        <v>25</v>
      </c>
      <c r="AD5" s="30" t="s">
        <v>26</v>
      </c>
      <c r="AE5" s="30" t="s">
        <v>27</v>
      </c>
      <c r="AF5" s="30" t="s">
        <v>28</v>
      </c>
      <c r="AG5" s="30" t="s">
        <v>29</v>
      </c>
      <c r="AH5" s="30" t="s">
        <v>25</v>
      </c>
      <c r="AI5" s="30" t="s">
        <v>26</v>
      </c>
      <c r="AJ5" s="30" t="s">
        <v>27</v>
      </c>
      <c r="AK5" s="30" t="s">
        <v>28</v>
      </c>
      <c r="AL5" s="30" t="s">
        <v>29</v>
      </c>
      <c r="AM5" s="30" t="s">
        <v>25</v>
      </c>
      <c r="AN5" s="30" t="s">
        <v>26</v>
      </c>
      <c r="AO5" s="30" t="s">
        <v>27</v>
      </c>
      <c r="AP5" s="30" t="s">
        <v>28</v>
      </c>
      <c r="AQ5" s="30" t="s">
        <v>29</v>
      </c>
      <c r="AR5" s="30" t="s">
        <v>25</v>
      </c>
      <c r="AS5" s="30" t="s">
        <v>26</v>
      </c>
      <c r="AT5" s="30" t="s">
        <v>27</v>
      </c>
      <c r="AU5" s="30" t="s">
        <v>28</v>
      </c>
      <c r="AV5" s="30" t="s">
        <v>29</v>
      </c>
      <c r="AW5" s="30" t="s">
        <v>25</v>
      </c>
      <c r="AX5" s="30" t="s">
        <v>26</v>
      </c>
      <c r="AY5" s="30" t="s">
        <v>27</v>
      </c>
      <c r="AZ5" s="30" t="s">
        <v>28</v>
      </c>
      <c r="BA5" s="30" t="s">
        <v>29</v>
      </c>
      <c r="BB5" s="30" t="s">
        <v>25</v>
      </c>
      <c r="BC5" s="30" t="s">
        <v>26</v>
      </c>
      <c r="BD5" s="30" t="s">
        <v>27</v>
      </c>
      <c r="BE5" s="30" t="s">
        <v>28</v>
      </c>
      <c r="BF5" s="30" t="s">
        <v>29</v>
      </c>
      <c r="BG5" s="30" t="s">
        <v>25</v>
      </c>
      <c r="BH5" s="30" t="s">
        <v>26</v>
      </c>
      <c r="BI5" s="30" t="s">
        <v>27</v>
      </c>
      <c r="BJ5" s="30" t="s">
        <v>28</v>
      </c>
      <c r="BK5" s="30" t="s">
        <v>29</v>
      </c>
      <c r="BL5" s="30" t="s">
        <v>25</v>
      </c>
      <c r="BM5" s="30" t="s">
        <v>26</v>
      </c>
      <c r="BN5" s="30" t="s">
        <v>27</v>
      </c>
      <c r="BO5" s="30" t="s">
        <v>28</v>
      </c>
      <c r="BP5" s="30" t="s">
        <v>29</v>
      </c>
      <c r="BQ5" s="30" t="s">
        <v>25</v>
      </c>
      <c r="BR5" s="40" t="s">
        <v>26</v>
      </c>
      <c r="BS5" s="30" t="s">
        <v>27</v>
      </c>
      <c r="BT5" s="30" t="s">
        <v>28</v>
      </c>
      <c r="BU5" s="30" t="s">
        <v>29</v>
      </c>
      <c r="BV5" s="30" t="s">
        <v>25</v>
      </c>
      <c r="BW5" s="30" t="s">
        <v>26</v>
      </c>
      <c r="BX5" s="30" t="s">
        <v>27</v>
      </c>
      <c r="BY5" s="30" t="s">
        <v>28</v>
      </c>
      <c r="BZ5" s="30" t="s">
        <v>29</v>
      </c>
      <c r="CA5" s="30" t="s">
        <v>25</v>
      </c>
      <c r="CB5" s="30" t="s">
        <v>26</v>
      </c>
      <c r="CC5" s="30" t="s">
        <v>27</v>
      </c>
      <c r="CD5" s="30" t="s">
        <v>28</v>
      </c>
      <c r="CE5" s="30" t="s">
        <v>29</v>
      </c>
      <c r="CF5" s="30" t="s">
        <v>25</v>
      </c>
      <c r="CG5" s="30" t="s">
        <v>26</v>
      </c>
      <c r="CH5" s="30" t="s">
        <v>27</v>
      </c>
      <c r="CI5" s="30" t="s">
        <v>28</v>
      </c>
      <c r="CJ5" s="30" t="s">
        <v>29</v>
      </c>
      <c r="CK5" s="30" t="s">
        <v>25</v>
      </c>
      <c r="CL5" s="30" t="s">
        <v>26</v>
      </c>
      <c r="CM5" s="30" t="s">
        <v>27</v>
      </c>
      <c r="CN5" s="30" t="s">
        <v>28</v>
      </c>
      <c r="CO5" s="30" t="s">
        <v>29</v>
      </c>
      <c r="CP5" s="30" t="s">
        <v>25</v>
      </c>
      <c r="CQ5" s="30" t="s">
        <v>26</v>
      </c>
      <c r="CR5" s="30" t="s">
        <v>27</v>
      </c>
      <c r="CS5" s="30" t="s">
        <v>28</v>
      </c>
      <c r="CT5" s="30" t="s">
        <v>29</v>
      </c>
      <c r="CU5" s="30" t="s">
        <v>25</v>
      </c>
      <c r="CV5" s="30" t="s">
        <v>26</v>
      </c>
      <c r="CW5" s="30" t="s">
        <v>27</v>
      </c>
      <c r="CX5" s="30" t="s">
        <v>28</v>
      </c>
      <c r="CY5" s="30" t="s">
        <v>29</v>
      </c>
      <c r="CZ5" s="36"/>
      <c r="DA5" s="36"/>
    </row>
    <row r="6">
      <c r="A6" s="41"/>
      <c r="B6" s="42"/>
      <c r="C6" s="43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36"/>
      <c r="DA6" s="36"/>
    </row>
    <row r="7">
      <c r="A7" s="44">
        <v>-1.0</v>
      </c>
      <c r="B7" s="45">
        <v>-2.0</v>
      </c>
      <c r="C7" s="35"/>
      <c r="D7" s="44">
        <f>B7-1</f>
        <v>-3</v>
      </c>
      <c r="E7" s="44">
        <f t="shared" ref="E7:CY7" si="1">D7-1</f>
        <v>-4</v>
      </c>
      <c r="F7" s="44">
        <f t="shared" si="1"/>
        <v>-5</v>
      </c>
      <c r="G7" s="44">
        <f t="shared" si="1"/>
        <v>-6</v>
      </c>
      <c r="H7" s="44">
        <f t="shared" si="1"/>
        <v>-7</v>
      </c>
      <c r="I7" s="44">
        <f t="shared" si="1"/>
        <v>-8</v>
      </c>
      <c r="J7" s="44">
        <f t="shared" si="1"/>
        <v>-9</v>
      </c>
      <c r="K7" s="44">
        <f t="shared" si="1"/>
        <v>-10</v>
      </c>
      <c r="L7" s="44">
        <f t="shared" si="1"/>
        <v>-11</v>
      </c>
      <c r="M7" s="44">
        <f t="shared" si="1"/>
        <v>-12</v>
      </c>
      <c r="N7" s="44">
        <f t="shared" si="1"/>
        <v>-13</v>
      </c>
      <c r="O7" s="44">
        <f t="shared" si="1"/>
        <v>-14</v>
      </c>
      <c r="P7" s="44">
        <f t="shared" si="1"/>
        <v>-15</v>
      </c>
      <c r="Q7" s="44">
        <f t="shared" si="1"/>
        <v>-16</v>
      </c>
      <c r="R7" s="44">
        <f t="shared" si="1"/>
        <v>-17</v>
      </c>
      <c r="S7" s="44">
        <f t="shared" si="1"/>
        <v>-18</v>
      </c>
      <c r="T7" s="44">
        <f t="shared" si="1"/>
        <v>-19</v>
      </c>
      <c r="U7" s="44">
        <f t="shared" si="1"/>
        <v>-20</v>
      </c>
      <c r="V7" s="44">
        <f t="shared" si="1"/>
        <v>-21</v>
      </c>
      <c r="W7" s="44">
        <f t="shared" si="1"/>
        <v>-22</v>
      </c>
      <c r="X7" s="44">
        <f t="shared" si="1"/>
        <v>-23</v>
      </c>
      <c r="Y7" s="44">
        <f t="shared" si="1"/>
        <v>-24</v>
      </c>
      <c r="Z7" s="44">
        <f t="shared" si="1"/>
        <v>-25</v>
      </c>
      <c r="AA7" s="44">
        <f t="shared" si="1"/>
        <v>-26</v>
      </c>
      <c r="AB7" s="44">
        <f t="shared" si="1"/>
        <v>-27</v>
      </c>
      <c r="AC7" s="44">
        <f t="shared" si="1"/>
        <v>-28</v>
      </c>
      <c r="AD7" s="44">
        <f t="shared" si="1"/>
        <v>-29</v>
      </c>
      <c r="AE7" s="44">
        <f t="shared" si="1"/>
        <v>-30</v>
      </c>
      <c r="AF7" s="44">
        <f t="shared" si="1"/>
        <v>-31</v>
      </c>
      <c r="AG7" s="44">
        <f t="shared" si="1"/>
        <v>-32</v>
      </c>
      <c r="AH7" s="44">
        <f t="shared" si="1"/>
        <v>-33</v>
      </c>
      <c r="AI7" s="44">
        <f t="shared" si="1"/>
        <v>-34</v>
      </c>
      <c r="AJ7" s="44">
        <f t="shared" si="1"/>
        <v>-35</v>
      </c>
      <c r="AK7" s="44">
        <f t="shared" si="1"/>
        <v>-36</v>
      </c>
      <c r="AL7" s="44">
        <f t="shared" si="1"/>
        <v>-37</v>
      </c>
      <c r="AM7" s="44">
        <f t="shared" si="1"/>
        <v>-38</v>
      </c>
      <c r="AN7" s="44">
        <f t="shared" si="1"/>
        <v>-39</v>
      </c>
      <c r="AO7" s="44">
        <f t="shared" si="1"/>
        <v>-40</v>
      </c>
      <c r="AP7" s="44">
        <f t="shared" si="1"/>
        <v>-41</v>
      </c>
      <c r="AQ7" s="44">
        <f t="shared" si="1"/>
        <v>-42</v>
      </c>
      <c r="AR7" s="44">
        <f t="shared" si="1"/>
        <v>-43</v>
      </c>
      <c r="AS7" s="44">
        <f t="shared" si="1"/>
        <v>-44</v>
      </c>
      <c r="AT7" s="44">
        <f t="shared" si="1"/>
        <v>-45</v>
      </c>
      <c r="AU7" s="44">
        <f t="shared" si="1"/>
        <v>-46</v>
      </c>
      <c r="AV7" s="44">
        <f t="shared" si="1"/>
        <v>-47</v>
      </c>
      <c r="AW7" s="44">
        <f t="shared" si="1"/>
        <v>-48</v>
      </c>
      <c r="AX7" s="44">
        <f t="shared" si="1"/>
        <v>-49</v>
      </c>
      <c r="AY7" s="44">
        <f t="shared" si="1"/>
        <v>-50</v>
      </c>
      <c r="AZ7" s="44">
        <f t="shared" si="1"/>
        <v>-51</v>
      </c>
      <c r="BA7" s="44">
        <f t="shared" si="1"/>
        <v>-52</v>
      </c>
      <c r="BB7" s="44">
        <f t="shared" si="1"/>
        <v>-53</v>
      </c>
      <c r="BC7" s="44">
        <f t="shared" si="1"/>
        <v>-54</v>
      </c>
      <c r="BD7" s="44">
        <f t="shared" si="1"/>
        <v>-55</v>
      </c>
      <c r="BE7" s="44">
        <f t="shared" si="1"/>
        <v>-56</v>
      </c>
      <c r="BF7" s="44">
        <f t="shared" si="1"/>
        <v>-57</v>
      </c>
      <c r="BG7" s="44">
        <f t="shared" si="1"/>
        <v>-58</v>
      </c>
      <c r="BH7" s="44">
        <f t="shared" si="1"/>
        <v>-59</v>
      </c>
      <c r="BI7" s="44">
        <f t="shared" si="1"/>
        <v>-60</v>
      </c>
      <c r="BJ7" s="44">
        <f t="shared" si="1"/>
        <v>-61</v>
      </c>
      <c r="BK7" s="44">
        <f t="shared" si="1"/>
        <v>-62</v>
      </c>
      <c r="BL7" s="44">
        <f t="shared" si="1"/>
        <v>-63</v>
      </c>
      <c r="BM7" s="44">
        <f t="shared" si="1"/>
        <v>-64</v>
      </c>
      <c r="BN7" s="44">
        <f t="shared" si="1"/>
        <v>-65</v>
      </c>
      <c r="BO7" s="44">
        <f t="shared" si="1"/>
        <v>-66</v>
      </c>
      <c r="BP7" s="44">
        <f t="shared" si="1"/>
        <v>-67</v>
      </c>
      <c r="BQ7" s="44">
        <f t="shared" si="1"/>
        <v>-68</v>
      </c>
      <c r="BR7" s="44">
        <f t="shared" si="1"/>
        <v>-69</v>
      </c>
      <c r="BS7" s="44">
        <f t="shared" si="1"/>
        <v>-70</v>
      </c>
      <c r="BT7" s="44">
        <f t="shared" si="1"/>
        <v>-71</v>
      </c>
      <c r="BU7" s="44">
        <f t="shared" si="1"/>
        <v>-72</v>
      </c>
      <c r="BV7" s="44">
        <f t="shared" si="1"/>
        <v>-73</v>
      </c>
      <c r="BW7" s="44">
        <f t="shared" si="1"/>
        <v>-74</v>
      </c>
      <c r="BX7" s="44">
        <f t="shared" si="1"/>
        <v>-75</v>
      </c>
      <c r="BY7" s="44">
        <f t="shared" si="1"/>
        <v>-76</v>
      </c>
      <c r="BZ7" s="44">
        <f t="shared" si="1"/>
        <v>-77</v>
      </c>
      <c r="CA7" s="44">
        <f t="shared" si="1"/>
        <v>-78</v>
      </c>
      <c r="CB7" s="44">
        <f t="shared" si="1"/>
        <v>-79</v>
      </c>
      <c r="CC7" s="44">
        <f t="shared" si="1"/>
        <v>-80</v>
      </c>
      <c r="CD7" s="44">
        <f t="shared" si="1"/>
        <v>-81</v>
      </c>
      <c r="CE7" s="44">
        <f t="shared" si="1"/>
        <v>-82</v>
      </c>
      <c r="CF7" s="44">
        <f t="shared" si="1"/>
        <v>-83</v>
      </c>
      <c r="CG7" s="44">
        <f t="shared" si="1"/>
        <v>-84</v>
      </c>
      <c r="CH7" s="44">
        <f t="shared" si="1"/>
        <v>-85</v>
      </c>
      <c r="CI7" s="44">
        <f t="shared" si="1"/>
        <v>-86</v>
      </c>
      <c r="CJ7" s="44">
        <f t="shared" si="1"/>
        <v>-87</v>
      </c>
      <c r="CK7" s="44">
        <f t="shared" si="1"/>
        <v>-88</v>
      </c>
      <c r="CL7" s="44">
        <f t="shared" si="1"/>
        <v>-89</v>
      </c>
      <c r="CM7" s="44">
        <f t="shared" si="1"/>
        <v>-90</v>
      </c>
      <c r="CN7" s="44">
        <f t="shared" si="1"/>
        <v>-91</v>
      </c>
      <c r="CO7" s="44">
        <f t="shared" si="1"/>
        <v>-92</v>
      </c>
      <c r="CP7" s="44">
        <f t="shared" si="1"/>
        <v>-93</v>
      </c>
      <c r="CQ7" s="44">
        <f t="shared" si="1"/>
        <v>-94</v>
      </c>
      <c r="CR7" s="44">
        <f t="shared" si="1"/>
        <v>-95</v>
      </c>
      <c r="CS7" s="44">
        <f t="shared" si="1"/>
        <v>-96</v>
      </c>
      <c r="CT7" s="44">
        <f t="shared" si="1"/>
        <v>-97</v>
      </c>
      <c r="CU7" s="44">
        <f t="shared" si="1"/>
        <v>-98</v>
      </c>
      <c r="CV7" s="44">
        <f t="shared" si="1"/>
        <v>-99</v>
      </c>
      <c r="CW7" s="44">
        <f t="shared" si="1"/>
        <v>-100</v>
      </c>
      <c r="CX7" s="44">
        <f t="shared" si="1"/>
        <v>-101</v>
      </c>
      <c r="CY7" s="44">
        <f t="shared" si="1"/>
        <v>-102</v>
      </c>
      <c r="CZ7" s="46"/>
      <c r="DA7" s="46"/>
    </row>
    <row r="8" ht="6.0" customHeight="1">
      <c r="A8" s="47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50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</row>
    <row r="9">
      <c r="A9" s="51"/>
      <c r="B9" s="52"/>
      <c r="C9" s="53"/>
    </row>
    <row r="10">
      <c r="A10" s="51" t="s">
        <v>30</v>
      </c>
      <c r="B10" s="52" t="s">
        <v>31</v>
      </c>
      <c r="C10" s="53"/>
    </row>
    <row r="11">
      <c r="A11" s="54"/>
      <c r="B11" s="55"/>
      <c r="C11" s="56" t="s">
        <v>32</v>
      </c>
      <c r="D11" s="57" t="str">
        <f>IFERROR(__xludf.DUMMYFUNCTION("IMPORTRANGE(""https://docs.google.com/spreadsheets/d/1fq0UU7JJVw2Mabie5r5T24vSCZ0NCG-3waFyMjDP7Qo/edit#gid=1235587625"",""Prod_Awal!D11:ZZ16"")"),"")</f>
        <v/>
      </c>
      <c r="E11" s="57"/>
      <c r="F11" s="57"/>
      <c r="G11" s="57"/>
      <c r="H11" s="57"/>
      <c r="I11" s="57"/>
      <c r="J11" s="57"/>
      <c r="K11" s="57"/>
      <c r="L11" s="57"/>
      <c r="M11" s="57"/>
      <c r="N11" s="58">
        <f>IFERROR(__xludf.DUMMYFUNCTION("""COMPUTED_VALUE"""),232254.35059033884)</f>
        <v>232254.3506</v>
      </c>
      <c r="O11" s="58">
        <f>IFERROR(__xludf.DUMMYFUNCTION("""COMPUTED_VALUE"""),418773.9234406652)</f>
        <v>418773.9234</v>
      </c>
      <c r="P11" s="58">
        <f>IFERROR(__xludf.DUMMYFUNCTION("""COMPUTED_VALUE"""),381795.4781181837)</f>
        <v>381795.4781</v>
      </c>
      <c r="Q11" s="58">
        <f>IFERROR(__xludf.DUMMYFUNCTION("""COMPUTED_VALUE"""),309260.3277478123)</f>
        <v>309260.3277</v>
      </c>
      <c r="R11" s="58">
        <f>IFERROR(__xludf.DUMMYFUNCTION("""COMPUTED_VALUE"""),1342084.079897)</f>
        <v>1342084.08</v>
      </c>
      <c r="S11" s="58">
        <f>IFERROR(__xludf.DUMMYFUNCTION("""COMPUTED_VALUE"""),311278.7353187434)</f>
        <v>311278.7353</v>
      </c>
      <c r="T11" s="58">
        <f>IFERROR(__xludf.DUMMYFUNCTION("""COMPUTED_VALUE"""),404863.7340247067)</f>
        <v>404863.734</v>
      </c>
      <c r="U11" s="58">
        <f>IFERROR(__xludf.DUMMYFUNCTION("""COMPUTED_VALUE"""),430576.07589403685)</f>
        <v>430576.0759</v>
      </c>
      <c r="V11" s="58">
        <f>IFERROR(__xludf.DUMMYFUNCTION("""COMPUTED_VALUE"""),343536.57169487444)</f>
        <v>343536.5717</v>
      </c>
      <c r="W11" s="58">
        <f>IFERROR(__xludf.DUMMYFUNCTION("""COMPUTED_VALUE"""),1490255.1169323614)</f>
        <v>1490255.117</v>
      </c>
      <c r="X11" s="58">
        <f>IFERROR(__xludf.DUMMYFUNCTION("""COMPUTED_VALUE"""),376375.830442591)</f>
        <v>376375.8304</v>
      </c>
      <c r="Y11" s="58">
        <f>IFERROR(__xludf.DUMMYFUNCTION("""COMPUTED_VALUE"""),552864.8561710732)</f>
        <v>552864.8562</v>
      </c>
      <c r="Z11" s="58">
        <f>IFERROR(__xludf.DUMMYFUNCTION("""COMPUTED_VALUE"""),472053.4258662213)</f>
        <v>472053.4259</v>
      </c>
      <c r="AA11" s="58">
        <f>IFERROR(__xludf.DUMMYFUNCTION("""COMPUTED_VALUE"""),360677.7892274253)</f>
        <v>360677.7892</v>
      </c>
      <c r="AB11" s="58">
        <f>IFERROR(__xludf.DUMMYFUNCTION("""COMPUTED_VALUE"""),1761971.901707311)</f>
        <v>1761971.902</v>
      </c>
      <c r="AC11" s="58">
        <f>IFERROR(__xludf.DUMMYFUNCTION("""COMPUTED_VALUE"""),440716.0222510425)</f>
        <v>440716.0223</v>
      </c>
      <c r="AD11" s="58">
        <f>IFERROR(__xludf.DUMMYFUNCTION("""COMPUTED_VALUE"""),557367.2602548022)</f>
        <v>557367.2603</v>
      </c>
      <c r="AE11" s="58">
        <f>IFERROR(__xludf.DUMMYFUNCTION("""COMPUTED_VALUE"""),488909.4686740373)</f>
        <v>488909.4687</v>
      </c>
      <c r="AF11" s="58">
        <f>IFERROR(__xludf.DUMMYFUNCTION("""COMPUTED_VALUE"""),431644.0046495912)</f>
        <v>431644.0046</v>
      </c>
      <c r="AG11" s="58">
        <f>IFERROR(__xludf.DUMMYFUNCTION("""COMPUTED_VALUE"""),1918636.7558294733)</f>
        <v>1918636.756</v>
      </c>
      <c r="AH11" s="58">
        <f>IFERROR(__xludf.DUMMYFUNCTION("""COMPUTED_VALUE"""),530973.4353016787)</f>
        <v>530973.4353</v>
      </c>
      <c r="AI11" s="58">
        <f>IFERROR(__xludf.DUMMYFUNCTION("""COMPUTED_VALUE"""),582480.6620408448)</f>
        <v>582480.662</v>
      </c>
      <c r="AJ11" s="58">
        <f>IFERROR(__xludf.DUMMYFUNCTION("""COMPUTED_VALUE"""),663543.0815713655)</f>
        <v>663543.0816</v>
      </c>
      <c r="AK11" s="58">
        <f>IFERROR(__xludf.DUMMYFUNCTION("""COMPUTED_VALUE"""),503397.239797868)</f>
        <v>503397.2398</v>
      </c>
      <c r="AL11" s="58">
        <f>IFERROR(__xludf.DUMMYFUNCTION("""COMPUTED_VALUE"""),2280394.418711757)</f>
        <v>2280394.419</v>
      </c>
      <c r="AM11" s="58">
        <f>IFERROR(__xludf.DUMMYFUNCTION("""COMPUTED_VALUE"""),467916.9855157)</f>
        <v>467916.9855</v>
      </c>
      <c r="AN11" s="58">
        <f>IFERROR(__xludf.DUMMYFUNCTION("""COMPUTED_VALUE"""),683524.33421106)</f>
        <v>683524.3342</v>
      </c>
      <c r="AO11" s="58">
        <f>IFERROR(__xludf.DUMMYFUNCTION("""COMPUTED_VALUE"""),663740.00791083)</f>
        <v>663740.0079</v>
      </c>
      <c r="AP11" s="58">
        <f>IFERROR(__xludf.DUMMYFUNCTION("""COMPUTED_VALUE"""),613976.6316785201)</f>
        <v>613976.6317</v>
      </c>
      <c r="AQ11" s="58">
        <f>IFERROR(__xludf.DUMMYFUNCTION("""COMPUTED_VALUE"""),2429157.9593161102)</f>
        <v>2429157.959</v>
      </c>
      <c r="AR11" s="58">
        <f>IFERROR(__xludf.DUMMYFUNCTION("""COMPUTED_VALUE"""),465739.3515028147)</f>
        <v>465739.3515</v>
      </c>
      <c r="AS11" s="58">
        <f>IFERROR(__xludf.DUMMYFUNCTION("""COMPUTED_VALUE"""),701389.7810608575)</f>
        <v>701389.7811</v>
      </c>
      <c r="AT11" s="58">
        <f>IFERROR(__xludf.DUMMYFUNCTION("""COMPUTED_VALUE"""),602924.491707013)</f>
        <v>602924.4917</v>
      </c>
      <c r="AU11" s="58">
        <f>IFERROR(__xludf.DUMMYFUNCTION("""COMPUTED_VALUE"""),642422.8040689554)</f>
        <v>642422.8041</v>
      </c>
      <c r="AV11" s="58">
        <f>IFERROR(__xludf.DUMMYFUNCTION("""COMPUTED_VALUE"""),2412476.4283396406)</f>
        <v>2412476.428</v>
      </c>
      <c r="AW11" s="58">
        <f>IFERROR(__xludf.DUMMYFUNCTION("""COMPUTED_VALUE"""),507075.58485550666)</f>
        <v>507075.5849</v>
      </c>
      <c r="AX11" s="58">
        <f>IFERROR(__xludf.DUMMYFUNCTION("""COMPUTED_VALUE"""),678798.6780578363)</f>
        <v>678798.6781</v>
      </c>
      <c r="AY11" s="58">
        <f>IFERROR(__xludf.DUMMYFUNCTION("""COMPUTED_VALUE"""),578735.651261969)</f>
        <v>578735.6513</v>
      </c>
      <c r="AZ11" s="58">
        <f>IFERROR(__xludf.DUMMYFUNCTION("""COMPUTED_VALUE"""),614972.2600069038)</f>
        <v>614972.26</v>
      </c>
      <c r="BA11" s="58">
        <f>IFERROR(__xludf.DUMMYFUNCTION("""COMPUTED_VALUE"""),2379582.1741822157)</f>
        <v>2379582.174</v>
      </c>
      <c r="BB11" s="58">
        <f>IFERROR(__xludf.DUMMYFUNCTION("""COMPUTED_VALUE"""),594786.3752807037)</f>
        <v>594786.3753</v>
      </c>
      <c r="BC11" s="58">
        <f>IFERROR(__xludf.DUMMYFUNCTION("""COMPUTED_VALUE"""),684726.3405892988)</f>
        <v>684726.3406</v>
      </c>
      <c r="BD11" s="58">
        <f>IFERROR(__xludf.DUMMYFUNCTION("""COMPUTED_VALUE"""),581470.1858745128)</f>
        <v>581470.1859</v>
      </c>
      <c r="BE11" s="58">
        <f>IFERROR(__xludf.DUMMYFUNCTION("""COMPUTED_VALUE"""),632910.8188813117)</f>
        <v>632910.8189</v>
      </c>
      <c r="BF11" s="58">
        <f>IFERROR(__xludf.DUMMYFUNCTION("""COMPUTED_VALUE"""),2493893.720625827)</f>
        <v>2493893.721</v>
      </c>
      <c r="BG11" s="59">
        <f>IFERROR(__xludf.DUMMYFUNCTION("""COMPUTED_VALUE"""),573854.923306916)</f>
        <v>573854.9233</v>
      </c>
      <c r="BH11" s="59">
        <f>IFERROR(__xludf.DUMMYFUNCTION("""COMPUTED_VALUE"""),763988.347861581)</f>
        <v>763988.3479</v>
      </c>
      <c r="BI11" s="59">
        <f>IFERROR(__xludf.DUMMYFUNCTION("""COMPUTED_VALUE"""),571875.679107313)</f>
        <v>571875.6791</v>
      </c>
      <c r="BJ11" s="59">
        <f>IFERROR(__xludf.DUMMYFUNCTION("""COMPUTED_VALUE"""),630315.70187785)</f>
        <v>630315.7019</v>
      </c>
      <c r="BK11" s="59">
        <f>IFERROR(__xludf.DUMMYFUNCTION("""COMPUTED_VALUE"""),2540034.65215366)</f>
        <v>2540034.652</v>
      </c>
      <c r="BL11" s="59">
        <f>IFERROR(__xludf.DUMMYFUNCTION("""COMPUTED_VALUE"""),558463.642795182)</f>
        <v>558463.6428</v>
      </c>
      <c r="BM11" s="59">
        <f>IFERROR(__xludf.DUMMYFUNCTION("""COMPUTED_VALUE"""),735594.658469192)</f>
        <v>735594.6585</v>
      </c>
      <c r="BN11" s="59">
        <f>IFERROR(__xludf.DUMMYFUNCTION("""COMPUTED_VALUE"""),606454.071933118)</f>
        <v>606454.0719</v>
      </c>
      <c r="BO11" s="59">
        <f>IFERROR(__xludf.DUMMYFUNCTION("""COMPUTED_VALUE"""),668400.221359688)</f>
        <v>668400.2214</v>
      </c>
      <c r="BP11" s="59">
        <f>IFERROR(__xludf.DUMMYFUNCTION("""COMPUTED_VALUE"""),2568912.59455718)</f>
        <v>2568912.595</v>
      </c>
      <c r="BQ11" s="59">
        <f>IFERROR(__xludf.DUMMYFUNCTION("""COMPUTED_VALUE"""),491815.793087705)</f>
        <v>491815.7931</v>
      </c>
      <c r="BR11" s="59">
        <f>IFERROR(__xludf.DUMMYFUNCTION("""COMPUTED_VALUE"""),855558.825348645)</f>
        <v>855558.8253</v>
      </c>
      <c r="BS11" s="59">
        <f>IFERROR(__xludf.DUMMYFUNCTION("""COMPUTED_VALUE"""),596918.825687963)</f>
        <v>596918.8257</v>
      </c>
      <c r="BT11" s="59">
        <f>IFERROR(__xludf.DUMMYFUNCTION("""COMPUTED_VALUE"""),672648.011285686)</f>
        <v>672648.0113</v>
      </c>
      <c r="BU11" s="59">
        <f>IFERROR(__xludf.DUMMYFUNCTION("""COMPUTED_VALUE"""),2616941.455409999)</f>
        <v>2616941.455</v>
      </c>
      <c r="BV11" s="59">
        <f>IFERROR(__xludf.DUMMYFUNCTION("""COMPUTED_VALUE"""),511943.996282232)</f>
        <v>511943.9963</v>
      </c>
      <c r="BW11" s="59">
        <f>IFERROR(__xludf.DUMMYFUNCTION("""COMPUTED_VALUE"""),823133.639176224)</f>
        <v>823133.6392</v>
      </c>
      <c r="BX11" s="59">
        <f>IFERROR(__xludf.DUMMYFUNCTION("""COMPUTED_VALUE"""),595525.524378957)</f>
        <v>595525.5244</v>
      </c>
      <c r="BY11" s="59">
        <f>IFERROR(__xludf.DUMMYFUNCTION("""COMPUTED_VALUE"""),666784.396735545)</f>
        <v>666784.3967</v>
      </c>
      <c r="BZ11" s="59">
        <f>IFERROR(__xludf.DUMMYFUNCTION("""COMPUTED_VALUE"""),2597387.556572958)</f>
        <v>2597387.557</v>
      </c>
      <c r="CA11" s="59">
        <f>IFERROR(__xludf.DUMMYFUNCTION("""COMPUTED_VALUE"""),520413.756245516)</f>
        <v>520413.7562</v>
      </c>
      <c r="CB11" s="59">
        <f>IFERROR(__xludf.DUMMYFUNCTION("""COMPUTED_VALUE"""),804865.32766185)</f>
        <v>804865.3277</v>
      </c>
      <c r="CC11" s="59">
        <f>IFERROR(__xludf.DUMMYFUNCTION("""COMPUTED_VALUE"""),680902.83)</f>
        <v>680902.83</v>
      </c>
      <c r="CD11" s="59">
        <f>IFERROR(__xludf.DUMMYFUNCTION("""COMPUTED_VALUE"""),715429.891930603)</f>
        <v>715429.8919</v>
      </c>
      <c r="CE11" s="59">
        <f>IFERROR(__xludf.DUMMYFUNCTION("""COMPUTED_VALUE"""),2721611.805837969)</f>
        <v>2721611.806</v>
      </c>
      <c r="CF11" s="59">
        <f>IFERROR(__xludf.DUMMYFUNCTION("""COMPUTED_VALUE"""),514030.308694285)</f>
        <v>514030.3087</v>
      </c>
      <c r="CG11" s="59">
        <f>IFERROR(__xludf.DUMMYFUNCTION("""COMPUTED_VALUE"""),900400.843786866)</f>
        <v>900400.8438</v>
      </c>
      <c r="CH11" s="59">
        <f>IFERROR(__xludf.DUMMYFUNCTION("""COMPUTED_VALUE"""),750996.123989417)</f>
        <v>750996.124</v>
      </c>
      <c r="CI11" s="60">
        <f>IFERROR(__xludf.DUMMYFUNCTION("""COMPUTED_VALUE"""),835861.153693755)</f>
        <v>835861.1537</v>
      </c>
      <c r="CJ11" s="60">
        <f>IFERROR(__xludf.DUMMYFUNCTION("""COMPUTED_VALUE"""),3001288.430164323)</f>
        <v>3001288.43</v>
      </c>
      <c r="CK11" s="60">
        <f>IFERROR(__xludf.DUMMYFUNCTION("""COMPUTED_VALUE"""),583599.910397981)</f>
        <v>583599.9104</v>
      </c>
      <c r="CL11" s="60">
        <f>IFERROR(__xludf.DUMMYFUNCTION("""COMPUTED_VALUE"""),991190.658082767)</f>
        <v>991190.6581</v>
      </c>
      <c r="CM11" s="60">
        <f>IFERROR(__xludf.DUMMYFUNCTION("""COMPUTED_VALUE"""),766380.327026072)</f>
        <v>766380.327</v>
      </c>
      <c r="CN11" s="60">
        <f>IFERROR(__xludf.DUMMYFUNCTION("""COMPUTED_VALUE"""),950156.541707983)</f>
        <v>950156.5417</v>
      </c>
      <c r="CO11" s="60">
        <f>IFERROR(__xludf.DUMMYFUNCTION("""COMPUTED_VALUE"""),3291327.437214803)</f>
        <v>3291327.437</v>
      </c>
      <c r="CP11" s="61">
        <f>IFERROR(__xludf.DUMMYFUNCTION("""COMPUTED_VALUE"""),599544.460061761)</f>
        <v>599544.4601</v>
      </c>
      <c r="CQ11" s="60">
        <f>IFERROR(__xludf.DUMMYFUNCTION("""COMPUTED_VALUE"""),0.0)</f>
        <v>0</v>
      </c>
      <c r="CR11" s="60">
        <f>IFERROR(__xludf.DUMMYFUNCTION("""COMPUTED_VALUE"""),0.0)</f>
        <v>0</v>
      </c>
      <c r="CS11" s="60">
        <f>IFERROR(__xludf.DUMMYFUNCTION("""COMPUTED_VALUE"""),0.0)</f>
        <v>0</v>
      </c>
      <c r="CT11" s="60">
        <f>IFERROR(__xludf.DUMMYFUNCTION("""COMPUTED_VALUE"""),599544.460061761)</f>
        <v>599544.4601</v>
      </c>
      <c r="CU11" s="60">
        <f>IFERROR(__xludf.DUMMYFUNCTION("""COMPUTED_VALUE"""),0.0)</f>
        <v>0</v>
      </c>
      <c r="CV11" s="60">
        <f>IFERROR(__xludf.DUMMYFUNCTION("""COMPUTED_VALUE"""),0.0)</f>
        <v>0</v>
      </c>
      <c r="CW11" s="60">
        <f>IFERROR(__xludf.DUMMYFUNCTION("""COMPUTED_VALUE"""),0.0)</f>
        <v>0</v>
      </c>
      <c r="CX11" s="60">
        <f>IFERROR(__xludf.DUMMYFUNCTION("""COMPUTED_VALUE"""),0.0)</f>
        <v>0</v>
      </c>
      <c r="CY11" s="60">
        <f>IFERROR(__xludf.DUMMYFUNCTION("""COMPUTED_VALUE"""),0.0)</f>
        <v>0</v>
      </c>
      <c r="CZ11" s="57"/>
      <c r="DA11" s="57"/>
    </row>
    <row r="12">
      <c r="A12" s="54"/>
      <c r="B12" s="55"/>
      <c r="C12" s="56" t="s">
        <v>33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>
        <f>IFERROR(__xludf.DUMMYFUNCTION("""COMPUTED_VALUE"""),106712.80948560573)</f>
        <v>106712.8095</v>
      </c>
      <c r="O12" s="58">
        <f>IFERROR(__xludf.DUMMYFUNCTION("""COMPUTED_VALUE"""),81373.66408554834)</f>
        <v>81373.66409</v>
      </c>
      <c r="P12" s="58">
        <f>IFERROR(__xludf.DUMMYFUNCTION("""COMPUTED_VALUE"""),77252.86836170754)</f>
        <v>77252.86836</v>
      </c>
      <c r="Q12" s="58">
        <f>IFERROR(__xludf.DUMMYFUNCTION("""COMPUTED_VALUE"""),76223.93806713843)</f>
        <v>76223.93807</v>
      </c>
      <c r="R12" s="58">
        <f>IFERROR(__xludf.DUMMYFUNCTION("""COMPUTED_VALUE"""),341563.28)</f>
        <v>341563.28</v>
      </c>
      <c r="S12" s="58">
        <f>IFERROR(__xludf.DUMMYFUNCTION("""COMPUTED_VALUE"""),83199.7351180254)</f>
        <v>83199.73512</v>
      </c>
      <c r="T12" s="58">
        <f>IFERROR(__xludf.DUMMYFUNCTION("""COMPUTED_VALUE"""),69826.08883842791)</f>
        <v>69826.08884</v>
      </c>
      <c r="U12" s="58">
        <f>IFERROR(__xludf.DUMMYFUNCTION("""COMPUTED_VALUE"""),82374.77903701128)</f>
        <v>82374.77904</v>
      </c>
      <c r="V12" s="58">
        <f>IFERROR(__xludf.DUMMYFUNCTION("""COMPUTED_VALUE"""),87185.18537791875)</f>
        <v>87185.18538</v>
      </c>
      <c r="W12" s="58">
        <f>IFERROR(__xludf.DUMMYFUNCTION("""COMPUTED_VALUE"""),322585.7883713833)</f>
        <v>322585.7884</v>
      </c>
      <c r="X12" s="58">
        <f>IFERROR(__xludf.DUMMYFUNCTION("""COMPUTED_VALUE"""),83944.20851002214)</f>
        <v>83944.20851</v>
      </c>
      <c r="Y12" s="58">
        <f>IFERROR(__xludf.DUMMYFUNCTION("""COMPUTED_VALUE"""),66953.77974233618)</f>
        <v>66953.77974</v>
      </c>
      <c r="Z12" s="58">
        <f>IFERROR(__xludf.DUMMYFUNCTION("""COMPUTED_VALUE"""),82541.32956735545)</f>
        <v>82541.32957</v>
      </c>
      <c r="AA12" s="58">
        <f>IFERROR(__xludf.DUMMYFUNCTION("""COMPUTED_VALUE"""),71413.6583434014)</f>
        <v>71413.65834</v>
      </c>
      <c r="AB12" s="58">
        <f>IFERROR(__xludf.DUMMYFUNCTION("""COMPUTED_VALUE"""),304852.9761631152)</f>
        <v>304852.9762</v>
      </c>
      <c r="AC12" s="58">
        <f>IFERROR(__xludf.DUMMYFUNCTION("""COMPUTED_VALUE"""),80774.8158491343)</f>
        <v>80774.81585</v>
      </c>
      <c r="AD12" s="58">
        <f>IFERROR(__xludf.DUMMYFUNCTION("""COMPUTED_VALUE"""),87546.39278080477)</f>
        <v>87546.39278</v>
      </c>
      <c r="AE12" s="58">
        <f>IFERROR(__xludf.DUMMYFUNCTION("""COMPUTED_VALUE"""),84516.7048682133)</f>
        <v>84516.70487</v>
      </c>
      <c r="AF12" s="58">
        <f>IFERROR(__xludf.DUMMYFUNCTION("""COMPUTED_VALUE"""),68560.81992184762)</f>
        <v>68560.81992</v>
      </c>
      <c r="AG12" s="58">
        <f>IFERROR(__xludf.DUMMYFUNCTION("""COMPUTED_VALUE"""),321398.73342)</f>
        <v>321398.7334</v>
      </c>
      <c r="AH12" s="58">
        <f>IFERROR(__xludf.DUMMYFUNCTION("""COMPUTED_VALUE"""),84511.13662750149)</f>
        <v>84511.13663</v>
      </c>
      <c r="AI12" s="58">
        <f>IFERROR(__xludf.DUMMYFUNCTION("""COMPUTED_VALUE"""),78137.82864252958)</f>
        <v>78137.82864</v>
      </c>
      <c r="AJ12" s="58">
        <f>IFERROR(__xludf.DUMMYFUNCTION("""COMPUTED_VALUE"""),69868.8625818765)</f>
        <v>69868.86258</v>
      </c>
      <c r="AK12" s="58">
        <f>IFERROR(__xludf.DUMMYFUNCTION("""COMPUTED_VALUE"""),73504.74457473971)</f>
        <v>73504.74457</v>
      </c>
      <c r="AL12" s="58">
        <f>IFERROR(__xludf.DUMMYFUNCTION("""COMPUTED_VALUE"""),306022.5724266473)</f>
        <v>306022.5724</v>
      </c>
      <c r="AM12" s="58">
        <f>IFERROR(__xludf.DUMMYFUNCTION("""COMPUTED_VALUE"""),89842.17806591999)</f>
        <v>89842.17807</v>
      </c>
      <c r="AN12" s="58">
        <f>IFERROR(__xludf.DUMMYFUNCTION("""COMPUTED_VALUE"""),80333.01616605)</f>
        <v>80333.01617</v>
      </c>
      <c r="AO12" s="58">
        <f>IFERROR(__xludf.DUMMYFUNCTION("""COMPUTED_VALUE"""),75003.0829747)</f>
        <v>75003.08297</v>
      </c>
      <c r="AP12" s="58">
        <f>IFERROR(__xludf.DUMMYFUNCTION("""COMPUTED_VALUE"""),72203.01911918998)</f>
        <v>72203.01912</v>
      </c>
      <c r="AQ12" s="58">
        <f>IFERROR(__xludf.DUMMYFUNCTION("""COMPUTED_VALUE"""),317381.29632585996)</f>
        <v>317381.2963</v>
      </c>
      <c r="AR12" s="58">
        <f>IFERROR(__xludf.DUMMYFUNCTION("""COMPUTED_VALUE"""),69497.75744034775)</f>
        <v>69497.75744</v>
      </c>
      <c r="AS12" s="58">
        <f>IFERROR(__xludf.DUMMYFUNCTION("""COMPUTED_VALUE"""),83566.5243065827)</f>
        <v>83566.52431</v>
      </c>
      <c r="AT12" s="58">
        <f>IFERROR(__xludf.DUMMYFUNCTION("""COMPUTED_VALUE"""),88706.20835313929)</f>
        <v>88706.20835</v>
      </c>
      <c r="AU12" s="58">
        <f>IFERROR(__xludf.DUMMYFUNCTION("""COMPUTED_VALUE"""),96747.21235762075)</f>
        <v>96747.21236</v>
      </c>
      <c r="AV12" s="58">
        <f>IFERROR(__xludf.DUMMYFUNCTION("""COMPUTED_VALUE"""),338517.7024576905)</f>
        <v>338517.7025</v>
      </c>
      <c r="AW12" s="58">
        <f>IFERROR(__xludf.DUMMYFUNCTION("""COMPUTED_VALUE"""),78451.00249235304)</f>
        <v>78451.00249</v>
      </c>
      <c r="AX12" s="58">
        <f>IFERROR(__xludf.DUMMYFUNCTION("""COMPUTED_VALUE"""),86284.98571436226)</f>
        <v>86284.98571</v>
      </c>
      <c r="AY12" s="58">
        <f>IFERROR(__xludf.DUMMYFUNCTION("""COMPUTED_VALUE"""),88052.58110346312)</f>
        <v>88052.5811</v>
      </c>
      <c r="AZ12" s="58">
        <f>IFERROR(__xludf.DUMMYFUNCTION("""COMPUTED_VALUE"""),89014.54907794476)</f>
        <v>89014.54908</v>
      </c>
      <c r="BA12" s="58">
        <f>IFERROR(__xludf.DUMMYFUNCTION("""COMPUTED_VALUE"""),341803.1183881232)</f>
        <v>341803.1184</v>
      </c>
      <c r="BB12" s="58">
        <f>IFERROR(__xludf.DUMMYFUNCTION("""COMPUTED_VALUE"""),82438.38336901153)</f>
        <v>82438.38337</v>
      </c>
      <c r="BC12" s="58">
        <f>IFERROR(__xludf.DUMMYFUNCTION("""COMPUTED_VALUE"""),82416.22498168358)</f>
        <v>82416.22498</v>
      </c>
      <c r="BD12" s="58">
        <f>IFERROR(__xludf.DUMMYFUNCTION("""COMPUTED_VALUE"""),89026.36883566417)</f>
        <v>89026.36884</v>
      </c>
      <c r="BE12" s="58">
        <f>IFERROR(__xludf.DUMMYFUNCTION("""COMPUTED_VALUE"""),93691.91530647707)</f>
        <v>93691.91531</v>
      </c>
      <c r="BF12" s="58">
        <f>IFERROR(__xludf.DUMMYFUNCTION("""COMPUTED_VALUE"""),347572.89249283634)</f>
        <v>347572.8925</v>
      </c>
      <c r="BG12" s="59">
        <f>IFERROR(__xludf.DUMMYFUNCTION("""COMPUTED_VALUE"""),90599.1895865457)</f>
        <v>90599.18959</v>
      </c>
      <c r="BH12" s="59">
        <f>IFERROR(__xludf.DUMMYFUNCTION("""COMPUTED_VALUE"""),93050.8358039458)</f>
        <v>93050.8358</v>
      </c>
      <c r="BI12" s="59">
        <f>IFERROR(__xludf.DUMMYFUNCTION("""COMPUTED_VALUE"""),98042.8925684924)</f>
        <v>98042.89257</v>
      </c>
      <c r="BJ12" s="59">
        <f>IFERROR(__xludf.DUMMYFUNCTION("""COMPUTED_VALUE"""),95519.5619650932)</f>
        <v>95519.56197</v>
      </c>
      <c r="BK12" s="59">
        <f>IFERROR(__xludf.DUMMYFUNCTION("""COMPUTED_VALUE"""),377212.4799240771)</f>
        <v>377212.4799</v>
      </c>
      <c r="BL12" s="59">
        <f>IFERROR(__xludf.DUMMYFUNCTION("""COMPUTED_VALUE"""),90139.6453145785)</f>
        <v>90139.64531</v>
      </c>
      <c r="BM12" s="59">
        <f>IFERROR(__xludf.DUMMYFUNCTION("""COMPUTED_VALUE"""),89288.4952285842)</f>
        <v>89288.49523</v>
      </c>
      <c r="BN12" s="59">
        <f>IFERROR(__xludf.DUMMYFUNCTION("""COMPUTED_VALUE"""),96142.1998056872)</f>
        <v>96142.19981</v>
      </c>
      <c r="BO12" s="59">
        <f>IFERROR(__xludf.DUMMYFUNCTION("""COMPUTED_VALUE"""),89273.6845337092)</f>
        <v>89273.68453</v>
      </c>
      <c r="BP12" s="59">
        <f>IFERROR(__xludf.DUMMYFUNCTION("""COMPUTED_VALUE"""),364844.0248825591)</f>
        <v>364844.0249</v>
      </c>
      <c r="BQ12" s="59">
        <f>IFERROR(__xludf.DUMMYFUNCTION("""COMPUTED_VALUE"""),94251.3716531472)</f>
        <v>94251.37165</v>
      </c>
      <c r="BR12" s="59">
        <f>IFERROR(__xludf.DUMMYFUNCTION("""COMPUTED_VALUE"""),94985.9553625852)</f>
        <v>94985.95536</v>
      </c>
      <c r="BS12" s="59">
        <f>IFERROR(__xludf.DUMMYFUNCTION("""COMPUTED_VALUE"""),95674.4008439091)</f>
        <v>95674.40084</v>
      </c>
      <c r="BT12" s="59">
        <f>IFERROR(__xludf.DUMMYFUNCTION("""COMPUTED_VALUE"""),92892.7716847832)</f>
        <v>92892.77168</v>
      </c>
      <c r="BU12" s="59">
        <f>IFERROR(__xludf.DUMMYFUNCTION("""COMPUTED_VALUE"""),377804.49954442476)</f>
        <v>377804.4995</v>
      </c>
      <c r="BV12" s="59">
        <f>IFERROR(__xludf.DUMMYFUNCTION("""COMPUTED_VALUE"""),92945.8781337948)</f>
        <v>92945.87813</v>
      </c>
      <c r="BW12" s="59">
        <f>IFERROR(__xludf.DUMMYFUNCTION("""COMPUTED_VALUE"""),99016.5864111039)</f>
        <v>99016.58641</v>
      </c>
      <c r="BX12" s="59">
        <f>IFERROR(__xludf.DUMMYFUNCTION("""COMPUTED_VALUE"""),113835.765376666)</f>
        <v>113835.7654</v>
      </c>
      <c r="BY12" s="59">
        <f>IFERROR(__xludf.DUMMYFUNCTION("""COMPUTED_VALUE"""),114587.142532471)</f>
        <v>114587.1425</v>
      </c>
      <c r="BZ12" s="59">
        <f>IFERROR(__xludf.DUMMYFUNCTION("""COMPUTED_VALUE"""),420385.3724540357)</f>
        <v>420385.3725</v>
      </c>
      <c r="CA12" s="59">
        <f>IFERROR(__xludf.DUMMYFUNCTION("""COMPUTED_VALUE"""),107041.790452659)</f>
        <v>107041.7905</v>
      </c>
      <c r="CB12" s="59">
        <f>IFERROR(__xludf.DUMMYFUNCTION("""COMPUTED_VALUE"""),115978.153011141)</f>
        <v>115978.153</v>
      </c>
      <c r="CC12" s="59">
        <f>IFERROR(__xludf.DUMMYFUNCTION("""COMPUTED_VALUE"""),106621.067606878)</f>
        <v>106621.0676</v>
      </c>
      <c r="CD12" s="59">
        <f>IFERROR(__xludf.DUMMYFUNCTION("""COMPUTED_VALUE"""),113507.502094277)</f>
        <v>113507.5021</v>
      </c>
      <c r="CE12" s="59">
        <f>IFERROR(__xludf.DUMMYFUNCTION("""COMPUTED_VALUE"""),443148.513164955)</f>
        <v>443148.5132</v>
      </c>
      <c r="CF12" s="59">
        <f>IFERROR(__xludf.DUMMYFUNCTION("""COMPUTED_VALUE"""),120763.649011681)</f>
        <v>120763.649</v>
      </c>
      <c r="CG12" s="59">
        <f>IFERROR(__xludf.DUMMYFUNCTION("""COMPUTED_VALUE"""),117677.550119609)</f>
        <v>117677.5501</v>
      </c>
      <c r="CH12" s="59">
        <f>IFERROR(__xludf.DUMMYFUNCTION("""COMPUTED_VALUE"""),107000.437336148)</f>
        <v>107000.4373</v>
      </c>
      <c r="CI12" s="60">
        <f>IFERROR(__xludf.DUMMYFUNCTION("""COMPUTED_VALUE"""),118190.15086481)</f>
        <v>118190.1509</v>
      </c>
      <c r="CJ12" s="60">
        <f>IFERROR(__xludf.DUMMYFUNCTION("""COMPUTED_VALUE"""),463631.787332248)</f>
        <v>463631.7873</v>
      </c>
      <c r="CK12" s="60">
        <f>IFERROR(__xludf.DUMMYFUNCTION("""COMPUTED_VALUE"""),115500.227088164)</f>
        <v>115500.2271</v>
      </c>
      <c r="CL12" s="60">
        <f>IFERROR(__xludf.DUMMYFUNCTION("""COMPUTED_VALUE"""),110905.185067266)</f>
        <v>110905.1851</v>
      </c>
      <c r="CM12" s="60">
        <f>IFERROR(__xludf.DUMMYFUNCTION("""COMPUTED_VALUE"""),113346.953891159)</f>
        <v>113346.9539</v>
      </c>
      <c r="CN12" s="60">
        <f>IFERROR(__xludf.DUMMYFUNCTION("""COMPUTED_VALUE"""),123789.929345131)</f>
        <v>123789.9293</v>
      </c>
      <c r="CO12" s="60">
        <f>IFERROR(__xludf.DUMMYFUNCTION("""COMPUTED_VALUE"""),463542.29539171996)</f>
        <v>463542.2954</v>
      </c>
      <c r="CP12" s="61">
        <f>IFERROR(__xludf.DUMMYFUNCTION("""COMPUTED_VALUE"""),132115.49067001772)</f>
        <v>132115.4907</v>
      </c>
      <c r="CQ12" s="60">
        <f>IFERROR(__xludf.DUMMYFUNCTION("""COMPUTED_VALUE"""),0.0)</f>
        <v>0</v>
      </c>
      <c r="CR12" s="60">
        <f>IFERROR(__xludf.DUMMYFUNCTION("""COMPUTED_VALUE"""),0.0)</f>
        <v>0</v>
      </c>
      <c r="CS12" s="60">
        <f>IFERROR(__xludf.DUMMYFUNCTION("""COMPUTED_VALUE"""),0.0)</f>
        <v>0</v>
      </c>
      <c r="CT12" s="60">
        <f>IFERROR(__xludf.DUMMYFUNCTION("""COMPUTED_VALUE"""),132115.49067001772)</f>
        <v>132115.4907</v>
      </c>
      <c r="CU12" s="60">
        <f>IFERROR(__xludf.DUMMYFUNCTION("""COMPUTED_VALUE"""),0.0)</f>
        <v>0</v>
      </c>
      <c r="CV12" s="60">
        <f>IFERROR(__xludf.DUMMYFUNCTION("""COMPUTED_VALUE"""),0.0)</f>
        <v>0</v>
      </c>
      <c r="CW12" s="60">
        <f>IFERROR(__xludf.DUMMYFUNCTION("""COMPUTED_VALUE"""),0.0)</f>
        <v>0</v>
      </c>
      <c r="CX12" s="60">
        <f>IFERROR(__xludf.DUMMYFUNCTION("""COMPUTED_VALUE"""),0.0)</f>
        <v>0</v>
      </c>
      <c r="CY12" s="60">
        <f>IFERROR(__xludf.DUMMYFUNCTION("""COMPUTED_VALUE"""),0.0)</f>
        <v>0</v>
      </c>
      <c r="CZ12" s="57"/>
      <c r="DA12" s="57"/>
    </row>
    <row r="13">
      <c r="A13" s="54"/>
      <c r="B13" s="55"/>
      <c r="C13" s="56" t="s">
        <v>34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8">
        <f>IFERROR(__xludf.DUMMYFUNCTION("""COMPUTED_VALUE"""),2116.3448424180465)</f>
        <v>2116.344842</v>
      </c>
      <c r="O13" s="58">
        <f>IFERROR(__xludf.DUMMYFUNCTION("""COMPUTED_VALUE"""),4815.117386138665)</f>
        <v>4815.117386</v>
      </c>
      <c r="P13" s="58">
        <f>IFERROR(__xludf.DUMMYFUNCTION("""COMPUTED_VALUE"""),5444.012650725363)</f>
        <v>5444.012651</v>
      </c>
      <c r="Q13" s="58">
        <f>IFERROR(__xludf.DUMMYFUNCTION("""COMPUTED_VALUE"""),3729.1450907179255)</f>
        <v>3729.145091</v>
      </c>
      <c r="R13" s="58">
        <f>IFERROR(__xludf.DUMMYFUNCTION("""COMPUTED_VALUE"""),16104.61997)</f>
        <v>16104.61997</v>
      </c>
      <c r="S13" s="58">
        <f>IFERROR(__xludf.DUMMYFUNCTION("""COMPUTED_VALUE"""),6719.892956910391)</f>
        <v>6719.892957</v>
      </c>
      <c r="T13" s="58">
        <f>IFERROR(__xludf.DUMMYFUNCTION("""COMPUTED_VALUE"""),10492.298482451597)</f>
        <v>10492.29848</v>
      </c>
      <c r="U13" s="58">
        <f>IFERROR(__xludf.DUMMYFUNCTION("""COMPUTED_VALUE"""),5931.939349346798)</f>
        <v>5931.939349</v>
      </c>
      <c r="V13" s="58">
        <f>IFERROR(__xludf.DUMMYFUNCTION("""COMPUTED_VALUE"""),10566.219476529037)</f>
        <v>10566.21948</v>
      </c>
      <c r="W13" s="58">
        <f>IFERROR(__xludf.DUMMYFUNCTION("""COMPUTED_VALUE"""),33710.35026523782)</f>
        <v>33710.35027</v>
      </c>
      <c r="X13" s="58">
        <f>IFERROR(__xludf.DUMMYFUNCTION("""COMPUTED_VALUE"""),11390.65493320067)</f>
        <v>11390.65493</v>
      </c>
      <c r="Y13" s="58">
        <f>IFERROR(__xludf.DUMMYFUNCTION("""COMPUTED_VALUE"""),22161.095912413606)</f>
        <v>22161.09591</v>
      </c>
      <c r="Z13" s="58">
        <f>IFERROR(__xludf.DUMMYFUNCTION("""COMPUTED_VALUE"""),13929.269066701267)</f>
        <v>13929.26907</v>
      </c>
      <c r="AA13" s="58">
        <f>IFERROR(__xludf.DUMMYFUNCTION("""COMPUTED_VALUE"""),15405.82785853386)</f>
        <v>15405.82786</v>
      </c>
      <c r="AB13" s="58">
        <f>IFERROR(__xludf.DUMMYFUNCTION("""COMPUTED_VALUE"""),62886.8477708494)</f>
        <v>62886.84777</v>
      </c>
      <c r="AC13" s="58">
        <f>IFERROR(__xludf.DUMMYFUNCTION("""COMPUTED_VALUE"""),10216.471883577713)</f>
        <v>10216.47188</v>
      </c>
      <c r="AD13" s="58">
        <f>IFERROR(__xludf.DUMMYFUNCTION("""COMPUTED_VALUE"""),13919.10967800903)</f>
        <v>13919.10968</v>
      </c>
      <c r="AE13" s="58">
        <f>IFERROR(__xludf.DUMMYFUNCTION("""COMPUTED_VALUE"""),19220.349928284282)</f>
        <v>19220.34993</v>
      </c>
      <c r="AF13" s="58">
        <f>IFERROR(__xludf.DUMMYFUNCTION("""COMPUTED_VALUE"""),23026.464303919336)</f>
        <v>23026.4643</v>
      </c>
      <c r="AG13" s="58">
        <f>IFERROR(__xludf.DUMMYFUNCTION("""COMPUTED_VALUE"""),66382.39579379036)</f>
        <v>66382.39579</v>
      </c>
      <c r="AH13" s="58">
        <f>IFERROR(__xludf.DUMMYFUNCTION("""COMPUTED_VALUE"""),10363.288394137595)</f>
        <v>10363.28839</v>
      </c>
      <c r="AI13" s="58">
        <f>IFERROR(__xludf.DUMMYFUNCTION("""COMPUTED_VALUE"""),16877.05256316253)</f>
        <v>16877.05256</v>
      </c>
      <c r="AJ13" s="58">
        <f>IFERROR(__xludf.DUMMYFUNCTION("""COMPUTED_VALUE"""),25305.505035786824)</f>
        <v>25305.50504</v>
      </c>
      <c r="AK13" s="58">
        <f>IFERROR(__xludf.DUMMYFUNCTION("""COMPUTED_VALUE"""),23753.852438579543)</f>
        <v>23753.85244</v>
      </c>
      <c r="AL13" s="58">
        <f>IFERROR(__xludf.DUMMYFUNCTION("""COMPUTED_VALUE"""),76299.69843166649)</f>
        <v>76299.69843</v>
      </c>
      <c r="AM13" s="58">
        <f>IFERROR(__xludf.DUMMYFUNCTION("""COMPUTED_VALUE"""),12699.32530253)</f>
        <v>12699.3253</v>
      </c>
      <c r="AN13" s="58">
        <f>IFERROR(__xludf.DUMMYFUNCTION("""COMPUTED_VALUE"""),19918.57280212)</f>
        <v>19918.5728</v>
      </c>
      <c r="AO13" s="58">
        <f>IFERROR(__xludf.DUMMYFUNCTION("""COMPUTED_VALUE"""),31834.24460122)</f>
        <v>31834.2446</v>
      </c>
      <c r="AP13" s="58">
        <f>IFERROR(__xludf.DUMMYFUNCTION("""COMPUTED_VALUE"""),19308.00890652)</f>
        <v>19308.00891</v>
      </c>
      <c r="AQ13" s="58">
        <f>IFERROR(__xludf.DUMMYFUNCTION("""COMPUTED_VALUE"""),83760.15161239001)</f>
        <v>83760.15161</v>
      </c>
      <c r="AR13" s="58">
        <f>IFERROR(__xludf.DUMMYFUNCTION("""COMPUTED_VALUE"""),19382.5858433061)</f>
        <v>19382.58584</v>
      </c>
      <c r="AS13" s="58">
        <f>IFERROR(__xludf.DUMMYFUNCTION("""COMPUTED_VALUE"""),19188.2400098441)</f>
        <v>19188.24001</v>
      </c>
      <c r="AT13" s="58">
        <f>IFERROR(__xludf.DUMMYFUNCTION("""COMPUTED_VALUE"""),19183.4333743541)</f>
        <v>19183.43337</v>
      </c>
      <c r="AU13" s="58">
        <f>IFERROR(__xludf.DUMMYFUNCTION("""COMPUTED_VALUE"""),26378.1702168895)</f>
        <v>26378.17022</v>
      </c>
      <c r="AV13" s="58">
        <f>IFERROR(__xludf.DUMMYFUNCTION("""COMPUTED_VALUE"""),84132.4294443938)</f>
        <v>84132.42944</v>
      </c>
      <c r="AW13" s="58">
        <f>IFERROR(__xludf.DUMMYFUNCTION("""COMPUTED_VALUE"""),23961.354860871)</f>
        <v>23961.35486</v>
      </c>
      <c r="AX13" s="58">
        <f>IFERROR(__xludf.DUMMYFUNCTION("""COMPUTED_VALUE"""),19525.0601423297)</f>
        <v>19525.06014</v>
      </c>
      <c r="AY13" s="58">
        <f>IFERROR(__xludf.DUMMYFUNCTION("""COMPUTED_VALUE"""),19368.64269126)</f>
        <v>19368.64269</v>
      </c>
      <c r="AZ13" s="58">
        <f>IFERROR(__xludf.DUMMYFUNCTION("""COMPUTED_VALUE"""),19441.9319898109)</f>
        <v>19441.93199</v>
      </c>
      <c r="BA13" s="58">
        <f>IFERROR(__xludf.DUMMYFUNCTION("""COMPUTED_VALUE"""),82296.9896842716)</f>
        <v>82296.98968</v>
      </c>
      <c r="BB13" s="58">
        <f>IFERROR(__xludf.DUMMYFUNCTION("""COMPUTED_VALUE"""),21896.8904667456)</f>
        <v>21896.89047</v>
      </c>
      <c r="BC13" s="58">
        <f>IFERROR(__xludf.DUMMYFUNCTION("""COMPUTED_VALUE"""),21348.9295915327)</f>
        <v>21348.92959</v>
      </c>
      <c r="BD13" s="58">
        <f>IFERROR(__xludf.DUMMYFUNCTION("""COMPUTED_VALUE"""),21512.7053825152)</f>
        <v>21512.70538</v>
      </c>
      <c r="BE13" s="58">
        <f>IFERROR(__xludf.DUMMYFUNCTION("""COMPUTED_VALUE"""),21682.7489679934)</f>
        <v>21682.74897</v>
      </c>
      <c r="BF13" s="58">
        <f>IFERROR(__xludf.DUMMYFUNCTION("""COMPUTED_VALUE"""),86441.2744087869)</f>
        <v>86441.27441</v>
      </c>
      <c r="BG13" s="59">
        <f>IFERROR(__xludf.DUMMYFUNCTION("""COMPUTED_VALUE"""),21953.5767055757)</f>
        <v>21953.57671</v>
      </c>
      <c r="BH13" s="59">
        <f>IFERROR(__xludf.DUMMYFUNCTION("""COMPUTED_VALUE"""),23061.443766719)</f>
        <v>23061.44377</v>
      </c>
      <c r="BI13" s="59">
        <f>IFERROR(__xludf.DUMMYFUNCTION("""COMPUTED_VALUE"""),23462.3957436444)</f>
        <v>23462.39574</v>
      </c>
      <c r="BJ13" s="59">
        <f>IFERROR(__xludf.DUMMYFUNCTION("""COMPUTED_VALUE"""),23437.9590682014)</f>
        <v>23437.95907</v>
      </c>
      <c r="BK13" s="59">
        <f>IFERROR(__xludf.DUMMYFUNCTION("""COMPUTED_VALUE"""),91915.3752841405)</f>
        <v>91915.37528</v>
      </c>
      <c r="BL13" s="59">
        <f>IFERROR(__xludf.DUMMYFUNCTION("""COMPUTED_VALUE"""),24646.4035303814)</f>
        <v>24646.40353</v>
      </c>
      <c r="BM13" s="59">
        <f>IFERROR(__xludf.DUMMYFUNCTION("""COMPUTED_VALUE"""),25292.8891480748)</f>
        <v>25292.88915</v>
      </c>
      <c r="BN13" s="59">
        <f>IFERROR(__xludf.DUMMYFUNCTION("""COMPUTED_VALUE"""),24462.0268376755)</f>
        <v>24462.02684</v>
      </c>
      <c r="BO13" s="59">
        <f>IFERROR(__xludf.DUMMYFUNCTION("""COMPUTED_VALUE"""),24904.5743603591)</f>
        <v>24904.57436</v>
      </c>
      <c r="BP13" s="59">
        <f>IFERROR(__xludf.DUMMYFUNCTION("""COMPUTED_VALUE"""),99305.8938764908)</f>
        <v>99305.89388</v>
      </c>
      <c r="BQ13" s="59">
        <f>IFERROR(__xludf.DUMMYFUNCTION("""COMPUTED_VALUE"""),22766.4640306032)</f>
        <v>22766.46403</v>
      </c>
      <c r="BR13" s="59">
        <f>IFERROR(__xludf.DUMMYFUNCTION("""COMPUTED_VALUE"""),23818.4993596191)</f>
        <v>23818.49936</v>
      </c>
      <c r="BS13" s="59">
        <f>IFERROR(__xludf.DUMMYFUNCTION("""COMPUTED_VALUE"""),39263.4522471625)</f>
        <v>39263.45225</v>
      </c>
      <c r="BT13" s="59">
        <f>IFERROR(__xludf.DUMMYFUNCTION("""COMPUTED_VALUE"""),43720.3153523842)</f>
        <v>43720.31535</v>
      </c>
      <c r="BU13" s="59">
        <f>IFERROR(__xludf.DUMMYFUNCTION("""COMPUTED_VALUE"""),129568.73098976901)</f>
        <v>129568.731</v>
      </c>
      <c r="BV13" s="59">
        <f>IFERROR(__xludf.DUMMYFUNCTION("""COMPUTED_VALUE"""),30069.4528335517)</f>
        <v>30069.45283</v>
      </c>
      <c r="BW13" s="59">
        <f>IFERROR(__xludf.DUMMYFUNCTION("""COMPUTED_VALUE"""),22189.6158289094)</f>
        <v>22189.61583</v>
      </c>
      <c r="BX13" s="59">
        <f>IFERROR(__xludf.DUMMYFUNCTION("""COMPUTED_VALUE"""),42660.2796991622)</f>
        <v>42660.2797</v>
      </c>
      <c r="BY13" s="59">
        <f>IFERROR(__xludf.DUMMYFUNCTION("""COMPUTED_VALUE"""),44980.2101691211)</f>
        <v>44980.21017</v>
      </c>
      <c r="BZ13" s="59">
        <f>IFERROR(__xludf.DUMMYFUNCTION("""COMPUTED_VALUE"""),139899.5585307444)</f>
        <v>139899.5585</v>
      </c>
      <c r="CA13" s="59">
        <f>IFERROR(__xludf.DUMMYFUNCTION("""COMPUTED_VALUE"""),23979.1398312281)</f>
        <v>23979.13983</v>
      </c>
      <c r="CB13" s="59">
        <f>IFERROR(__xludf.DUMMYFUNCTION("""COMPUTED_VALUE"""),26355.2296627875)</f>
        <v>26355.22966</v>
      </c>
      <c r="CC13" s="59">
        <f>IFERROR(__xludf.DUMMYFUNCTION("""COMPUTED_VALUE"""),46970.772942389)</f>
        <v>46970.77294</v>
      </c>
      <c r="CD13" s="59">
        <f>IFERROR(__xludf.DUMMYFUNCTION("""COMPUTED_VALUE"""),58158.8942387214)</f>
        <v>58158.89424</v>
      </c>
      <c r="CE13" s="59">
        <f>IFERROR(__xludf.DUMMYFUNCTION("""COMPUTED_VALUE"""),155464.036675126)</f>
        <v>155464.0367</v>
      </c>
      <c r="CF13" s="59">
        <f>IFERROR(__xludf.DUMMYFUNCTION("""COMPUTED_VALUE"""),27627.874109663)</f>
        <v>27627.87411</v>
      </c>
      <c r="CG13" s="59">
        <f>IFERROR(__xludf.DUMMYFUNCTION("""COMPUTED_VALUE"""),36467.241247446)</f>
        <v>36467.24125</v>
      </c>
      <c r="CH13" s="59">
        <f>IFERROR(__xludf.DUMMYFUNCTION("""COMPUTED_VALUE"""),70002.9621215585)</f>
        <v>70002.96212</v>
      </c>
      <c r="CI13" s="60">
        <f>IFERROR(__xludf.DUMMYFUNCTION("""COMPUTED_VALUE"""),168263.543529105)</f>
        <v>168263.5435</v>
      </c>
      <c r="CJ13" s="60">
        <f>IFERROR(__xludf.DUMMYFUNCTION("""COMPUTED_VALUE"""),302361.6210077725)</f>
        <v>302361.621</v>
      </c>
      <c r="CK13" s="60">
        <f>IFERROR(__xludf.DUMMYFUNCTION("""COMPUTED_VALUE"""),95817.038380516)</f>
        <v>95817.03838</v>
      </c>
      <c r="CL13" s="60">
        <f>IFERROR(__xludf.DUMMYFUNCTION("""COMPUTED_VALUE"""),68444.7040835188)</f>
        <v>68444.70408</v>
      </c>
      <c r="CM13" s="60">
        <f>IFERROR(__xludf.DUMMYFUNCTION("""COMPUTED_VALUE"""),90955.8796444188)</f>
        <v>90955.87964</v>
      </c>
      <c r="CN13" s="60">
        <f>IFERROR(__xludf.DUMMYFUNCTION("""COMPUTED_VALUE"""),138760.882458869)</f>
        <v>138760.8825</v>
      </c>
      <c r="CO13" s="60">
        <f>IFERROR(__xludf.DUMMYFUNCTION("""COMPUTED_VALUE"""),393978.50456732255)</f>
        <v>393978.5046</v>
      </c>
      <c r="CP13" s="61">
        <f>IFERROR(__xludf.DUMMYFUNCTION("""COMPUTED_VALUE"""),81912.40000679449)</f>
        <v>81912.40001</v>
      </c>
      <c r="CQ13" s="60">
        <f>IFERROR(__xludf.DUMMYFUNCTION("""COMPUTED_VALUE"""),0.0)</f>
        <v>0</v>
      </c>
      <c r="CR13" s="60">
        <f>IFERROR(__xludf.DUMMYFUNCTION("""COMPUTED_VALUE"""),0.0)</f>
        <v>0</v>
      </c>
      <c r="CS13" s="60">
        <f>IFERROR(__xludf.DUMMYFUNCTION("""COMPUTED_VALUE"""),0.0)</f>
        <v>0</v>
      </c>
      <c r="CT13" s="60">
        <f>IFERROR(__xludf.DUMMYFUNCTION("""COMPUTED_VALUE"""),81912.40000679449)</f>
        <v>81912.40001</v>
      </c>
      <c r="CU13" s="60">
        <f>IFERROR(__xludf.DUMMYFUNCTION("""COMPUTED_VALUE"""),0.0)</f>
        <v>0</v>
      </c>
      <c r="CV13" s="60">
        <f>IFERROR(__xludf.DUMMYFUNCTION("""COMPUTED_VALUE"""),0.0)</f>
        <v>0</v>
      </c>
      <c r="CW13" s="60">
        <f>IFERROR(__xludf.DUMMYFUNCTION("""COMPUTED_VALUE"""),0.0)</f>
        <v>0</v>
      </c>
      <c r="CX13" s="60">
        <f>IFERROR(__xludf.DUMMYFUNCTION("""COMPUTED_VALUE"""),0.0)</f>
        <v>0</v>
      </c>
      <c r="CY13" s="60">
        <f>IFERROR(__xludf.DUMMYFUNCTION("""COMPUTED_VALUE"""),0.0)</f>
        <v>0</v>
      </c>
      <c r="CZ13" s="57"/>
      <c r="DA13" s="57"/>
    </row>
    <row r="14">
      <c r="A14" s="54"/>
      <c r="B14" s="55"/>
      <c r="C14" s="56" t="s">
        <v>35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8">
        <f>IFERROR(__xludf.DUMMYFUNCTION("""COMPUTED_VALUE"""),109215.43577774275)</f>
        <v>109215.4358</v>
      </c>
      <c r="O14" s="58">
        <f>IFERROR(__xludf.DUMMYFUNCTION("""COMPUTED_VALUE"""),148338.7761547298)</f>
        <v>148338.7762</v>
      </c>
      <c r="P14" s="58">
        <f>IFERROR(__xludf.DUMMYFUNCTION("""COMPUTED_VALUE"""),266813.3915232591)</f>
        <v>266813.3915</v>
      </c>
      <c r="Q14" s="58">
        <f>IFERROR(__xludf.DUMMYFUNCTION("""COMPUTED_VALUE"""),227278.46652586324)</f>
        <v>227278.4665</v>
      </c>
      <c r="R14" s="58">
        <f>IFERROR(__xludf.DUMMYFUNCTION("""COMPUTED_VALUE"""),751646.0699815949)</f>
        <v>751646.07</v>
      </c>
      <c r="S14" s="58">
        <f>IFERROR(__xludf.DUMMYFUNCTION("""COMPUTED_VALUE"""),125116.4986724918)</f>
        <v>125116.4987</v>
      </c>
      <c r="T14" s="58">
        <f>IFERROR(__xludf.DUMMYFUNCTION("""COMPUTED_VALUE"""),91861.3180866057)</f>
        <v>91861.31809</v>
      </c>
      <c r="U14" s="58">
        <f>IFERROR(__xludf.DUMMYFUNCTION("""COMPUTED_VALUE"""),166507.657684949)</f>
        <v>166507.6577</v>
      </c>
      <c r="V14" s="58">
        <f>IFERROR(__xludf.DUMMYFUNCTION("""COMPUTED_VALUE"""),388492.9380464213)</f>
        <v>388492.938</v>
      </c>
      <c r="W14" s="58">
        <f>IFERROR(__xludf.DUMMYFUNCTION("""COMPUTED_VALUE"""),771978.4124904678)</f>
        <v>771978.4125</v>
      </c>
      <c r="X14" s="58">
        <f>IFERROR(__xludf.DUMMYFUNCTION("""COMPUTED_VALUE"""),195554.30027510866)</f>
        <v>195554.3003</v>
      </c>
      <c r="Y14" s="58">
        <f>IFERROR(__xludf.DUMMYFUNCTION("""COMPUTED_VALUE"""),211994.31014850002)</f>
        <v>211994.3101</v>
      </c>
      <c r="Z14" s="58">
        <f>IFERROR(__xludf.DUMMYFUNCTION("""COMPUTED_VALUE"""),131125.28607157047)</f>
        <v>131125.2861</v>
      </c>
      <c r="AA14" s="58">
        <f>IFERROR(__xludf.DUMMYFUNCTION("""COMPUTED_VALUE"""),150811.70569482094)</f>
        <v>150811.7057</v>
      </c>
      <c r="AB14" s="58">
        <f>IFERROR(__xludf.DUMMYFUNCTION("""COMPUTED_VALUE"""),689485.6021900001)</f>
        <v>689485.6022</v>
      </c>
      <c r="AC14" s="58">
        <f>IFERROR(__xludf.DUMMYFUNCTION("""COMPUTED_VALUE"""),134117.77813120256)</f>
        <v>134117.7781</v>
      </c>
      <c r="AD14" s="58">
        <f>IFERROR(__xludf.DUMMYFUNCTION("""COMPUTED_VALUE"""),246419.51523205172)</f>
        <v>246419.5152</v>
      </c>
      <c r="AE14" s="58">
        <f>IFERROR(__xludf.DUMMYFUNCTION("""COMPUTED_VALUE"""),200369.2414846951)</f>
        <v>200369.2415</v>
      </c>
      <c r="AF14" s="58">
        <f>IFERROR(__xludf.DUMMYFUNCTION("""COMPUTED_VALUE"""),177432.93107418405)</f>
        <v>177432.9311</v>
      </c>
      <c r="AG14" s="58">
        <f>IFERROR(__xludf.DUMMYFUNCTION("""COMPUTED_VALUE"""),758339.4659221334)</f>
        <v>758339.4659</v>
      </c>
      <c r="AH14" s="58">
        <f>IFERROR(__xludf.DUMMYFUNCTION("""COMPUTED_VALUE"""),177886.07076749514)</f>
        <v>177886.0708</v>
      </c>
      <c r="AI14" s="58">
        <f>IFERROR(__xludf.DUMMYFUNCTION("""COMPUTED_VALUE"""),192487.46381731745)</f>
        <v>192487.4638</v>
      </c>
      <c r="AJ14" s="58">
        <f>IFERROR(__xludf.DUMMYFUNCTION("""COMPUTED_VALUE"""),174697.47961631103)</f>
        <v>174697.4796</v>
      </c>
      <c r="AK14" s="58">
        <f>IFERROR(__xludf.DUMMYFUNCTION("""COMPUTED_VALUE"""),137985.9444685468)</f>
        <v>137985.9445</v>
      </c>
      <c r="AL14" s="58">
        <f>IFERROR(__xludf.DUMMYFUNCTION("""COMPUTED_VALUE"""),683056.9586696704)</f>
        <v>683056.9587</v>
      </c>
      <c r="AM14" s="58">
        <f>IFERROR(__xludf.DUMMYFUNCTION("""COMPUTED_VALUE"""),217943.21951923)</f>
        <v>217943.2195</v>
      </c>
      <c r="AN14" s="58">
        <f>IFERROR(__xludf.DUMMYFUNCTION("""COMPUTED_VALUE"""),144608.43289153)</f>
        <v>144608.4329</v>
      </c>
      <c r="AO14" s="58">
        <f>IFERROR(__xludf.DUMMYFUNCTION("""COMPUTED_VALUE"""),222927.43593755)</f>
        <v>222927.4359</v>
      </c>
      <c r="AP14" s="58">
        <f>IFERROR(__xludf.DUMMYFUNCTION("""COMPUTED_VALUE"""),159477.99723801)</f>
        <v>159477.9972</v>
      </c>
      <c r="AQ14" s="58">
        <f>IFERROR(__xludf.DUMMYFUNCTION("""COMPUTED_VALUE"""),744957.0855863201)</f>
        <v>744957.0856</v>
      </c>
      <c r="AR14" s="58">
        <f>IFERROR(__xludf.DUMMYFUNCTION("""COMPUTED_VALUE"""),204432.01075383445)</f>
        <v>204432.0108</v>
      </c>
      <c r="AS14" s="58">
        <f>IFERROR(__xludf.DUMMYFUNCTION("""COMPUTED_VALUE"""),154443.7)</f>
        <v>154443.7</v>
      </c>
      <c r="AT14" s="58">
        <f>IFERROR(__xludf.DUMMYFUNCTION("""COMPUTED_VALUE"""),160976.4671365742)</f>
        <v>160976.4671</v>
      </c>
      <c r="AU14" s="58">
        <f>IFERROR(__xludf.DUMMYFUNCTION("""COMPUTED_VALUE"""),182010.903424898)</f>
        <v>182010.9034</v>
      </c>
      <c r="AV14" s="58">
        <f>IFERROR(__xludf.DUMMYFUNCTION("""COMPUTED_VALUE"""),701863.0813153067)</f>
        <v>701863.0813</v>
      </c>
      <c r="AW14" s="58">
        <f>IFERROR(__xludf.DUMMYFUNCTION("""COMPUTED_VALUE"""),185301.85707843452)</f>
        <v>185301.8571</v>
      </c>
      <c r="AX14" s="58">
        <f>IFERROR(__xludf.DUMMYFUNCTION("""COMPUTED_VALUE"""),168089.587309174)</f>
        <v>168089.5873</v>
      </c>
      <c r="AY14" s="58">
        <f>IFERROR(__xludf.DUMMYFUNCTION("""COMPUTED_VALUE"""),166694.21960143326)</f>
        <v>166694.2196</v>
      </c>
      <c r="AZ14" s="58">
        <f>IFERROR(__xludf.DUMMYFUNCTION("""COMPUTED_VALUE"""),174256.5431013048)</f>
        <v>174256.5431</v>
      </c>
      <c r="BA14" s="58">
        <f>IFERROR(__xludf.DUMMYFUNCTION("""COMPUTED_VALUE"""),694342.2070903466)</f>
        <v>694342.2071</v>
      </c>
      <c r="BB14" s="58">
        <f>IFERROR(__xludf.DUMMYFUNCTION("""COMPUTED_VALUE"""),200322.81776253734)</f>
        <v>200322.8178</v>
      </c>
      <c r="BC14" s="58">
        <f>IFERROR(__xludf.DUMMYFUNCTION("""COMPUTED_VALUE"""),184323.74416901407)</f>
        <v>184323.7442</v>
      </c>
      <c r="BD14" s="58">
        <f>IFERROR(__xludf.DUMMYFUNCTION("""COMPUTED_VALUE"""),188398.42780079038)</f>
        <v>188398.4278</v>
      </c>
      <c r="BE14" s="58">
        <f>IFERROR(__xludf.DUMMYFUNCTION("""COMPUTED_VALUE"""),198564.21175991758)</f>
        <v>198564.2118</v>
      </c>
      <c r="BF14" s="58">
        <f>IFERROR(__xludf.DUMMYFUNCTION("""COMPUTED_VALUE"""),771609.2014922594)</f>
        <v>771609.2015</v>
      </c>
      <c r="BG14" s="59">
        <f>IFERROR(__xludf.DUMMYFUNCTION("""COMPUTED_VALUE"""),213502.248506687)</f>
        <v>213502.2485</v>
      </c>
      <c r="BH14" s="59">
        <f>IFERROR(__xludf.DUMMYFUNCTION("""COMPUTED_VALUE"""),210267.498382881)</f>
        <v>210267.4984</v>
      </c>
      <c r="BI14" s="59">
        <f>IFERROR(__xludf.DUMMYFUNCTION("""COMPUTED_VALUE"""),214883.485228756)</f>
        <v>214883.4852</v>
      </c>
      <c r="BJ14" s="59">
        <f>IFERROR(__xludf.DUMMYFUNCTION("""COMPUTED_VALUE"""),225170.267269606)</f>
        <v>225170.2673</v>
      </c>
      <c r="BK14" s="59">
        <f>IFERROR(__xludf.DUMMYFUNCTION("""COMPUTED_VALUE"""),863823.49938793)</f>
        <v>863823.4994</v>
      </c>
      <c r="BL14" s="59">
        <f>IFERROR(__xludf.DUMMYFUNCTION("""COMPUTED_VALUE"""),224648.918298923)</f>
        <v>224648.9183</v>
      </c>
      <c r="BM14" s="59">
        <f>IFERROR(__xludf.DUMMYFUNCTION("""COMPUTED_VALUE"""),218459.789080531)</f>
        <v>218459.7891</v>
      </c>
      <c r="BN14" s="59">
        <f>IFERROR(__xludf.DUMMYFUNCTION("""COMPUTED_VALUE"""),223925.962438111)</f>
        <v>223925.9624</v>
      </c>
      <c r="BO14" s="59">
        <f>IFERROR(__xludf.DUMMYFUNCTION("""COMPUTED_VALUE"""),224438.059059275)</f>
        <v>224438.0591</v>
      </c>
      <c r="BP14" s="59">
        <f>IFERROR(__xludf.DUMMYFUNCTION("""COMPUTED_VALUE"""),891472.72887684)</f>
        <v>891472.7289</v>
      </c>
      <c r="BQ14" s="59">
        <f>IFERROR(__xludf.DUMMYFUNCTION("""COMPUTED_VALUE"""),228462.140752216)</f>
        <v>228462.1408</v>
      </c>
      <c r="BR14" s="59">
        <f>IFERROR(__xludf.DUMMYFUNCTION("""COMPUTED_VALUE"""),223964.221042609)</f>
        <v>223964.221</v>
      </c>
      <c r="BS14" s="59">
        <f>IFERROR(__xludf.DUMMYFUNCTION("""COMPUTED_VALUE"""),226251.76066239)</f>
        <v>226251.7607</v>
      </c>
      <c r="BT14" s="59">
        <f>IFERROR(__xludf.DUMMYFUNCTION("""COMPUTED_VALUE"""),249897.51784165)</f>
        <v>249897.5178</v>
      </c>
      <c r="BU14" s="59">
        <f>IFERROR(__xludf.DUMMYFUNCTION("""COMPUTED_VALUE"""),928575.640298865)</f>
        <v>928575.6403</v>
      </c>
      <c r="BV14" s="59">
        <f>IFERROR(__xludf.DUMMYFUNCTION("""COMPUTED_VALUE"""),234752.624401181)</f>
        <v>234752.6244</v>
      </c>
      <c r="BW14" s="59">
        <f>IFERROR(__xludf.DUMMYFUNCTION("""COMPUTED_VALUE"""),238927.285448567)</f>
        <v>238927.2854</v>
      </c>
      <c r="BX14" s="59">
        <f>IFERROR(__xludf.DUMMYFUNCTION("""COMPUTED_VALUE"""),242559.572984058)</f>
        <v>242559.573</v>
      </c>
      <c r="BY14" s="59">
        <f>IFERROR(__xludf.DUMMYFUNCTION("""COMPUTED_VALUE"""),255159.572984058)</f>
        <v>255159.573</v>
      </c>
      <c r="BZ14" s="59">
        <f>IFERROR(__xludf.DUMMYFUNCTION("""COMPUTED_VALUE"""),971399.0558178639)</f>
        <v>971399.0558</v>
      </c>
      <c r="CA14" s="59">
        <f>IFERROR(__xludf.DUMMYFUNCTION("""COMPUTED_VALUE"""),264302.200293002)</f>
        <v>264302.2003</v>
      </c>
      <c r="CB14" s="59">
        <f>IFERROR(__xludf.DUMMYFUNCTION("""COMPUTED_VALUE"""),254186.867244336)</f>
        <v>254186.8672</v>
      </c>
      <c r="CC14" s="59">
        <f>IFERROR(__xludf.DUMMYFUNCTION("""COMPUTED_VALUE"""),256024.339905322)</f>
        <v>256024.3399</v>
      </c>
      <c r="CD14" s="59">
        <f>IFERROR(__xludf.DUMMYFUNCTION("""COMPUTED_VALUE"""),261974.376649898)</f>
        <v>261974.3766</v>
      </c>
      <c r="CE14" s="59">
        <f>IFERROR(__xludf.DUMMYFUNCTION("""COMPUTED_VALUE"""),1036487.7840925581)</f>
        <v>1036487.784</v>
      </c>
      <c r="CF14" s="59">
        <f>IFERROR(__xludf.DUMMYFUNCTION("""COMPUTED_VALUE"""),293708.452721066)</f>
        <v>293708.4527</v>
      </c>
      <c r="CG14" s="59">
        <f>IFERROR(__xludf.DUMMYFUNCTION("""COMPUTED_VALUE"""),253507.997442967)</f>
        <v>253507.9974</v>
      </c>
      <c r="CH14" s="59">
        <f>IFERROR(__xludf.DUMMYFUNCTION("""COMPUTED_VALUE"""),261779.62142343)</f>
        <v>261779.6214</v>
      </c>
      <c r="CI14" s="60">
        <f>IFERROR(__xludf.DUMMYFUNCTION("""COMPUTED_VALUE"""),265487.632822228)</f>
        <v>265487.6328</v>
      </c>
      <c r="CJ14" s="60">
        <f>IFERROR(__xludf.DUMMYFUNCTION("""COMPUTED_VALUE"""),1074483.704409691)</f>
        <v>1074483.704</v>
      </c>
      <c r="CK14" s="60">
        <f>IFERROR(__xludf.DUMMYFUNCTION("""COMPUTED_VALUE"""),284039.62246468)</f>
        <v>284039.6225</v>
      </c>
      <c r="CL14" s="60">
        <f>IFERROR(__xludf.DUMMYFUNCTION("""COMPUTED_VALUE"""),253273.567597335)</f>
        <v>253273.5676</v>
      </c>
      <c r="CM14" s="60">
        <f>IFERROR(__xludf.DUMMYFUNCTION("""COMPUTED_VALUE"""),252410.603429681)</f>
        <v>252410.6034</v>
      </c>
      <c r="CN14" s="60">
        <f>IFERROR(__xludf.DUMMYFUNCTION("""COMPUTED_VALUE"""),309673.051206847)</f>
        <v>309673.0512</v>
      </c>
      <c r="CO14" s="60">
        <f>IFERROR(__xludf.DUMMYFUNCTION("""COMPUTED_VALUE"""),1099396.844698543)</f>
        <v>1099396.845</v>
      </c>
      <c r="CP14" s="61">
        <f>IFERROR(__xludf.DUMMYFUNCTION("""COMPUTED_VALUE"""),284903.2299485325)</f>
        <v>284903.2299</v>
      </c>
      <c r="CQ14" s="60">
        <f>IFERROR(__xludf.DUMMYFUNCTION("""COMPUTED_VALUE"""),0.0)</f>
        <v>0</v>
      </c>
      <c r="CR14" s="60">
        <f>IFERROR(__xludf.DUMMYFUNCTION("""COMPUTED_VALUE"""),0.0)</f>
        <v>0</v>
      </c>
      <c r="CS14" s="60">
        <f>IFERROR(__xludf.DUMMYFUNCTION("""COMPUTED_VALUE"""),0.0)</f>
        <v>0</v>
      </c>
      <c r="CT14" s="60">
        <f>IFERROR(__xludf.DUMMYFUNCTION("""COMPUTED_VALUE"""),284903.2299485325)</f>
        <v>284903.2299</v>
      </c>
      <c r="CU14" s="60">
        <f>IFERROR(__xludf.DUMMYFUNCTION("""COMPUTED_VALUE"""),0.0)</f>
        <v>0</v>
      </c>
      <c r="CV14" s="60">
        <f>IFERROR(__xludf.DUMMYFUNCTION("""COMPUTED_VALUE"""),0.0)</f>
        <v>0</v>
      </c>
      <c r="CW14" s="60">
        <f>IFERROR(__xludf.DUMMYFUNCTION("""COMPUTED_VALUE"""),0.0)</f>
        <v>0</v>
      </c>
      <c r="CX14" s="60">
        <f>IFERROR(__xludf.DUMMYFUNCTION("""COMPUTED_VALUE"""),0.0)</f>
        <v>0</v>
      </c>
      <c r="CY14" s="60">
        <f>IFERROR(__xludf.DUMMYFUNCTION("""COMPUTED_VALUE"""),0.0)</f>
        <v>0</v>
      </c>
      <c r="CZ14" s="57"/>
      <c r="DA14" s="57"/>
    </row>
    <row r="15">
      <c r="A15" s="54"/>
      <c r="B15" s="55"/>
      <c r="C15" s="56" t="s">
        <v>36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8">
        <f>IFERROR(__xludf.DUMMYFUNCTION("""COMPUTED_VALUE"""),602137.5174183884)</f>
        <v>602137.5174</v>
      </c>
      <c r="O15" s="58">
        <f>IFERROR(__xludf.DUMMYFUNCTION("""COMPUTED_VALUE"""),1023718.6808247706)</f>
        <v>1023718.681</v>
      </c>
      <c r="P15" s="58">
        <f>IFERROR(__xludf.DUMMYFUNCTION("""COMPUTED_VALUE"""),1014932.091438585)</f>
        <v>1014932.091</v>
      </c>
      <c r="Q15" s="58">
        <f>IFERROR(__xludf.DUMMYFUNCTION("""COMPUTED_VALUE"""),1186967.710266147)</f>
        <v>1186967.71</v>
      </c>
      <c r="R15" s="58">
        <f>IFERROR(__xludf.DUMMYFUNCTION("""COMPUTED_VALUE"""),3827755.9999478906)</f>
        <v>3827756</v>
      </c>
      <c r="S15" s="58">
        <f>IFERROR(__xludf.DUMMYFUNCTION("""COMPUTED_VALUE"""),711913.247562702)</f>
        <v>711913.2476</v>
      </c>
      <c r="T15" s="58">
        <f>IFERROR(__xludf.DUMMYFUNCTION("""COMPUTED_VALUE"""),985308.6139442446)</f>
        <v>985308.6139</v>
      </c>
      <c r="U15" s="58">
        <f>IFERROR(__xludf.DUMMYFUNCTION("""COMPUTED_VALUE"""),1333513.706923312)</f>
        <v>1333513.707</v>
      </c>
      <c r="V15" s="58">
        <f>IFERROR(__xludf.DUMMYFUNCTION("""COMPUTED_VALUE"""),849103.4189824851)</f>
        <v>849103.419</v>
      </c>
      <c r="W15" s="58">
        <f>IFERROR(__xludf.DUMMYFUNCTION("""COMPUTED_VALUE"""),3879838.987412744)</f>
        <v>3879838.987</v>
      </c>
      <c r="X15" s="58">
        <f>IFERROR(__xludf.DUMMYFUNCTION("""COMPUTED_VALUE"""),834420.7132840295)</f>
        <v>834420.7133</v>
      </c>
      <c r="Y15" s="58">
        <f>IFERROR(__xludf.DUMMYFUNCTION("""COMPUTED_VALUE"""),1107734.1525375296)</f>
        <v>1107734.153</v>
      </c>
      <c r="Z15" s="58">
        <f>IFERROR(__xludf.DUMMYFUNCTION("""COMPUTED_VALUE"""),1418291.8526917615)</f>
        <v>1418291.853</v>
      </c>
      <c r="AA15" s="58">
        <f>IFERROR(__xludf.DUMMYFUNCTION("""COMPUTED_VALUE"""),1067809.8130500868)</f>
        <v>1067809.813</v>
      </c>
      <c r="AB15" s="58">
        <f>IFERROR(__xludf.DUMMYFUNCTION("""COMPUTED_VALUE"""),4428256.531563407)</f>
        <v>4428256.532</v>
      </c>
      <c r="AC15" s="58">
        <f>IFERROR(__xludf.DUMMYFUNCTION("""COMPUTED_VALUE"""),990535.6749296719)</f>
        <v>990535.6749</v>
      </c>
      <c r="AD15" s="58">
        <f>IFERROR(__xludf.DUMMYFUNCTION("""COMPUTED_VALUE"""),1248044.0503780053)</f>
        <v>1248044.05</v>
      </c>
      <c r="AE15" s="58">
        <f>IFERROR(__xludf.DUMMYFUNCTION("""COMPUTED_VALUE"""),1458259.3504754952)</f>
        <v>1458259.35</v>
      </c>
      <c r="AF15" s="58">
        <f>IFERROR(__xludf.DUMMYFUNCTION("""COMPUTED_VALUE"""),1137380.40133775)</f>
        <v>1137380.401</v>
      </c>
      <c r="AG15" s="58">
        <f>IFERROR(__xludf.DUMMYFUNCTION("""COMPUTED_VALUE"""),4834219.477120922)</f>
        <v>4834219.477</v>
      </c>
      <c r="AH15" s="58">
        <f>IFERROR(__xludf.DUMMYFUNCTION("""COMPUTED_VALUE"""),1112306.5471986558)</f>
        <v>1112306.547</v>
      </c>
      <c r="AI15" s="58">
        <f>IFERROR(__xludf.DUMMYFUNCTION("""COMPUTED_VALUE"""),1463974.8764705476)</f>
        <v>1463974.876</v>
      </c>
      <c r="AJ15" s="58">
        <f>IFERROR(__xludf.DUMMYFUNCTION("""COMPUTED_VALUE"""),1578622.097557781)</f>
        <v>1578622.098</v>
      </c>
      <c r="AK15" s="58">
        <f>IFERROR(__xludf.DUMMYFUNCTION("""COMPUTED_VALUE"""),1202494.9975940587)</f>
        <v>1202494.998</v>
      </c>
      <c r="AL15" s="58">
        <f>IFERROR(__xludf.DUMMYFUNCTION("""COMPUTED_VALUE"""),5357398.518821043)</f>
        <v>5357398.519</v>
      </c>
      <c r="AM15" s="58">
        <f>IFERROR(__xludf.DUMMYFUNCTION("""COMPUTED_VALUE"""),1168606.7411244202)</f>
        <v>1168606.741</v>
      </c>
      <c r="AN15" s="58">
        <f>IFERROR(__xludf.DUMMYFUNCTION("""COMPUTED_VALUE"""),1393876.7265054)</f>
        <v>1393876.727</v>
      </c>
      <c r="AO15" s="58">
        <f>IFERROR(__xludf.DUMMYFUNCTION("""COMPUTED_VALUE"""),1554281.7272092802)</f>
        <v>1554281.727</v>
      </c>
      <c r="AP15" s="58">
        <f>IFERROR(__xludf.DUMMYFUNCTION("""COMPUTED_VALUE"""),1394977.6071792003)</f>
        <v>1394977.607</v>
      </c>
      <c r="AQ15" s="58">
        <f>IFERROR(__xludf.DUMMYFUNCTION("""COMPUTED_VALUE"""),5511742.802018301)</f>
        <v>5511742.802</v>
      </c>
      <c r="AR15" s="58">
        <f>IFERROR(__xludf.DUMMYFUNCTION("""COMPUTED_VALUE"""),1467635.6290511084)</f>
        <v>1467635.629</v>
      </c>
      <c r="AS15" s="58">
        <f>IFERROR(__xludf.DUMMYFUNCTION("""COMPUTED_VALUE"""),1477892.48869876)</f>
        <v>1477892.489</v>
      </c>
      <c r="AT15" s="58">
        <f>IFERROR(__xludf.DUMMYFUNCTION("""COMPUTED_VALUE"""),1588481.3386148552)</f>
        <v>1588481.339</v>
      </c>
      <c r="AU15" s="58">
        <f>IFERROR(__xludf.DUMMYFUNCTION("""COMPUTED_VALUE"""),1609709.1681762799)</f>
        <v>1609709.168</v>
      </c>
      <c r="AV15" s="58">
        <f>IFERROR(__xludf.DUMMYFUNCTION("""COMPUTED_VALUE"""),6143718.624541003)</f>
        <v>6143718.625</v>
      </c>
      <c r="AW15" s="58">
        <f>IFERROR(__xludf.DUMMYFUNCTION("""COMPUTED_VALUE"""),1547638.0312886229)</f>
        <v>1547638.031</v>
      </c>
      <c r="AX15" s="58">
        <f>IFERROR(__xludf.DUMMYFUNCTION("""COMPUTED_VALUE"""),1657029.1620123)</f>
        <v>1657029.162</v>
      </c>
      <c r="AY15" s="58">
        <f>IFERROR(__xludf.DUMMYFUNCTION("""COMPUTED_VALUE"""),1743307.9860910429)</f>
        <v>1743307.986</v>
      </c>
      <c r="AZ15" s="58">
        <f>IFERROR(__xludf.DUMMYFUNCTION("""COMPUTED_VALUE"""),1835541.2639800399)</f>
        <v>1835541.264</v>
      </c>
      <c r="BA15" s="58">
        <f>IFERROR(__xludf.DUMMYFUNCTION("""COMPUTED_VALUE"""),6783516.443372006)</f>
        <v>6783516.443</v>
      </c>
      <c r="BB15" s="58">
        <f>IFERROR(__xludf.DUMMYFUNCTION("""COMPUTED_VALUE"""),1670981.5163096616)</f>
        <v>1670981.516</v>
      </c>
      <c r="BC15" s="58">
        <f>IFERROR(__xludf.DUMMYFUNCTION("""COMPUTED_VALUE"""),1815004.7453295002)</f>
        <v>1815004.745</v>
      </c>
      <c r="BD15" s="58">
        <f>IFERROR(__xludf.DUMMYFUNCTION("""COMPUTED_VALUE"""),1899145.1790209818)</f>
        <v>1899145.179</v>
      </c>
      <c r="BE15" s="58">
        <f>IFERROR(__xludf.DUMMYFUNCTION("""COMPUTED_VALUE"""),1959238.29803108)</f>
        <v>1959238.298</v>
      </c>
      <c r="BF15" s="58">
        <f>IFERROR(__xludf.DUMMYFUNCTION("""COMPUTED_VALUE"""),7344369.738691224)</f>
        <v>7344369.739</v>
      </c>
      <c r="BG15" s="59">
        <f>IFERROR(__xludf.DUMMYFUNCTION("""COMPUTED_VALUE"""),1816511.18184097)</f>
        <v>1816511.182</v>
      </c>
      <c r="BH15" s="59">
        <f>IFERROR(__xludf.DUMMYFUNCTION("""COMPUTED_VALUE"""),2031236.31308636)</f>
        <v>2031236.313</v>
      </c>
      <c r="BI15" s="59">
        <f>IFERROR(__xludf.DUMMYFUNCTION("""COMPUTED_VALUE"""),2035725.8062069)</f>
        <v>2035725.806</v>
      </c>
      <c r="BJ15" s="59">
        <f>IFERROR(__xludf.DUMMYFUNCTION("""COMPUTED_VALUE"""),2165400.93252933)</f>
        <v>2165400.933</v>
      </c>
      <c r="BK15" s="59">
        <f>IFERROR(__xludf.DUMMYFUNCTION("""COMPUTED_VALUE"""),8048874.233663559)</f>
        <v>8048874.234</v>
      </c>
      <c r="BL15" s="59">
        <f>IFERROR(__xludf.DUMMYFUNCTION("""COMPUTED_VALUE"""),2043900.97901724)</f>
        <v>2043900.979</v>
      </c>
      <c r="BM15" s="59">
        <f>IFERROR(__xludf.DUMMYFUNCTION("""COMPUTED_VALUE"""),2022345.48432292)</f>
        <v>2022345.484</v>
      </c>
      <c r="BN15" s="59">
        <f>IFERROR(__xludf.DUMMYFUNCTION("""COMPUTED_VALUE"""),1984572.80517599)</f>
        <v>1984572.805</v>
      </c>
      <c r="BO15" s="59">
        <f>IFERROR(__xludf.DUMMYFUNCTION("""COMPUTED_VALUE"""),2034751.28564921)</f>
        <v>2034751.286</v>
      </c>
      <c r="BP15" s="59">
        <f>IFERROR(__xludf.DUMMYFUNCTION("""COMPUTED_VALUE"""),8085570.5541653605)</f>
        <v>8085570.554</v>
      </c>
      <c r="BQ15" s="59">
        <f>IFERROR(__xludf.DUMMYFUNCTION("""COMPUTED_VALUE"""),2148317.45339409)</f>
        <v>2148317.453</v>
      </c>
      <c r="BR15" s="59">
        <f>IFERROR(__xludf.DUMMYFUNCTION("""COMPUTED_VALUE"""),2071668.35)</f>
        <v>2071668.35</v>
      </c>
      <c r="BS15" s="59">
        <f>IFERROR(__xludf.DUMMYFUNCTION("""COMPUTED_VALUE"""),2125901.12587276)</f>
        <v>2125901.126</v>
      </c>
      <c r="BT15" s="59">
        <f>IFERROR(__xludf.DUMMYFUNCTION("""COMPUTED_VALUE"""),2143168.96448895)</f>
        <v>2143168.964</v>
      </c>
      <c r="BU15" s="59">
        <f>IFERROR(__xludf.DUMMYFUNCTION("""COMPUTED_VALUE"""),8489055.893755801)</f>
        <v>8489055.894</v>
      </c>
      <c r="BV15" s="59">
        <f>IFERROR(__xludf.DUMMYFUNCTION("""COMPUTED_VALUE"""),2503201.73864588)</f>
        <v>2503201.739</v>
      </c>
      <c r="BW15" s="59">
        <f>IFERROR(__xludf.DUMMYFUNCTION("""COMPUTED_VALUE"""),2401738.68267887)</f>
        <v>2401738.683</v>
      </c>
      <c r="BX15" s="59">
        <f>IFERROR(__xludf.DUMMYFUNCTION("""COMPUTED_VALUE"""),2256432.57929879)</f>
        <v>2256432.579</v>
      </c>
      <c r="BY15" s="59">
        <f>IFERROR(__xludf.DUMMYFUNCTION("""COMPUTED_VALUE"""),2381903.4731653)</f>
        <v>2381903.473</v>
      </c>
      <c r="BZ15" s="59">
        <f>IFERROR(__xludf.DUMMYFUNCTION("""COMPUTED_VALUE"""),9543276.47378884)</f>
        <v>9543276.474</v>
      </c>
      <c r="CA15" s="59">
        <f>IFERROR(__xludf.DUMMYFUNCTION("""COMPUTED_VALUE"""),2627012.45524066)</f>
        <v>2627012.455</v>
      </c>
      <c r="CB15" s="59">
        <f>IFERROR(__xludf.DUMMYFUNCTION("""COMPUTED_VALUE"""),2578557.77544992)</f>
        <v>2578557.775</v>
      </c>
      <c r="CC15" s="59">
        <f>IFERROR(__xludf.DUMMYFUNCTION("""COMPUTED_VALUE"""),2678147.95152602)</f>
        <v>2678147.952</v>
      </c>
      <c r="CD15" s="59">
        <f>IFERROR(__xludf.DUMMYFUNCTION("""COMPUTED_VALUE"""),2847362.13086854)</f>
        <v>2847362.131</v>
      </c>
      <c r="CE15" s="59">
        <f>IFERROR(__xludf.DUMMYFUNCTION("""COMPUTED_VALUE"""),1.0731080313085139E7)</f>
        <v>10731080.31</v>
      </c>
      <c r="CF15" s="59">
        <f>IFERROR(__xludf.DUMMYFUNCTION("""COMPUTED_VALUE"""),3277823.30083551)</f>
        <v>3277823.301</v>
      </c>
      <c r="CG15" s="59">
        <f>IFERROR(__xludf.DUMMYFUNCTION("""COMPUTED_VALUE"""),3513608.6723921)</f>
        <v>3513608.672</v>
      </c>
      <c r="CH15" s="59">
        <f>IFERROR(__xludf.DUMMYFUNCTION("""COMPUTED_VALUE"""),3548100.98970006)</f>
        <v>3548100.99</v>
      </c>
      <c r="CI15" s="60">
        <f>IFERROR(__xludf.DUMMYFUNCTION("""COMPUTED_VALUE"""),3612682.00334681)</f>
        <v>3612682.003</v>
      </c>
      <c r="CJ15" s="60">
        <f>IFERROR(__xludf.DUMMYFUNCTION("""COMPUTED_VALUE"""),1.395221496627448E7)</f>
        <v>13952214.97</v>
      </c>
      <c r="CK15" s="60">
        <f>IFERROR(__xludf.DUMMYFUNCTION("""COMPUTED_VALUE"""),3766568.09164883)</f>
        <v>3766568.092</v>
      </c>
      <c r="CL15" s="60">
        <f>IFERROR(__xludf.DUMMYFUNCTION("""COMPUTED_VALUE"""),4120876.22151634)</f>
        <v>4120876.222</v>
      </c>
      <c r="CM15" s="60">
        <f>IFERROR(__xludf.DUMMYFUNCTION("""COMPUTED_VALUE"""),4266449.32185761)</f>
        <v>4266449.322</v>
      </c>
      <c r="CN15" s="60">
        <f>IFERROR(__xludf.DUMMYFUNCTION("""COMPUTED_VALUE"""),4016680.00725197)</f>
        <v>4016680.007</v>
      </c>
      <c r="CO15" s="60">
        <f>IFERROR(__xludf.DUMMYFUNCTION("""COMPUTED_VALUE"""),1.617057364227475E7)</f>
        <v>16170573.64</v>
      </c>
      <c r="CP15" s="61">
        <f>IFERROR(__xludf.DUMMYFUNCTION("""COMPUTED_VALUE"""),3947265.9511385583)</f>
        <v>3947265.951</v>
      </c>
      <c r="CQ15" s="60">
        <f>IFERROR(__xludf.DUMMYFUNCTION("""COMPUTED_VALUE"""),0.0)</f>
        <v>0</v>
      </c>
      <c r="CR15" s="60">
        <f>IFERROR(__xludf.DUMMYFUNCTION("""COMPUTED_VALUE"""),0.0)</f>
        <v>0</v>
      </c>
      <c r="CS15" s="60">
        <f>IFERROR(__xludf.DUMMYFUNCTION("""COMPUTED_VALUE"""),0.0)</f>
        <v>0</v>
      </c>
      <c r="CT15" s="60">
        <f>IFERROR(__xludf.DUMMYFUNCTION("""COMPUTED_VALUE"""),3947265.9511385583)</f>
        <v>3947265.951</v>
      </c>
      <c r="CU15" s="60">
        <f>IFERROR(__xludf.DUMMYFUNCTION("""COMPUTED_VALUE"""),0.0)</f>
        <v>0</v>
      </c>
      <c r="CV15" s="60">
        <f>IFERROR(__xludf.DUMMYFUNCTION("""COMPUTED_VALUE"""),0.0)</f>
        <v>0</v>
      </c>
      <c r="CW15" s="60">
        <f>IFERROR(__xludf.DUMMYFUNCTION("""COMPUTED_VALUE"""),0.0)</f>
        <v>0</v>
      </c>
      <c r="CX15" s="60">
        <f>IFERROR(__xludf.DUMMYFUNCTION("""COMPUTED_VALUE"""),0.0)</f>
        <v>0</v>
      </c>
      <c r="CY15" s="60">
        <f>IFERROR(__xludf.DUMMYFUNCTION("""COMPUTED_VALUE"""),0.0)</f>
        <v>0</v>
      </c>
      <c r="CZ15" s="57"/>
      <c r="DA15" s="57"/>
    </row>
    <row r="16">
      <c r="A16" s="54"/>
      <c r="B16" s="55"/>
      <c r="C16" s="56" t="s">
        <v>37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8">
        <f>IFERROR(__xludf.DUMMYFUNCTION("""COMPUTED_VALUE"""),362240.3262)</f>
        <v>362240.3262</v>
      </c>
      <c r="O16" s="58">
        <f>IFERROR(__xludf.DUMMYFUNCTION("""COMPUTED_VALUE"""),362501.3177)</f>
        <v>362501.3177</v>
      </c>
      <c r="P16" s="58">
        <f>IFERROR(__xludf.DUMMYFUNCTION("""COMPUTED_VALUE"""),401232.7554)</f>
        <v>401232.7554</v>
      </c>
      <c r="Q16" s="58">
        <f>IFERROR(__xludf.DUMMYFUNCTION("""COMPUTED_VALUE"""),414320.8208)</f>
        <v>414320.8208</v>
      </c>
      <c r="R16" s="58">
        <f>IFERROR(__xludf.DUMMYFUNCTION("""COMPUTED_VALUE"""),1540295.2201)</f>
        <v>1540295.22</v>
      </c>
      <c r="S16" s="58">
        <f>IFERROR(__xludf.DUMMYFUNCTION("""COMPUTED_VALUE"""),377051.26652603573)</f>
        <v>377051.2665</v>
      </c>
      <c r="T16" s="58">
        <f>IFERROR(__xludf.DUMMYFUNCTION("""COMPUTED_VALUE"""),390341.94287185423)</f>
        <v>390341.9429</v>
      </c>
      <c r="U16" s="58">
        <f>IFERROR(__xludf.DUMMYFUNCTION("""COMPUTED_VALUE"""),423917.9818343075)</f>
        <v>423917.9818</v>
      </c>
      <c r="V16" s="58">
        <f>IFERROR(__xludf.DUMMYFUNCTION("""COMPUTED_VALUE"""),435301.99881417665)</f>
        <v>435301.9988</v>
      </c>
      <c r="W16" s="58">
        <f>IFERROR(__xludf.DUMMYFUNCTION("""COMPUTED_VALUE"""),1626613.1900463742)</f>
        <v>1626613.19</v>
      </c>
      <c r="X16" s="58">
        <f>IFERROR(__xludf.DUMMYFUNCTION("""COMPUTED_VALUE"""),427159.5814621727)</f>
        <v>427159.5815</v>
      </c>
      <c r="Y16" s="58">
        <f>IFERROR(__xludf.DUMMYFUNCTION("""COMPUTED_VALUE"""),437813.8545400495)</f>
        <v>437813.8545</v>
      </c>
      <c r="Z16" s="58">
        <f>IFERROR(__xludf.DUMMYFUNCTION("""COMPUTED_VALUE"""),469149.48610392923)</f>
        <v>469149.4861</v>
      </c>
      <c r="AA16" s="58">
        <f>IFERROR(__xludf.DUMMYFUNCTION("""COMPUTED_VALUE"""),482474.98174147174)</f>
        <v>482474.9817</v>
      </c>
      <c r="AB16" s="58">
        <f>IFERROR(__xludf.DUMMYFUNCTION("""COMPUTED_VALUE"""),1816597.9038476232)</f>
        <v>1816597.904</v>
      </c>
      <c r="AC16" s="58">
        <f>IFERROR(__xludf.DUMMYFUNCTION("""COMPUTED_VALUE"""),472292.04128236126)</f>
        <v>472292.0413</v>
      </c>
      <c r="AD16" s="58">
        <f>IFERROR(__xludf.DUMMYFUNCTION("""COMPUTED_VALUE"""),469105.5069995481)</f>
        <v>469105.507</v>
      </c>
      <c r="AE16" s="58">
        <f>IFERROR(__xludf.DUMMYFUNCTION("""COMPUTED_VALUE"""),499837.68370522535)</f>
        <v>499837.6837</v>
      </c>
      <c r="AF16" s="58">
        <f>IFERROR(__xludf.DUMMYFUNCTION("""COMPUTED_VALUE"""),523459.48198398994)</f>
        <v>523459.482</v>
      </c>
      <c r="AG16" s="58">
        <f>IFERROR(__xludf.DUMMYFUNCTION("""COMPUTED_VALUE"""),1964694.7139711247)</f>
        <v>1964694.714</v>
      </c>
      <c r="AH16" s="58">
        <f>IFERROR(__xludf.DUMMYFUNCTION("""COMPUTED_VALUE"""),505108.5218749903)</f>
        <v>505108.5219</v>
      </c>
      <c r="AI16" s="58">
        <f>IFERROR(__xludf.DUMMYFUNCTION("""COMPUTED_VALUE"""),513162.8027346973)</f>
        <v>513162.8027</v>
      </c>
      <c r="AJ16" s="58">
        <f>IFERROR(__xludf.DUMMYFUNCTION("""COMPUTED_VALUE"""),553219.0136763353)</f>
        <v>553219.0137</v>
      </c>
      <c r="AK16" s="58">
        <f>IFERROR(__xludf.DUMMYFUNCTION("""COMPUTED_VALUE"""),547018.3619524098)</f>
        <v>547018.362</v>
      </c>
      <c r="AL16" s="58">
        <f>IFERROR(__xludf.DUMMYFUNCTION("""COMPUTED_VALUE"""),2118508.7002384327)</f>
        <v>2118508.7</v>
      </c>
      <c r="AM16" s="58">
        <f>IFERROR(__xludf.DUMMYFUNCTION("""COMPUTED_VALUE"""),533836.31337666)</f>
        <v>533836.3134</v>
      </c>
      <c r="AN16" s="58">
        <f>IFERROR(__xludf.DUMMYFUNCTION("""COMPUTED_VALUE"""),540864.48864124)</f>
        <v>540864.4886</v>
      </c>
      <c r="AO16" s="58">
        <f>IFERROR(__xludf.DUMMYFUNCTION("""COMPUTED_VALUE"""),587679.7754391)</f>
        <v>587679.7754</v>
      </c>
      <c r="AP16" s="58">
        <f>IFERROR(__xludf.DUMMYFUNCTION("""COMPUTED_VALUE"""),584878.09072848)</f>
        <v>584878.0907</v>
      </c>
      <c r="AQ16" s="58">
        <f>IFERROR(__xludf.DUMMYFUNCTION("""COMPUTED_VALUE"""),2247258.66818548)</f>
        <v>2247258.668</v>
      </c>
      <c r="AR16" s="58">
        <f>IFERROR(__xludf.DUMMYFUNCTION("""COMPUTED_VALUE"""),583483.2961394248)</f>
        <v>583483.2961</v>
      </c>
      <c r="AS16" s="58">
        <f>IFERROR(__xludf.DUMMYFUNCTION("""COMPUTED_VALUE"""),602741.047115364)</f>
        <v>602741.0471</v>
      </c>
      <c r="AT16" s="58">
        <f>IFERROR(__xludf.DUMMYFUNCTION("""COMPUTED_VALUE"""),684780.1635632575)</f>
        <v>684780.1636</v>
      </c>
      <c r="AU16" s="58">
        <f>IFERROR(__xludf.DUMMYFUNCTION("""COMPUTED_VALUE"""),616033.8228806028)</f>
        <v>616033.8229</v>
      </c>
      <c r="AV16" s="58">
        <f>IFERROR(__xludf.DUMMYFUNCTION("""COMPUTED_VALUE"""),2487038.3296986492)</f>
        <v>2487038.33</v>
      </c>
      <c r="AW16" s="58">
        <f>IFERROR(__xludf.DUMMYFUNCTION("""COMPUTED_VALUE"""),615752.0291323302)</f>
        <v>615752.0291</v>
      </c>
      <c r="AX16" s="58">
        <f>IFERROR(__xludf.DUMMYFUNCTION("""COMPUTED_VALUE"""),674323.6406829208)</f>
        <v>674323.6407</v>
      </c>
      <c r="AY16" s="58">
        <f>IFERROR(__xludf.DUMMYFUNCTION("""COMPUTED_VALUE"""),729272.615326016)</f>
        <v>729272.6153</v>
      </c>
      <c r="AZ16" s="58">
        <f>IFERROR(__xludf.DUMMYFUNCTION("""COMPUTED_VALUE"""),735966.9461435517)</f>
        <v>735966.9461</v>
      </c>
      <c r="BA16" s="58">
        <f>IFERROR(__xludf.DUMMYFUNCTION("""COMPUTED_VALUE"""),2755315.2312848186)</f>
        <v>2755315.231</v>
      </c>
      <c r="BB16" s="58">
        <f>IFERROR(__xludf.DUMMYFUNCTION("""COMPUTED_VALUE"""),685249.2813047878)</f>
        <v>685249.2813</v>
      </c>
      <c r="BC16" s="58">
        <f>IFERROR(__xludf.DUMMYFUNCTION("""COMPUTED_VALUE"""),736100.9262173842)</f>
        <v>736100.9262</v>
      </c>
      <c r="BD16" s="58">
        <f>IFERROR(__xludf.DUMMYFUNCTION("""COMPUTED_VALUE"""),770691.2329658972)</f>
        <v>770691.233</v>
      </c>
      <c r="BE16" s="58">
        <f>IFERROR(__xludf.DUMMYFUNCTION("""COMPUTED_VALUE"""),790241.0415808649)</f>
        <v>790241.0416</v>
      </c>
      <c r="BF16" s="58">
        <f>IFERROR(__xludf.DUMMYFUNCTION("""COMPUTED_VALUE"""),2982282.4820689345)</f>
        <v>2982282.482</v>
      </c>
      <c r="BG16" s="59">
        <f>IFERROR(__xludf.DUMMYFUNCTION("""COMPUTED_VALUE"""),753580.481815433)</f>
        <v>753580.4818</v>
      </c>
      <c r="BH16" s="59">
        <f>IFERROR(__xludf.DUMMYFUNCTION("""COMPUTED_VALUE"""),809182.048032302)</f>
        <v>809182.048</v>
      </c>
      <c r="BI16" s="59">
        <f>IFERROR(__xludf.DUMMYFUNCTION("""COMPUTED_VALUE"""),864496.469989277)</f>
        <v>864496.47</v>
      </c>
      <c r="BJ16" s="59">
        <f>IFERROR(__xludf.DUMMYFUNCTION("""COMPUTED_VALUE"""),836640.958379983)</f>
        <v>836640.9584</v>
      </c>
      <c r="BK16" s="59">
        <f>IFERROR(__xludf.DUMMYFUNCTION("""COMPUTED_VALUE"""),3263899.958216995)</f>
        <v>3263899.958</v>
      </c>
      <c r="BL16" s="59">
        <f>IFERROR(__xludf.DUMMYFUNCTION("""COMPUTED_VALUE"""),825815.125724241)</f>
        <v>825815.1257</v>
      </c>
      <c r="BM16" s="59">
        <f>IFERROR(__xludf.DUMMYFUNCTION("""COMPUTED_VALUE"""),817135.317841383)</f>
        <v>817135.3178</v>
      </c>
      <c r="BN16" s="59">
        <f>IFERROR(__xludf.DUMMYFUNCTION("""COMPUTED_VALUE"""),877914.881504096)</f>
        <v>877914.8815</v>
      </c>
      <c r="BO16" s="59">
        <f>IFERROR(__xludf.DUMMYFUNCTION("""COMPUTED_VALUE"""),855628.301574455)</f>
        <v>855628.3016</v>
      </c>
      <c r="BP16" s="59">
        <f>IFERROR(__xludf.DUMMYFUNCTION("""COMPUTED_VALUE"""),3376493.626644175)</f>
        <v>3376493.627</v>
      </c>
      <c r="BQ16" s="59">
        <f>IFERROR(__xludf.DUMMYFUNCTION("""COMPUTED_VALUE"""),849240.605288961)</f>
        <v>849240.6053</v>
      </c>
      <c r="BR16" s="59">
        <f>IFERROR(__xludf.DUMMYFUNCTION("""COMPUTED_VALUE"""),894532.302180636)</f>
        <v>894532.3022</v>
      </c>
      <c r="BS16" s="59">
        <f>IFERROR(__xludf.DUMMYFUNCTION("""COMPUTED_VALUE"""),885857.302180636)</f>
        <v>885857.3022</v>
      </c>
      <c r="BT16" s="59">
        <f>IFERROR(__xludf.DUMMYFUNCTION("""COMPUTED_VALUE"""),895879.472488258)</f>
        <v>895879.4725</v>
      </c>
      <c r="BU16" s="59">
        <f>IFERROR(__xludf.DUMMYFUNCTION("""COMPUTED_VALUE"""),3525509.682138491)</f>
        <v>3525509.682</v>
      </c>
      <c r="BV16" s="59">
        <f>IFERROR(__xludf.DUMMYFUNCTION("""COMPUTED_VALUE"""),907065.048965356)</f>
        <v>907065.049</v>
      </c>
      <c r="BW16" s="59">
        <f>IFERROR(__xludf.DUMMYFUNCTION("""COMPUTED_VALUE"""),920059.930991239)</f>
        <v>920059.931</v>
      </c>
      <c r="BX16" s="59">
        <f>IFERROR(__xludf.DUMMYFUNCTION("""COMPUTED_VALUE"""),969281.760632443)</f>
        <v>969281.7606</v>
      </c>
      <c r="BY16" s="59">
        <f>IFERROR(__xludf.DUMMYFUNCTION("""COMPUTED_VALUE"""),926982.35138615)</f>
        <v>926982.3514</v>
      </c>
      <c r="BZ16" s="59">
        <f>IFERROR(__xludf.DUMMYFUNCTION("""COMPUTED_VALUE"""),3723389.091975188)</f>
        <v>3723389.092</v>
      </c>
      <c r="CA16" s="59">
        <f>IFERROR(__xludf.DUMMYFUNCTION("""COMPUTED_VALUE"""),975356.83024959)</f>
        <v>975356.8302</v>
      </c>
      <c r="CB16" s="59">
        <f>IFERROR(__xludf.DUMMYFUNCTION("""COMPUTED_VALUE"""),1086530.59666561)</f>
        <v>1086530.597</v>
      </c>
      <c r="CC16" s="59">
        <f>IFERROR(__xludf.DUMMYFUNCTION("""COMPUTED_VALUE"""),1036863.09879652)</f>
        <v>1036863.099</v>
      </c>
      <c r="CD16" s="59">
        <f>IFERROR(__xludf.DUMMYFUNCTION("""COMPUTED_VALUE"""),1003677.07598025)</f>
        <v>1003677.076</v>
      </c>
      <c r="CE16" s="59">
        <f>IFERROR(__xludf.DUMMYFUNCTION("""COMPUTED_VALUE"""),4102427.6016919697)</f>
        <v>4102427.602</v>
      </c>
      <c r="CF16" s="59">
        <f>IFERROR(__xludf.DUMMYFUNCTION("""COMPUTED_VALUE"""),992937.74777168)</f>
        <v>992937.7478</v>
      </c>
      <c r="CG16" s="59">
        <f>IFERROR(__xludf.DUMMYFUNCTION("""COMPUTED_VALUE"""),1116372.00379097)</f>
        <v>1116372.004</v>
      </c>
      <c r="CH16" s="59">
        <f>IFERROR(__xludf.DUMMYFUNCTION("""COMPUTED_VALUE"""),1043676.40651546)</f>
        <v>1043676.407</v>
      </c>
      <c r="CI16" s="60">
        <f>IFERROR(__xludf.DUMMYFUNCTION("""COMPUTED_VALUE"""),1056589.51098157)</f>
        <v>1056589.511</v>
      </c>
      <c r="CJ16" s="60">
        <f>IFERROR(__xludf.DUMMYFUNCTION("""COMPUTED_VALUE"""),4209575.66905968)</f>
        <v>4209575.669</v>
      </c>
      <c r="CK16" s="60">
        <f>IFERROR(__xludf.DUMMYFUNCTION("""COMPUTED_VALUE"""),1116303.90868905)</f>
        <v>1116303.909</v>
      </c>
      <c r="CL16" s="60">
        <f>IFERROR(__xludf.DUMMYFUNCTION("""COMPUTED_VALUE"""),1243100.34396255)</f>
        <v>1243100.344</v>
      </c>
      <c r="CM16" s="60">
        <f>IFERROR(__xludf.DUMMYFUNCTION("""COMPUTED_VALUE"""),1153996.00717777)</f>
        <v>1153996.007</v>
      </c>
      <c r="CN16" s="60">
        <f>IFERROR(__xludf.DUMMYFUNCTION("""COMPUTED_VALUE"""),1197732.44768692)</f>
        <v>1197732.448</v>
      </c>
      <c r="CO16" s="60">
        <f>IFERROR(__xludf.DUMMYFUNCTION("""COMPUTED_VALUE"""),4711132.70751629)</f>
        <v>4711132.708</v>
      </c>
      <c r="CP16" s="61">
        <f>IFERROR(__xludf.DUMMYFUNCTION("""COMPUTED_VALUE"""),1278176.892361933)</f>
        <v>1278176.892</v>
      </c>
      <c r="CQ16" s="60">
        <f>IFERROR(__xludf.DUMMYFUNCTION("""COMPUTED_VALUE"""),0.0)</f>
        <v>0</v>
      </c>
      <c r="CR16" s="60">
        <f>IFERROR(__xludf.DUMMYFUNCTION("""COMPUTED_VALUE"""),0.0)</f>
        <v>0</v>
      </c>
      <c r="CS16" s="60">
        <f>IFERROR(__xludf.DUMMYFUNCTION("""COMPUTED_VALUE"""),0.0)</f>
        <v>0</v>
      </c>
      <c r="CT16" s="60">
        <f>IFERROR(__xludf.DUMMYFUNCTION("""COMPUTED_VALUE"""),1278176.892361933)</f>
        <v>1278176.892</v>
      </c>
      <c r="CU16" s="60">
        <f>IFERROR(__xludf.DUMMYFUNCTION("""COMPUTED_VALUE"""),0.0)</f>
        <v>0</v>
      </c>
      <c r="CV16" s="60">
        <f>IFERROR(__xludf.DUMMYFUNCTION("""COMPUTED_VALUE"""),0.0)</f>
        <v>0</v>
      </c>
      <c r="CW16" s="60">
        <f>IFERROR(__xludf.DUMMYFUNCTION("""COMPUTED_VALUE"""),0.0)</f>
        <v>0</v>
      </c>
      <c r="CX16" s="60">
        <f>IFERROR(__xludf.DUMMYFUNCTION("""COMPUTED_VALUE"""),0.0)</f>
        <v>0</v>
      </c>
      <c r="CY16" s="60">
        <f>IFERROR(__xludf.DUMMYFUNCTION("""COMPUTED_VALUE"""),0.0)</f>
        <v>0</v>
      </c>
      <c r="CZ16" s="57"/>
      <c r="DA16" s="57"/>
    </row>
    <row r="19">
      <c r="A19" s="62" t="s">
        <v>38</v>
      </c>
      <c r="B19" s="52" t="s">
        <v>39</v>
      </c>
      <c r="C19" s="53"/>
    </row>
    <row r="20">
      <c r="A20" s="54"/>
      <c r="B20" s="55"/>
      <c r="C20" s="56" t="s">
        <v>32</v>
      </c>
      <c r="AV20" s="63">
        <v>0.111800616732603</v>
      </c>
      <c r="AW20" s="63">
        <v>0.111800616732603</v>
      </c>
      <c r="AX20" s="63">
        <v>0.111800616732603</v>
      </c>
      <c r="AY20" s="63">
        <v>0.111800616732603</v>
      </c>
      <c r="AZ20" s="63">
        <v>0.111800616732603</v>
      </c>
      <c r="BA20" s="63">
        <v>0.111800616732603</v>
      </c>
      <c r="BB20" s="63">
        <v>0.111800616732603</v>
      </c>
      <c r="BC20" s="63">
        <v>0.111800616732603</v>
      </c>
      <c r="BD20" s="63">
        <v>0.111800616732603</v>
      </c>
      <c r="BE20" s="63">
        <v>0.111800616732603</v>
      </c>
      <c r="BF20" s="63">
        <v>0.111800616732603</v>
      </c>
      <c r="BG20" s="63">
        <v>0.111800616732603</v>
      </c>
      <c r="BH20" s="63">
        <v>0.111800616732603</v>
      </c>
      <c r="BI20" s="63">
        <v>0.111800616732603</v>
      </c>
      <c r="BJ20" s="63">
        <v>0.111800616732603</v>
      </c>
      <c r="BK20" s="63">
        <v>0.111800616732603</v>
      </c>
      <c r="BL20" s="63">
        <v>0.111800616732603</v>
      </c>
      <c r="BM20" s="63">
        <v>0.111800616732603</v>
      </c>
      <c r="BN20" s="63">
        <v>0.111800616732603</v>
      </c>
      <c r="BO20" s="63">
        <v>0.111800616732603</v>
      </c>
      <c r="BP20" s="63">
        <v>0.111800616732603</v>
      </c>
      <c r="BQ20" s="63">
        <v>0.111800616732603</v>
      </c>
      <c r="BR20" s="63">
        <v>0.111800616732603</v>
      </c>
      <c r="BS20" s="63">
        <v>0.111800616732603</v>
      </c>
      <c r="BT20" s="63">
        <v>0.111800616732603</v>
      </c>
      <c r="BU20" s="63">
        <v>0.111800616732603</v>
      </c>
      <c r="BV20" s="64">
        <v>0.111800616732603</v>
      </c>
      <c r="BW20" s="64">
        <v>0.111800616732603</v>
      </c>
      <c r="BX20" s="64">
        <v>0.111800616732603</v>
      </c>
      <c r="BY20" s="64">
        <v>0.111800616732603</v>
      </c>
      <c r="BZ20" s="63"/>
      <c r="CA20" s="64">
        <v>0.111800616732603</v>
      </c>
      <c r="CB20" s="64">
        <v>0.111800616732603</v>
      </c>
      <c r="CC20" s="64">
        <v>0.111800616732603</v>
      </c>
      <c r="CD20" s="64">
        <v>0.111800616732603</v>
      </c>
      <c r="CE20" s="64">
        <v>0.111800616732603</v>
      </c>
      <c r="CF20" s="64">
        <v>0.111800616732603</v>
      </c>
      <c r="CG20" s="64">
        <v>0.111800616732603</v>
      </c>
      <c r="CH20" s="64">
        <v>0.111800616732603</v>
      </c>
      <c r="CI20" s="64">
        <v>0.111800616732603</v>
      </c>
      <c r="CK20" s="64">
        <v>0.111800616732603</v>
      </c>
      <c r="CL20" s="64">
        <v>0.111800616732603</v>
      </c>
      <c r="CM20" s="64">
        <v>0.111800616732603</v>
      </c>
      <c r="CN20" s="64">
        <v>0.111800616732603</v>
      </c>
      <c r="CP20" s="64">
        <v>0.111800616732603</v>
      </c>
      <c r="CQ20" s="64">
        <v>0.111800616732603</v>
      </c>
      <c r="CR20" s="64">
        <v>0.111800616732603</v>
      </c>
      <c r="CS20" s="64">
        <v>0.111800616732603</v>
      </c>
    </row>
    <row r="21">
      <c r="A21" s="54"/>
      <c r="B21" s="55"/>
      <c r="C21" s="56" t="s">
        <v>33</v>
      </c>
      <c r="AV21" s="63">
        <v>0.0607192583097326</v>
      </c>
      <c r="AW21" s="63">
        <v>0.0607192583097326</v>
      </c>
      <c r="AX21" s="63">
        <v>0.0607192583097326</v>
      </c>
      <c r="AY21" s="63">
        <v>0.0607192583097326</v>
      </c>
      <c r="AZ21" s="63">
        <v>0.0607192583097326</v>
      </c>
      <c r="BA21" s="63">
        <v>0.0607192583097326</v>
      </c>
      <c r="BB21" s="63">
        <v>0.0607192583097326</v>
      </c>
      <c r="BC21" s="63">
        <v>0.0607192583097326</v>
      </c>
      <c r="BD21" s="63">
        <v>0.0607192583097326</v>
      </c>
      <c r="BE21" s="63">
        <v>0.0607192583097326</v>
      </c>
      <c r="BF21" s="63">
        <v>0.0607192583097326</v>
      </c>
      <c r="BG21" s="63">
        <v>0.0607192583097326</v>
      </c>
      <c r="BH21" s="63">
        <v>0.0607192583097326</v>
      </c>
      <c r="BI21" s="63">
        <v>0.0607192583097326</v>
      </c>
      <c r="BJ21" s="63">
        <v>0.0607192583097326</v>
      </c>
      <c r="BK21" s="63">
        <v>0.0607192583097326</v>
      </c>
      <c r="BL21" s="63">
        <v>0.0607192583097326</v>
      </c>
      <c r="BM21" s="63">
        <v>0.0607192583097326</v>
      </c>
      <c r="BN21" s="63">
        <v>0.0607192583097326</v>
      </c>
      <c r="BO21" s="63">
        <v>0.0607192583097326</v>
      </c>
      <c r="BP21" s="63">
        <v>0.0607192583097326</v>
      </c>
      <c r="BQ21" s="63">
        <v>0.0607192583097326</v>
      </c>
      <c r="BR21" s="63">
        <v>0.0607192583097326</v>
      </c>
      <c r="BS21" s="63">
        <v>0.0607192583097326</v>
      </c>
      <c r="BT21" s="63">
        <v>0.0607192583097326</v>
      </c>
      <c r="BU21" s="63">
        <v>0.0607192583097326</v>
      </c>
      <c r="BV21" s="64">
        <v>0.0607192583097326</v>
      </c>
      <c r="BW21" s="64">
        <v>0.0607192583097326</v>
      </c>
      <c r="BX21" s="64">
        <v>0.0607192583097326</v>
      </c>
      <c r="BY21" s="64">
        <v>0.0607192583097326</v>
      </c>
      <c r="BZ21" s="63"/>
      <c r="CA21" s="64">
        <v>0.0607192583097326</v>
      </c>
      <c r="CB21" s="64">
        <v>0.0607192583097326</v>
      </c>
      <c r="CC21" s="64">
        <v>0.0607192583097326</v>
      </c>
      <c r="CD21" s="64">
        <v>0.0607192583097326</v>
      </c>
      <c r="CE21" s="64">
        <v>0.0607192583097326</v>
      </c>
      <c r="CF21" s="64">
        <v>0.0607192583097326</v>
      </c>
      <c r="CG21" s="64">
        <v>0.0607192583097326</v>
      </c>
      <c r="CH21" s="64">
        <v>0.0607192583097326</v>
      </c>
      <c r="CI21" s="64">
        <v>0.0607192583097326</v>
      </c>
      <c r="CK21" s="64">
        <v>0.0607192583097326</v>
      </c>
      <c r="CL21" s="64">
        <v>0.0607192583097326</v>
      </c>
      <c r="CM21" s="64">
        <v>0.0607192583097326</v>
      </c>
      <c r="CN21" s="64">
        <v>0.0607192583097326</v>
      </c>
      <c r="CP21" s="64">
        <v>0.0607192583097326</v>
      </c>
      <c r="CQ21" s="64">
        <v>0.0607192583097326</v>
      </c>
      <c r="CR21" s="64">
        <v>0.0607192583097326</v>
      </c>
      <c r="CS21" s="64">
        <v>0.0607192583097326</v>
      </c>
    </row>
    <row r="22">
      <c r="A22" s="54"/>
      <c r="B22" s="55"/>
      <c r="C22" s="56" t="s">
        <v>34</v>
      </c>
      <c r="AV22" s="63">
        <v>0.185791061498678</v>
      </c>
      <c r="AW22" s="63">
        <v>0.185791061498678</v>
      </c>
      <c r="AX22" s="63">
        <v>0.185791061498678</v>
      </c>
      <c r="AY22" s="63">
        <v>0.185791061498678</v>
      </c>
      <c r="AZ22" s="63">
        <v>0.185791061498678</v>
      </c>
      <c r="BA22" s="63">
        <v>0.185791061498678</v>
      </c>
      <c r="BB22" s="63">
        <v>0.185791061498678</v>
      </c>
      <c r="BC22" s="63">
        <v>0.185791061498678</v>
      </c>
      <c r="BD22" s="63">
        <v>0.185791061498678</v>
      </c>
      <c r="BE22" s="63">
        <v>0.185791061498678</v>
      </c>
      <c r="BF22" s="63">
        <v>0.185791061498678</v>
      </c>
      <c r="BG22" s="63">
        <v>0.185791061498678</v>
      </c>
      <c r="BH22" s="63">
        <v>0.185791061498678</v>
      </c>
      <c r="BI22" s="63">
        <v>0.185791061498678</v>
      </c>
      <c r="BJ22" s="63">
        <v>0.185791061498678</v>
      </c>
      <c r="BK22" s="63">
        <v>0.185791061498678</v>
      </c>
      <c r="BL22" s="63">
        <v>0.185791061498678</v>
      </c>
      <c r="BM22" s="63">
        <v>0.185791061498678</v>
      </c>
      <c r="BN22" s="63">
        <v>0.185791061498678</v>
      </c>
      <c r="BO22" s="63">
        <v>0.185791061498678</v>
      </c>
      <c r="BP22" s="63">
        <v>0.185791061498678</v>
      </c>
      <c r="BQ22" s="63">
        <v>0.185791061498678</v>
      </c>
      <c r="BR22" s="63">
        <v>0.185791061498678</v>
      </c>
      <c r="BS22" s="63">
        <v>0.185791061498678</v>
      </c>
      <c r="BT22" s="63">
        <v>0.185791061498678</v>
      </c>
      <c r="BU22" s="63">
        <v>0.185791061498678</v>
      </c>
      <c r="BV22" s="64">
        <v>0.185791061498678</v>
      </c>
      <c r="BW22" s="64">
        <v>0.185791061498678</v>
      </c>
      <c r="BX22" s="64">
        <v>0.185791061498678</v>
      </c>
      <c r="BY22" s="64">
        <v>0.185791061498678</v>
      </c>
      <c r="BZ22" s="63"/>
      <c r="CA22" s="64">
        <v>0.185791061498678</v>
      </c>
      <c r="CB22" s="64">
        <v>0.185791061498678</v>
      </c>
      <c r="CC22" s="64">
        <v>0.185791061498678</v>
      </c>
      <c r="CD22" s="64">
        <v>0.185791061498678</v>
      </c>
      <c r="CE22" s="64">
        <v>0.185791061498678</v>
      </c>
      <c r="CF22" s="64">
        <v>0.185791061498678</v>
      </c>
      <c r="CG22" s="64">
        <v>0.185791061498678</v>
      </c>
      <c r="CH22" s="64">
        <v>0.185791061498678</v>
      </c>
      <c r="CI22" s="64">
        <v>0.185791061498678</v>
      </c>
      <c r="CK22" s="64">
        <v>0.185791061498678</v>
      </c>
      <c r="CL22" s="64">
        <v>0.185791061498678</v>
      </c>
      <c r="CM22" s="64">
        <v>0.185791061498678</v>
      </c>
      <c r="CN22" s="64">
        <v>0.185791061498678</v>
      </c>
      <c r="CP22" s="64">
        <v>0.185791061498678</v>
      </c>
      <c r="CQ22" s="64">
        <v>0.185791061498678</v>
      </c>
      <c r="CR22" s="64">
        <v>0.185791061498678</v>
      </c>
      <c r="CS22" s="64">
        <v>0.185791061498678</v>
      </c>
    </row>
    <row r="23">
      <c r="A23" s="54"/>
      <c r="B23" s="55"/>
      <c r="C23" s="56" t="s">
        <v>35</v>
      </c>
      <c r="AV23" s="63">
        <v>0.0607192583097326</v>
      </c>
      <c r="AW23" s="63">
        <v>0.0607192583097326</v>
      </c>
      <c r="AX23" s="63">
        <v>0.0607192583097326</v>
      </c>
      <c r="AY23" s="63">
        <v>0.0607192583097326</v>
      </c>
      <c r="AZ23" s="63">
        <v>0.0607192583097326</v>
      </c>
      <c r="BA23" s="63">
        <v>0.0607192583097326</v>
      </c>
      <c r="BB23" s="63">
        <v>0.0607192583097326</v>
      </c>
      <c r="BC23" s="63">
        <v>0.0607192583097326</v>
      </c>
      <c r="BD23" s="63">
        <v>0.0607192583097326</v>
      </c>
      <c r="BE23" s="63">
        <v>0.0607192583097326</v>
      </c>
      <c r="BF23" s="63">
        <v>0.0607192583097326</v>
      </c>
      <c r="BG23" s="63">
        <v>0.0607192583097326</v>
      </c>
      <c r="BH23" s="63">
        <v>0.0607192583097326</v>
      </c>
      <c r="BI23" s="63">
        <v>0.0607192583097326</v>
      </c>
      <c r="BJ23" s="63">
        <v>0.0607192583097326</v>
      </c>
      <c r="BK23" s="63">
        <v>0.0607192583097326</v>
      </c>
      <c r="BL23" s="63">
        <v>0.0607192583097326</v>
      </c>
      <c r="BM23" s="63">
        <v>0.0607192583097326</v>
      </c>
      <c r="BN23" s="63">
        <v>0.0607192583097326</v>
      </c>
      <c r="BO23" s="63">
        <v>0.0607192583097326</v>
      </c>
      <c r="BP23" s="63">
        <v>0.0607192583097326</v>
      </c>
      <c r="BQ23" s="63">
        <v>0.0607192583097326</v>
      </c>
      <c r="BR23" s="63">
        <v>0.0607192583097326</v>
      </c>
      <c r="BS23" s="63">
        <v>0.0607192583097326</v>
      </c>
      <c r="BT23" s="63">
        <v>0.0607192583097326</v>
      </c>
      <c r="BU23" s="63">
        <v>0.0607192583097326</v>
      </c>
      <c r="BV23" s="64">
        <v>0.0607192583097326</v>
      </c>
      <c r="BW23" s="64">
        <v>0.0607192583097326</v>
      </c>
      <c r="BX23" s="64">
        <v>0.0607192583097326</v>
      </c>
      <c r="BY23" s="64">
        <v>0.0607192583097326</v>
      </c>
      <c r="BZ23" s="63"/>
      <c r="CA23" s="64">
        <v>0.0607192583097326</v>
      </c>
      <c r="CB23" s="64">
        <v>0.0607192583097326</v>
      </c>
      <c r="CC23" s="64">
        <v>0.0607192583097326</v>
      </c>
      <c r="CD23" s="64">
        <v>0.0607192583097326</v>
      </c>
      <c r="CE23" s="64">
        <v>0.0607192583097326</v>
      </c>
      <c r="CF23" s="64">
        <v>0.0607192583097326</v>
      </c>
      <c r="CG23" s="64">
        <v>0.0607192583097326</v>
      </c>
      <c r="CH23" s="64">
        <v>0.0607192583097326</v>
      </c>
      <c r="CI23" s="64">
        <v>0.0607192583097326</v>
      </c>
      <c r="CK23" s="64">
        <v>0.0607192583097326</v>
      </c>
      <c r="CL23" s="64">
        <v>0.0607192583097326</v>
      </c>
      <c r="CM23" s="64">
        <v>0.0607192583097326</v>
      </c>
      <c r="CN23" s="64">
        <v>0.0607192583097326</v>
      </c>
      <c r="CP23" s="64">
        <v>0.0607192583097326</v>
      </c>
      <c r="CQ23" s="64">
        <v>0.0607192583097326</v>
      </c>
      <c r="CR23" s="64">
        <v>0.0607192583097326</v>
      </c>
      <c r="CS23" s="64">
        <v>0.0607192583097326</v>
      </c>
    </row>
    <row r="24">
      <c r="A24" s="54"/>
      <c r="B24" s="55"/>
      <c r="C24" s="56" t="s">
        <v>36</v>
      </c>
      <c r="AV24" s="63">
        <v>0.185791061498678</v>
      </c>
      <c r="AW24" s="63">
        <v>0.185791061498678</v>
      </c>
      <c r="AX24" s="63">
        <v>0.185791061498678</v>
      </c>
      <c r="AY24" s="63">
        <v>0.185791061498678</v>
      </c>
      <c r="AZ24" s="63">
        <v>0.185791061498678</v>
      </c>
      <c r="BA24" s="63">
        <v>0.185791061498678</v>
      </c>
      <c r="BB24" s="63">
        <v>0.185791061498678</v>
      </c>
      <c r="BC24" s="63">
        <v>0.185791061498678</v>
      </c>
      <c r="BD24" s="63">
        <v>0.185791061498678</v>
      </c>
      <c r="BE24" s="63">
        <v>0.185791061498678</v>
      </c>
      <c r="BF24" s="63">
        <v>0.185791061498678</v>
      </c>
      <c r="BG24" s="63">
        <v>0.185791061498678</v>
      </c>
      <c r="BH24" s="63">
        <v>0.185791061498678</v>
      </c>
      <c r="BI24" s="63">
        <v>0.185791061498678</v>
      </c>
      <c r="BJ24" s="63">
        <v>0.185791061498678</v>
      </c>
      <c r="BK24" s="63">
        <v>0.185791061498678</v>
      </c>
      <c r="BL24" s="63">
        <v>0.185791061498678</v>
      </c>
      <c r="BM24" s="63">
        <v>0.185791061498678</v>
      </c>
      <c r="BN24" s="63">
        <v>0.185791061498678</v>
      </c>
      <c r="BO24" s="63">
        <v>0.185791061498678</v>
      </c>
      <c r="BP24" s="63">
        <v>0.185791061498678</v>
      </c>
      <c r="BQ24" s="63">
        <v>0.185791061498678</v>
      </c>
      <c r="BR24" s="63">
        <v>0.185791061498678</v>
      </c>
      <c r="BS24" s="63">
        <v>0.185791061498678</v>
      </c>
      <c r="BT24" s="63">
        <v>0.185791061498678</v>
      </c>
      <c r="BU24" s="63">
        <v>0.185791061498678</v>
      </c>
      <c r="BV24" s="64">
        <v>0.185791061498678</v>
      </c>
      <c r="BW24" s="64">
        <v>0.185791061498678</v>
      </c>
      <c r="BX24" s="64">
        <v>0.185791061498678</v>
      </c>
      <c r="BY24" s="64">
        <v>0.185791061498678</v>
      </c>
      <c r="BZ24" s="63"/>
      <c r="CA24" s="64">
        <v>0.185791061498678</v>
      </c>
      <c r="CB24" s="64">
        <v>0.185791061498678</v>
      </c>
      <c r="CC24" s="64">
        <v>0.185791061498678</v>
      </c>
      <c r="CD24" s="64">
        <v>0.185791061498678</v>
      </c>
      <c r="CE24" s="64">
        <v>0.185791061498678</v>
      </c>
      <c r="CF24" s="64">
        <v>0.185791061498678</v>
      </c>
      <c r="CG24" s="64">
        <v>0.185791061498678</v>
      </c>
      <c r="CH24" s="64">
        <v>0.185791061498678</v>
      </c>
      <c r="CI24" s="64">
        <v>0.185791061498678</v>
      </c>
      <c r="CK24" s="64">
        <v>0.185791061498678</v>
      </c>
      <c r="CL24" s="64">
        <v>0.185791061498678</v>
      </c>
      <c r="CM24" s="64">
        <v>0.185791061498678</v>
      </c>
      <c r="CN24" s="64">
        <v>0.185791061498678</v>
      </c>
      <c r="CP24" s="64">
        <v>0.185791061498678</v>
      </c>
      <c r="CQ24" s="64">
        <v>0.185791061498678</v>
      </c>
      <c r="CR24" s="64">
        <v>0.185791061498678</v>
      </c>
      <c r="CS24" s="64">
        <v>0.185791061498678</v>
      </c>
    </row>
    <row r="25">
      <c r="A25" s="54"/>
      <c r="B25" s="55"/>
      <c r="C25" s="56" t="s">
        <v>37</v>
      </c>
      <c r="AV25" s="63">
        <v>0.26808994002464</v>
      </c>
      <c r="AW25" s="63">
        <v>0.26808994002464</v>
      </c>
      <c r="AX25" s="63">
        <v>0.26808994002464</v>
      </c>
      <c r="AY25" s="63">
        <v>0.26808994002464</v>
      </c>
      <c r="AZ25" s="63">
        <v>0.26808994002464</v>
      </c>
      <c r="BA25" s="63">
        <v>0.26808994002464</v>
      </c>
      <c r="BB25" s="63">
        <v>0.26808994002464</v>
      </c>
      <c r="BC25" s="63">
        <v>0.26808994002464</v>
      </c>
      <c r="BD25" s="63">
        <v>0.26808994002464</v>
      </c>
      <c r="BE25" s="63">
        <v>0.26808994002464</v>
      </c>
      <c r="BF25" s="63">
        <v>0.26808994002464</v>
      </c>
      <c r="BG25" s="63">
        <v>0.26808994002464</v>
      </c>
      <c r="BH25" s="63">
        <v>0.26808994002464</v>
      </c>
      <c r="BI25" s="63">
        <v>0.26808994002464</v>
      </c>
      <c r="BJ25" s="63">
        <v>0.26808994002464</v>
      </c>
      <c r="BK25" s="63">
        <v>0.26808994002464</v>
      </c>
      <c r="BL25" s="63">
        <v>0.26808994002464</v>
      </c>
      <c r="BM25" s="63">
        <v>0.26808994002464</v>
      </c>
      <c r="BN25" s="63">
        <v>0.26808994002464</v>
      </c>
      <c r="BO25" s="63">
        <v>0.26808994002464</v>
      </c>
      <c r="BP25" s="63">
        <v>0.26808994002464</v>
      </c>
      <c r="BQ25" s="63">
        <v>0.26808994002464</v>
      </c>
      <c r="BR25" s="63">
        <v>0.26808994002464</v>
      </c>
      <c r="BS25" s="63">
        <v>0.26808994002464</v>
      </c>
      <c r="BT25" s="63">
        <v>0.26808994002464</v>
      </c>
      <c r="BU25" s="63">
        <v>0.26808994002464</v>
      </c>
      <c r="BV25" s="64">
        <v>0.26808994002464</v>
      </c>
      <c r="BW25" s="64">
        <v>0.26808994002464</v>
      </c>
      <c r="BX25" s="64">
        <v>0.26808994002464</v>
      </c>
      <c r="BY25" s="64">
        <v>0.26808994002464</v>
      </c>
      <c r="BZ25" s="63"/>
      <c r="CA25" s="64">
        <v>0.26808994002464</v>
      </c>
      <c r="CB25" s="64">
        <v>0.26808994002464</v>
      </c>
      <c r="CC25" s="64">
        <v>0.26808994002464</v>
      </c>
      <c r="CD25" s="64">
        <v>0.26808994002464</v>
      </c>
      <c r="CE25" s="64">
        <v>0.26808994002464</v>
      </c>
      <c r="CF25" s="64">
        <v>0.26808994002464</v>
      </c>
      <c r="CG25" s="64">
        <v>0.26808994002464</v>
      </c>
      <c r="CH25" s="64">
        <v>0.26808994002464</v>
      </c>
      <c r="CI25" s="64">
        <v>0.26808994002464</v>
      </c>
      <c r="CK25" s="64">
        <v>0.26808994002464</v>
      </c>
      <c r="CL25" s="64">
        <v>0.26808994002464</v>
      </c>
      <c r="CM25" s="64">
        <v>0.26808994002464</v>
      </c>
      <c r="CN25" s="64">
        <v>0.26808994002464</v>
      </c>
      <c r="CP25" s="64">
        <v>0.26808994002464</v>
      </c>
      <c r="CQ25" s="64">
        <v>0.26808994002464</v>
      </c>
      <c r="CR25" s="64">
        <v>0.26808994002464</v>
      </c>
      <c r="CS25" s="64">
        <v>0.26808994002464</v>
      </c>
    </row>
    <row r="28">
      <c r="A28" s="62" t="s">
        <v>40</v>
      </c>
      <c r="B28" s="52" t="s">
        <v>41</v>
      </c>
      <c r="C28" s="53"/>
    </row>
    <row r="29">
      <c r="A29" s="54"/>
      <c r="B29" s="55"/>
      <c r="C29" s="56" t="s">
        <v>32</v>
      </c>
      <c r="AW29" s="60">
        <f t="shared" ref="AW29:AZ29" si="2">AW11/(1-AW20)</f>
        <v>570902.8788</v>
      </c>
      <c r="AX29" s="60">
        <f t="shared" si="2"/>
        <v>764241.3301</v>
      </c>
      <c r="AY29" s="60">
        <f t="shared" si="2"/>
        <v>651583.0366</v>
      </c>
      <c r="AZ29" s="60">
        <f t="shared" si="2"/>
        <v>692380.8681</v>
      </c>
      <c r="BB29" s="60">
        <f t="shared" ref="BB29:BE29" si="3">BB11/(1-BB20)</f>
        <v>669654.1188</v>
      </c>
      <c r="BC29" s="60">
        <f t="shared" si="3"/>
        <v>770915.1273</v>
      </c>
      <c r="BD29" s="60">
        <f t="shared" si="3"/>
        <v>654661.7762</v>
      </c>
      <c r="BE29" s="60">
        <f t="shared" si="3"/>
        <v>712577.4131</v>
      </c>
      <c r="BG29" s="65">
        <f t="shared" ref="BG29:BJ29" si="4">BG11/(1-BG20)</f>
        <v>646087.9552</v>
      </c>
      <c r="BH29" s="65">
        <f t="shared" si="4"/>
        <v>860154.1076</v>
      </c>
      <c r="BI29" s="65">
        <f t="shared" si="4"/>
        <v>643859.5769</v>
      </c>
      <c r="BJ29" s="65">
        <f t="shared" si="4"/>
        <v>709655.6401</v>
      </c>
      <c r="BK29" s="65"/>
      <c r="BL29" s="65">
        <f t="shared" ref="BL29:BO29" si="5">BL11/(1-BL20)</f>
        <v>628759.3229</v>
      </c>
      <c r="BM29" s="65">
        <f t="shared" si="5"/>
        <v>828186.4099</v>
      </c>
      <c r="BN29" s="65">
        <f t="shared" si="5"/>
        <v>682790.4673</v>
      </c>
      <c r="BO29" s="65">
        <f t="shared" si="5"/>
        <v>752533.985</v>
      </c>
      <c r="BP29" s="65"/>
      <c r="BQ29" s="65">
        <f t="shared" ref="BQ29:BT29" si="6">BQ11/(1-BQ20)</f>
        <v>553722.2862</v>
      </c>
      <c r="BR29" s="65">
        <f t="shared" si="6"/>
        <v>963250.8663</v>
      </c>
      <c r="BS29" s="65">
        <f t="shared" si="6"/>
        <v>672054.9878</v>
      </c>
      <c r="BT29" s="65">
        <f t="shared" si="6"/>
        <v>757316.4584</v>
      </c>
      <c r="BU29" s="65"/>
      <c r="BV29" s="65">
        <f t="shared" ref="BV29:BY29" si="7">BV11/(1-BV20)</f>
        <v>576384.0934</v>
      </c>
      <c r="BW29" s="65">
        <f t="shared" si="7"/>
        <v>926744.2138</v>
      </c>
      <c r="BX29" s="65">
        <f t="shared" si="7"/>
        <v>670486.307</v>
      </c>
      <c r="BY29" s="65">
        <f t="shared" si="7"/>
        <v>750714.7711</v>
      </c>
      <c r="BZ29" s="65"/>
      <c r="CA29" s="65">
        <f t="shared" ref="CA29:CI29" si="8">CA11/(1-CA20)</f>
        <v>585919.9703</v>
      </c>
      <c r="CB29" s="65">
        <f t="shared" si="8"/>
        <v>906176.4091</v>
      </c>
      <c r="CC29" s="65">
        <f t="shared" si="8"/>
        <v>766610.3387</v>
      </c>
      <c r="CD29" s="65">
        <f t="shared" si="8"/>
        <v>805483.4369</v>
      </c>
      <c r="CE29" s="65">
        <f t="shared" si="8"/>
        <v>3064190.155</v>
      </c>
      <c r="CF29" s="65">
        <f t="shared" si="8"/>
        <v>578733.0169</v>
      </c>
      <c r="CG29" s="65">
        <f t="shared" si="8"/>
        <v>1013737.299</v>
      </c>
      <c r="CH29" s="65">
        <f t="shared" si="8"/>
        <v>845526.5092</v>
      </c>
      <c r="CI29" s="65">
        <f t="shared" si="8"/>
        <v>941073.783</v>
      </c>
      <c r="CK29" s="60">
        <f t="shared" ref="CK29:CN29" si="9">CK11/(1-CK20)</f>
        <v>657059.5763</v>
      </c>
      <c r="CL29" s="60">
        <f t="shared" si="9"/>
        <v>1115955.13</v>
      </c>
      <c r="CM29" s="60">
        <f t="shared" si="9"/>
        <v>862847.1731</v>
      </c>
      <c r="CN29" s="60">
        <f t="shared" si="9"/>
        <v>1069755.912</v>
      </c>
      <c r="CP29" s="60">
        <f t="shared" ref="CP29:CS29" si="10">CP11/(1-CP20)</f>
        <v>675011.1195</v>
      </c>
      <c r="CQ29" s="60">
        <f t="shared" si="10"/>
        <v>0</v>
      </c>
      <c r="CR29" s="60">
        <f t="shared" si="10"/>
        <v>0</v>
      </c>
      <c r="CS29" s="60">
        <f t="shared" si="10"/>
        <v>0</v>
      </c>
    </row>
    <row r="30">
      <c r="A30" s="54"/>
      <c r="B30" s="55"/>
      <c r="C30" s="56" t="s">
        <v>33</v>
      </c>
      <c r="AW30" s="60">
        <f t="shared" ref="AW30:AZ30" si="11">AW12/(1-AW21)</f>
        <v>83522.42201</v>
      </c>
      <c r="AX30" s="60">
        <f t="shared" si="11"/>
        <v>91862.82853</v>
      </c>
      <c r="AY30" s="60">
        <f t="shared" si="11"/>
        <v>93744.6891</v>
      </c>
      <c r="AZ30" s="60">
        <f t="shared" si="11"/>
        <v>94768.84293</v>
      </c>
      <c r="BB30" s="60">
        <f t="shared" ref="BB30:BE30" si="12">BB12/(1-BB21)</f>
        <v>87767.56481</v>
      </c>
      <c r="BC30" s="60">
        <f t="shared" si="12"/>
        <v>87743.974</v>
      </c>
      <c r="BD30" s="60">
        <f t="shared" si="12"/>
        <v>94781.42677</v>
      </c>
      <c r="BE30" s="60">
        <f t="shared" si="12"/>
        <v>99748.57478</v>
      </c>
      <c r="BG30" s="65">
        <f t="shared" ref="BG30:BJ30" si="13">BG12/(1-BG21)</f>
        <v>96455.92161</v>
      </c>
      <c r="BH30" s="65">
        <f t="shared" si="13"/>
        <v>99066.05307</v>
      </c>
      <c r="BI30" s="65">
        <f t="shared" si="13"/>
        <v>104380.8184</v>
      </c>
      <c r="BJ30" s="65">
        <f t="shared" si="13"/>
        <v>101694.3686</v>
      </c>
      <c r="BK30" s="65"/>
      <c r="BL30" s="65">
        <f t="shared" ref="BL30:BO30" si="14">BL12/(1-BL21)</f>
        <v>95966.67036</v>
      </c>
      <c r="BM30" s="65">
        <f t="shared" si="14"/>
        <v>95060.49817</v>
      </c>
      <c r="BN30" s="65">
        <f t="shared" si="14"/>
        <v>102357.2565</v>
      </c>
      <c r="BO30" s="65">
        <f t="shared" si="14"/>
        <v>95044.73005</v>
      </c>
      <c r="BP30" s="65"/>
      <c r="BQ30" s="65">
        <f t="shared" ref="BQ30:BT30" si="15">BQ12/(1-BQ21)</f>
        <v>100344.1969</v>
      </c>
      <c r="BR30" s="65">
        <f t="shared" si="15"/>
        <v>101126.2673</v>
      </c>
      <c r="BS30" s="65">
        <f t="shared" si="15"/>
        <v>101859.2169</v>
      </c>
      <c r="BT30" s="65">
        <f t="shared" si="15"/>
        <v>98897.77099</v>
      </c>
      <c r="BU30" s="65"/>
      <c r="BV30" s="65">
        <f t="shared" ref="BV30:BY30" si="16">BV12/(1-BV21)</f>
        <v>98954.31047</v>
      </c>
      <c r="BW30" s="65">
        <f t="shared" si="16"/>
        <v>105417.4562</v>
      </c>
      <c r="BX30" s="65">
        <f t="shared" si="16"/>
        <v>121194.6123</v>
      </c>
      <c r="BY30" s="65">
        <f t="shared" si="16"/>
        <v>121994.5618</v>
      </c>
      <c r="BZ30" s="65"/>
      <c r="CA30" s="65">
        <f t="shared" ref="CA30:CI30" si="17">CA12/(1-CA21)</f>
        <v>113961.4449</v>
      </c>
      <c r="CB30" s="65">
        <f t="shared" si="17"/>
        <v>123475.4934</v>
      </c>
      <c r="CC30" s="65">
        <f t="shared" si="17"/>
        <v>113513.5246</v>
      </c>
      <c r="CD30" s="65">
        <f t="shared" si="17"/>
        <v>120845.1287</v>
      </c>
      <c r="CE30" s="65">
        <f t="shared" si="17"/>
        <v>471795.5916</v>
      </c>
      <c r="CF30" s="65">
        <f t="shared" si="17"/>
        <v>128570.345</v>
      </c>
      <c r="CG30" s="65">
        <f t="shared" si="17"/>
        <v>125284.747</v>
      </c>
      <c r="CH30" s="65">
        <f t="shared" si="17"/>
        <v>113917.4185</v>
      </c>
      <c r="CI30" s="65">
        <f t="shared" si="17"/>
        <v>125830.4846</v>
      </c>
      <c r="CK30" s="60">
        <f t="shared" ref="CK30:CN30" si="18">CK12/(1-CK21)</f>
        <v>122966.6722</v>
      </c>
      <c r="CL30" s="60">
        <f t="shared" si="18"/>
        <v>118074.5864</v>
      </c>
      <c r="CM30" s="60">
        <f t="shared" si="18"/>
        <v>120674.2019</v>
      </c>
      <c r="CN30" s="60">
        <f t="shared" si="18"/>
        <v>131792.2575</v>
      </c>
      <c r="CP30" s="60">
        <f t="shared" ref="CP30:CS30" si="19">CP12/(1-CP21)</f>
        <v>140656.0199</v>
      </c>
      <c r="CQ30" s="60">
        <f t="shared" si="19"/>
        <v>0</v>
      </c>
      <c r="CR30" s="60">
        <f t="shared" si="19"/>
        <v>0</v>
      </c>
      <c r="CS30" s="60">
        <f t="shared" si="19"/>
        <v>0</v>
      </c>
    </row>
    <row r="31">
      <c r="A31" s="54"/>
      <c r="B31" s="55"/>
      <c r="C31" s="56" t="s">
        <v>34</v>
      </c>
      <c r="AW31" s="60">
        <f t="shared" ref="AW31:AZ31" si="20">AW13/(1-AW22)</f>
        <v>29429.00001</v>
      </c>
      <c r="AX31" s="60">
        <f t="shared" si="20"/>
        <v>23980.40505</v>
      </c>
      <c r="AY31" s="60">
        <f t="shared" si="20"/>
        <v>23788.29533</v>
      </c>
      <c r="AZ31" s="60">
        <f t="shared" si="20"/>
        <v>23878.30822</v>
      </c>
      <c r="BB31" s="60">
        <f t="shared" ref="BB31:BE31" si="21">BB13/(1-BB22)</f>
        <v>26893.45379</v>
      </c>
      <c r="BC31" s="60">
        <f t="shared" si="21"/>
        <v>26220.45593</v>
      </c>
      <c r="BD31" s="60">
        <f t="shared" si="21"/>
        <v>26421.60306</v>
      </c>
      <c r="BE31" s="60">
        <f t="shared" si="21"/>
        <v>26630.44821</v>
      </c>
      <c r="BG31" s="65">
        <f t="shared" ref="BG31:BJ31" si="22">BG13/(1-BG22)</f>
        <v>26963.07504</v>
      </c>
      <c r="BH31" s="65">
        <f t="shared" si="22"/>
        <v>28323.74183</v>
      </c>
      <c r="BI31" s="65">
        <f t="shared" si="22"/>
        <v>28816.18542</v>
      </c>
      <c r="BJ31" s="65">
        <f t="shared" si="22"/>
        <v>28786.17264</v>
      </c>
      <c r="BK31" s="65"/>
      <c r="BL31" s="65">
        <f t="shared" ref="BL31:BO31" si="23">BL13/(1-BL22)</f>
        <v>30270.36718</v>
      </c>
      <c r="BM31" s="65">
        <f t="shared" si="23"/>
        <v>31064.37175</v>
      </c>
      <c r="BN31" s="65">
        <f t="shared" si="23"/>
        <v>30043.91831</v>
      </c>
      <c r="BO31" s="65">
        <f t="shared" si="23"/>
        <v>30587.44897</v>
      </c>
      <c r="BP31" s="65"/>
      <c r="BQ31" s="65">
        <f t="shared" ref="BQ31:BT31" si="24">BQ13/(1-BQ22)</f>
        <v>27961.45185</v>
      </c>
      <c r="BR31" s="65">
        <f t="shared" si="24"/>
        <v>29253.54689</v>
      </c>
      <c r="BS31" s="65">
        <f t="shared" si="24"/>
        <v>48222.82143</v>
      </c>
      <c r="BT31" s="65">
        <f t="shared" si="24"/>
        <v>53696.67819</v>
      </c>
      <c r="BU31" s="65"/>
      <c r="BV31" s="65">
        <f t="shared" ref="BV31:BY31" si="25">BV13/(1-BV22)</f>
        <v>36930.88028</v>
      </c>
      <c r="BW31" s="65">
        <f t="shared" si="25"/>
        <v>27252.97498</v>
      </c>
      <c r="BX31" s="65">
        <f t="shared" si="25"/>
        <v>52394.75727</v>
      </c>
      <c r="BY31" s="65">
        <f t="shared" si="25"/>
        <v>55244.06334</v>
      </c>
      <c r="BZ31" s="65"/>
      <c r="CA31" s="65">
        <f t="shared" ref="CA31:CI31" si="26">CA13/(1-CA22)</f>
        <v>29450.84326</v>
      </c>
      <c r="CB31" s="65">
        <f t="shared" si="26"/>
        <v>32369.12347</v>
      </c>
      <c r="CC31" s="65">
        <f t="shared" si="26"/>
        <v>57688.84462</v>
      </c>
      <c r="CD31" s="65">
        <f t="shared" si="26"/>
        <v>71429.9383</v>
      </c>
      <c r="CE31" s="65">
        <f t="shared" si="26"/>
        <v>190938.7497</v>
      </c>
      <c r="CF31" s="65">
        <f t="shared" si="26"/>
        <v>33932.16753</v>
      </c>
      <c r="CG31" s="65">
        <f t="shared" si="26"/>
        <v>44788.55429</v>
      </c>
      <c r="CH31" s="65">
        <f t="shared" si="26"/>
        <v>85976.65637</v>
      </c>
      <c r="CI31" s="65">
        <f t="shared" si="26"/>
        <v>206658.9245</v>
      </c>
      <c r="CK31" s="60">
        <f t="shared" ref="CK31:CN31" si="27">CK13/(1-CK22)</f>
        <v>117681.1428</v>
      </c>
      <c r="CL31" s="60">
        <f t="shared" si="27"/>
        <v>84062.8257</v>
      </c>
      <c r="CM31" s="60">
        <f t="shared" si="27"/>
        <v>111710.7358</v>
      </c>
      <c r="CN31" s="60">
        <f t="shared" si="27"/>
        <v>170424.1699</v>
      </c>
      <c r="CP31" s="60">
        <f t="shared" ref="CP31:CS31" si="28">CP13/(1-CP22)</f>
        <v>100603.661</v>
      </c>
      <c r="CQ31" s="60">
        <f t="shared" si="28"/>
        <v>0</v>
      </c>
      <c r="CR31" s="60">
        <f t="shared" si="28"/>
        <v>0</v>
      </c>
      <c r="CS31" s="60">
        <f t="shared" si="28"/>
        <v>0</v>
      </c>
    </row>
    <row r="32">
      <c r="A32" s="54"/>
      <c r="B32" s="55"/>
      <c r="C32" s="56" t="s">
        <v>35</v>
      </c>
      <c r="AW32" s="60">
        <f t="shared" ref="AW32:AZ32" si="29">AW14/(1-AW23)</f>
        <v>197280.5881</v>
      </c>
      <c r="AX32" s="60">
        <f t="shared" si="29"/>
        <v>178955.6411</v>
      </c>
      <c r="AY32" s="60">
        <f t="shared" si="29"/>
        <v>177470.0707</v>
      </c>
      <c r="AZ32" s="60">
        <f t="shared" si="29"/>
        <v>185521.2562</v>
      </c>
      <c r="BB32" s="60">
        <f t="shared" ref="BB32:BE32" si="30">BB14/(1-BB23)</f>
        <v>213272.57</v>
      </c>
      <c r="BC32" s="60">
        <f t="shared" si="30"/>
        <v>196239.2456</v>
      </c>
      <c r="BD32" s="60">
        <f t="shared" si="30"/>
        <v>200577.3348</v>
      </c>
      <c r="BE32" s="60">
        <f t="shared" si="30"/>
        <v>211400.28</v>
      </c>
      <c r="BG32" s="65">
        <f t="shared" ref="BG32:BJ32" si="31">BG14/(1-BG23)</f>
        <v>227303.9774</v>
      </c>
      <c r="BH32" s="65">
        <f t="shared" si="31"/>
        <v>223860.1188</v>
      </c>
      <c r="BI32" s="65">
        <f t="shared" si="31"/>
        <v>228774.5034</v>
      </c>
      <c r="BJ32" s="65">
        <f t="shared" si="31"/>
        <v>239726.2685</v>
      </c>
      <c r="BK32" s="65"/>
      <c r="BL32" s="65">
        <f t="shared" ref="BL32:BO32" si="32">BL14/(1-BL23)</f>
        <v>239171.2172</v>
      </c>
      <c r="BM32" s="65">
        <f t="shared" si="32"/>
        <v>232581.9953</v>
      </c>
      <c r="BN32" s="65">
        <f t="shared" si="32"/>
        <v>238401.5263</v>
      </c>
      <c r="BO32" s="65">
        <f t="shared" si="32"/>
        <v>238946.7271</v>
      </c>
      <c r="BP32" s="65"/>
      <c r="BQ32" s="65">
        <f t="shared" ref="BQ32:BT32" si="33">BQ14/(1-BQ23)</f>
        <v>243230.9432</v>
      </c>
      <c r="BR32" s="65">
        <f t="shared" si="33"/>
        <v>238442.2581</v>
      </c>
      <c r="BS32" s="65">
        <f t="shared" si="33"/>
        <v>240877.6744</v>
      </c>
      <c r="BT32" s="65">
        <f t="shared" si="33"/>
        <v>266051.9978</v>
      </c>
      <c r="BU32" s="65"/>
      <c r="BV32" s="65">
        <f t="shared" ref="BV32:BY32" si="34">BV14/(1-BV23)</f>
        <v>249928.0715</v>
      </c>
      <c r="BW32" s="65">
        <f t="shared" si="34"/>
        <v>254372.6011</v>
      </c>
      <c r="BX32" s="65">
        <f t="shared" si="34"/>
        <v>258239.6958</v>
      </c>
      <c r="BY32" s="65">
        <f t="shared" si="34"/>
        <v>271654.2155</v>
      </c>
      <c r="BZ32" s="65"/>
      <c r="CA32" s="65">
        <f t="shared" ref="CA32:CI32" si="35">CA14/(1-CA23)</f>
        <v>281387.8626</v>
      </c>
      <c r="CB32" s="65">
        <f t="shared" si="35"/>
        <v>270618.6297</v>
      </c>
      <c r="CC32" s="65">
        <f t="shared" si="35"/>
        <v>272574.8847</v>
      </c>
      <c r="CD32" s="65">
        <f t="shared" si="35"/>
        <v>278909.5582</v>
      </c>
      <c r="CE32" s="65">
        <f t="shared" si="35"/>
        <v>1103490.935</v>
      </c>
      <c r="CF32" s="65">
        <f t="shared" si="35"/>
        <v>312695.0652</v>
      </c>
      <c r="CG32" s="65">
        <f t="shared" si="35"/>
        <v>269895.8748</v>
      </c>
      <c r="CH32" s="65">
        <f t="shared" si="35"/>
        <v>278702.2131</v>
      </c>
      <c r="CI32" s="65">
        <f t="shared" si="35"/>
        <v>282649.9267</v>
      </c>
      <c r="CK32" s="60">
        <f t="shared" ref="CK32:CN32" si="36">CK14/(1-CK23)</f>
        <v>302401.199</v>
      </c>
      <c r="CL32" s="60">
        <f t="shared" si="36"/>
        <v>269646.2904</v>
      </c>
      <c r="CM32" s="60">
        <f t="shared" si="36"/>
        <v>268727.5404</v>
      </c>
      <c r="CN32" s="60">
        <f t="shared" si="36"/>
        <v>329691.6858</v>
      </c>
      <c r="CP32" s="60">
        <f t="shared" ref="CP32:CS32" si="37">CP14/(1-CP23)</f>
        <v>303320.6339</v>
      </c>
      <c r="CQ32" s="60">
        <f t="shared" si="37"/>
        <v>0</v>
      </c>
      <c r="CR32" s="60">
        <f t="shared" si="37"/>
        <v>0</v>
      </c>
      <c r="CS32" s="60">
        <f t="shared" si="37"/>
        <v>0</v>
      </c>
    </row>
    <row r="33">
      <c r="A33" s="54"/>
      <c r="B33" s="55"/>
      <c r="C33" s="56" t="s">
        <v>36</v>
      </c>
      <c r="AW33" s="60">
        <f t="shared" ref="AW33:AZ33" si="38">AW15/(1-AW24)</f>
        <v>1900787.326</v>
      </c>
      <c r="AX33" s="60">
        <f t="shared" si="38"/>
        <v>2035139.979</v>
      </c>
      <c r="AY33" s="60">
        <f t="shared" si="38"/>
        <v>2141106.421</v>
      </c>
      <c r="AZ33" s="60">
        <f t="shared" si="38"/>
        <v>2254386.039</v>
      </c>
      <c r="BB33" s="60">
        <f t="shared" ref="BB33:BE33" si="39">BB15/(1-BB24)</f>
        <v>2052276.065</v>
      </c>
      <c r="BC33" s="60">
        <f t="shared" si="39"/>
        <v>2229163.375</v>
      </c>
      <c r="BD33" s="60">
        <f t="shared" si="39"/>
        <v>2332503.476</v>
      </c>
      <c r="BE33" s="60">
        <f t="shared" si="39"/>
        <v>2406309.002</v>
      </c>
      <c r="BG33" s="65">
        <f t="shared" ref="BG33:BJ33" si="40">BG15/(1-BG24)</f>
        <v>2231013.559</v>
      </c>
      <c r="BH33" s="65">
        <f t="shared" si="40"/>
        <v>2494735.954</v>
      </c>
      <c r="BI33" s="65">
        <f t="shared" si="40"/>
        <v>2500249.887</v>
      </c>
      <c r="BJ33" s="65">
        <f t="shared" si="40"/>
        <v>2659515.058</v>
      </c>
      <c r="BK33" s="65"/>
      <c r="BL33" s="65">
        <f t="shared" ref="BL33:BO33" si="41">BL15/(1-BL24)</f>
        <v>2510290.519</v>
      </c>
      <c r="BM33" s="65">
        <f t="shared" si="41"/>
        <v>2483816.363</v>
      </c>
      <c r="BN33" s="65">
        <f t="shared" si="41"/>
        <v>2437424.488</v>
      </c>
      <c r="BO33" s="65">
        <f t="shared" si="41"/>
        <v>2499052.994</v>
      </c>
      <c r="BP33" s="65"/>
      <c r="BQ33" s="65">
        <f t="shared" ref="BQ33:BT33" si="42">BQ15/(1-BQ24)</f>
        <v>2638533.369</v>
      </c>
      <c r="BR33" s="65">
        <f t="shared" si="42"/>
        <v>2544394.015</v>
      </c>
      <c r="BS33" s="65">
        <f t="shared" si="42"/>
        <v>2611001.95</v>
      </c>
      <c r="BT33" s="65">
        <f t="shared" si="42"/>
        <v>2632210.067</v>
      </c>
      <c r="BU33" s="65"/>
      <c r="BV33" s="65">
        <f t="shared" ref="BV33:BY33" si="43">BV15/(1-BV24)</f>
        <v>3074397.271</v>
      </c>
      <c r="BW33" s="65">
        <f t="shared" si="43"/>
        <v>2949781.769</v>
      </c>
      <c r="BX33" s="65">
        <f t="shared" si="43"/>
        <v>2771318.85</v>
      </c>
      <c r="BY33" s="65">
        <f t="shared" si="43"/>
        <v>2925420.443</v>
      </c>
      <c r="BZ33" s="65"/>
      <c r="CA33" s="65">
        <f t="shared" ref="CA33:CI33" si="44">CA15/(1-CA24)</f>
        <v>3226459.857</v>
      </c>
      <c r="CB33" s="65">
        <f t="shared" si="44"/>
        <v>3166948.499</v>
      </c>
      <c r="CC33" s="65">
        <f t="shared" si="44"/>
        <v>3289263.756</v>
      </c>
      <c r="CD33" s="65">
        <f t="shared" si="44"/>
        <v>3497090.238</v>
      </c>
      <c r="CE33" s="65">
        <f t="shared" si="44"/>
        <v>13179762.35</v>
      </c>
      <c r="CF33" s="65">
        <f t="shared" si="44"/>
        <v>4025776.611</v>
      </c>
      <c r="CG33" s="65">
        <f t="shared" si="44"/>
        <v>4315364.897</v>
      </c>
      <c r="CH33" s="65">
        <f t="shared" si="44"/>
        <v>4357727.878</v>
      </c>
      <c r="CI33" s="65">
        <f t="shared" si="44"/>
        <v>4437045.373</v>
      </c>
      <c r="CK33" s="60">
        <f t="shared" ref="CK33:CN33" si="45">CK15/(1-CK24)</f>
        <v>4626046.109</v>
      </c>
      <c r="CL33" s="60">
        <f t="shared" si="45"/>
        <v>5061202.385</v>
      </c>
      <c r="CM33" s="60">
        <f t="shared" si="45"/>
        <v>5239993.225</v>
      </c>
      <c r="CN33" s="60">
        <f t="shared" si="45"/>
        <v>4933230.056</v>
      </c>
      <c r="CP33" s="60">
        <f t="shared" ref="CP33:CS33" si="46">CP15/(1-CP24)</f>
        <v>4847976.686</v>
      </c>
      <c r="CQ33" s="60">
        <f t="shared" si="46"/>
        <v>0</v>
      </c>
      <c r="CR33" s="60">
        <f t="shared" si="46"/>
        <v>0</v>
      </c>
      <c r="CS33" s="60">
        <f t="shared" si="46"/>
        <v>0</v>
      </c>
    </row>
    <row r="34">
      <c r="A34" s="54"/>
      <c r="B34" s="55"/>
      <c r="C34" s="56" t="s">
        <v>37</v>
      </c>
      <c r="AW34" s="60">
        <f t="shared" ref="AW34:AZ34" si="47">AW16/(1-AW25)</f>
        <v>841294.6656</v>
      </c>
      <c r="AX34" s="60">
        <f t="shared" si="47"/>
        <v>921320.361</v>
      </c>
      <c r="AY34" s="60">
        <f t="shared" si="47"/>
        <v>996396.4908</v>
      </c>
      <c r="AZ34" s="60">
        <f t="shared" si="47"/>
        <v>1005542.875</v>
      </c>
      <c r="BB34" s="60">
        <f t="shared" ref="BB34:BE34" si="48">BB16/(1-BB25)</f>
        <v>936247.9337</v>
      </c>
      <c r="BC34" s="60">
        <f t="shared" si="48"/>
        <v>1005725.931</v>
      </c>
      <c r="BD34" s="60">
        <f t="shared" si="48"/>
        <v>1052986.255</v>
      </c>
      <c r="BE34" s="60">
        <f t="shared" si="48"/>
        <v>1079696.926</v>
      </c>
      <c r="BG34" s="65">
        <f t="shared" ref="BG34:BJ34" si="49">BG16/(1-BG25)</f>
        <v>1029608.039</v>
      </c>
      <c r="BH34" s="65">
        <f t="shared" si="49"/>
        <v>1105575.797</v>
      </c>
      <c r="BI34" s="65">
        <f t="shared" si="49"/>
        <v>1181151.233</v>
      </c>
      <c r="BJ34" s="65">
        <f t="shared" si="49"/>
        <v>1143092.579</v>
      </c>
      <c r="BK34" s="65"/>
      <c r="BL34" s="65">
        <f t="shared" ref="BL34:BO34" si="50">BL16/(1-BL25)</f>
        <v>1128301.373</v>
      </c>
      <c r="BM34" s="65">
        <f t="shared" si="50"/>
        <v>1116442.255</v>
      </c>
      <c r="BN34" s="65">
        <f t="shared" si="50"/>
        <v>1199484.649</v>
      </c>
      <c r="BO34" s="65">
        <f t="shared" si="50"/>
        <v>1169034.76</v>
      </c>
      <c r="BP34" s="65"/>
      <c r="BQ34" s="65">
        <f t="shared" ref="BQ34:BT34" si="51">BQ16/(1-BQ25)</f>
        <v>1160307.327</v>
      </c>
      <c r="BR34" s="65">
        <f t="shared" si="51"/>
        <v>1222188.833</v>
      </c>
      <c r="BS34" s="65">
        <f t="shared" si="51"/>
        <v>1210336.284</v>
      </c>
      <c r="BT34" s="65">
        <f t="shared" si="51"/>
        <v>1224029.456</v>
      </c>
      <c r="BU34" s="65"/>
      <c r="BV34" s="65">
        <f t="shared" ref="BV34:BY34" si="52">BV16/(1-BV25)</f>
        <v>1239312.176</v>
      </c>
      <c r="BW34" s="65">
        <f t="shared" si="52"/>
        <v>1257066.928</v>
      </c>
      <c r="BX34" s="65">
        <f t="shared" si="52"/>
        <v>1324318.128</v>
      </c>
      <c r="BY34" s="65">
        <f t="shared" si="52"/>
        <v>1266524.949</v>
      </c>
      <c r="BZ34" s="65"/>
      <c r="CA34" s="65">
        <f t="shared" ref="CA34:CI34" si="53">CA16/(1-CA25)</f>
        <v>1332618.423</v>
      </c>
      <c r="CB34" s="65">
        <f t="shared" si="53"/>
        <v>1484513.817</v>
      </c>
      <c r="CC34" s="65">
        <f t="shared" si="53"/>
        <v>1416653.706</v>
      </c>
      <c r="CD34" s="65">
        <f t="shared" si="53"/>
        <v>1371312.038</v>
      </c>
      <c r="CE34" s="65">
        <f t="shared" si="53"/>
        <v>5605097.984</v>
      </c>
      <c r="CF34" s="65">
        <f t="shared" si="53"/>
        <v>1356639.022</v>
      </c>
      <c r="CG34" s="65">
        <f t="shared" si="53"/>
        <v>1525285.776</v>
      </c>
      <c r="CH34" s="65">
        <f t="shared" si="53"/>
        <v>1425962.647</v>
      </c>
      <c r="CI34" s="65">
        <f t="shared" si="53"/>
        <v>1443605.668</v>
      </c>
      <c r="CK34" s="60">
        <f t="shared" ref="CK34:CN34" si="54">CK16/(1-CK25)</f>
        <v>1525192.738</v>
      </c>
      <c r="CL34" s="60">
        <f t="shared" si="54"/>
        <v>1698433.198</v>
      </c>
      <c r="CM34" s="60">
        <f t="shared" si="54"/>
        <v>1576691.004</v>
      </c>
      <c r="CN34" s="60">
        <f t="shared" si="54"/>
        <v>1636447.582</v>
      </c>
      <c r="CP34" s="60">
        <f t="shared" ref="CP34:CS34" si="55">CP16/(1-CP25)</f>
        <v>1746357.869</v>
      </c>
      <c r="CQ34" s="60">
        <f t="shared" si="55"/>
        <v>0</v>
      </c>
      <c r="CR34" s="60">
        <f t="shared" si="55"/>
        <v>0</v>
      </c>
      <c r="CS34" s="60">
        <f t="shared" si="55"/>
        <v>0</v>
      </c>
    </row>
    <row r="39">
      <c r="AW39" s="66"/>
    </row>
    <row r="41">
      <c r="A41" s="62" t="s">
        <v>42</v>
      </c>
      <c r="B41" s="52" t="s">
        <v>43</v>
      </c>
      <c r="C41" s="53"/>
    </row>
    <row r="42">
      <c r="A42" s="54"/>
      <c r="B42" s="55"/>
      <c r="C42" s="56" t="s">
        <v>32</v>
      </c>
      <c r="D42" s="57" t="str">
        <f>IFERROR(__xludf.DUMMYFUNCTION("IMPORTRANGE(""https://docs.google.com/spreadsheets/d/1fq0UU7JJVw2Mabie5r5T24vSCZ0NCG-3waFyMjDP7Qo/edit#gid=1235587625"",""Prod_Awal!D88:ZZ93"")"),"")</f>
        <v/>
      </c>
      <c r="E42" s="57"/>
      <c r="F42" s="57"/>
      <c r="G42" s="57"/>
      <c r="H42" s="57"/>
      <c r="I42" s="57"/>
      <c r="J42" s="57"/>
      <c r="K42" s="57"/>
      <c r="L42" s="57"/>
      <c r="M42" s="57"/>
      <c r="N42" s="58">
        <f>IFERROR(__xludf.DUMMYFUNCTION("""COMPUTED_VALUE"""),235199.6116766407)</f>
        <v>235199.6117</v>
      </c>
      <c r="O42" s="58">
        <f>IFERROR(__xludf.DUMMYFUNCTION("""COMPUTED_VALUE"""),418525.4328186648)</f>
        <v>418525.4328</v>
      </c>
      <c r="P42" s="58">
        <f>IFERROR(__xludf.DUMMYFUNCTION("""COMPUTED_VALUE"""),374982.1133599372)</f>
        <v>374982.1134</v>
      </c>
      <c r="Q42" s="58">
        <f>IFERROR(__xludf.DUMMYFUNCTION("""COMPUTED_VALUE"""),313376.92214475723)</f>
        <v>313376.9221</v>
      </c>
      <c r="R42" s="58">
        <f>IFERROR(__xludf.DUMMYFUNCTION("""COMPUTED_VALUE"""),1342084.08)</f>
        <v>1342084.08</v>
      </c>
      <c r="S42" s="58">
        <f>IFERROR(__xludf.DUMMYFUNCTION("""COMPUTED_VALUE"""),296884.74070147634)</f>
        <v>296884.7407</v>
      </c>
      <c r="T42" s="58">
        <f>IFERROR(__xludf.DUMMYFUNCTION("""COMPUTED_VALUE"""),381896.31886231614)</f>
        <v>381896.3189</v>
      </c>
      <c r="U42" s="58">
        <f>IFERROR(__xludf.DUMMYFUNCTION("""COMPUTED_VALUE"""),390591.83465227037)</f>
        <v>390591.8347</v>
      </c>
      <c r="V42" s="58">
        <f>IFERROR(__xludf.DUMMYFUNCTION("""COMPUTED_VALUE"""),318330.914108872)</f>
        <v>318330.9141</v>
      </c>
      <c r="W42" s="58">
        <f>IFERROR(__xludf.DUMMYFUNCTION("""COMPUTED_VALUE"""),1387703.808324935)</f>
        <v>1387703.808</v>
      </c>
      <c r="X42" s="58">
        <f>IFERROR(__xludf.DUMMYFUNCTION("""COMPUTED_VALUE"""),315056.9390337876)</f>
        <v>315056.939</v>
      </c>
      <c r="Y42" s="58">
        <f>IFERROR(__xludf.DUMMYFUNCTION("""COMPUTED_VALUE"""),439081.8055896354)</f>
        <v>439081.8056</v>
      </c>
      <c r="Z42" s="58">
        <f>IFERROR(__xludf.DUMMYFUNCTION("""COMPUTED_VALUE"""),424601.8199697286)</f>
        <v>424601.82</v>
      </c>
      <c r="AA42" s="58">
        <f>IFERROR(__xludf.DUMMYFUNCTION("""COMPUTED_VALUE"""),320012.8229194667)</f>
        <v>320012.8229</v>
      </c>
      <c r="AB42" s="58">
        <f>IFERROR(__xludf.DUMMYFUNCTION("""COMPUTED_VALUE"""),1498753.3875126184)</f>
        <v>1498753.388</v>
      </c>
      <c r="AC42" s="58">
        <f>IFERROR(__xludf.DUMMYFUNCTION("""COMPUTED_VALUE"""),366682.27046756056)</f>
        <v>366682.2705</v>
      </c>
      <c r="AD42" s="58">
        <f>IFERROR(__xludf.DUMMYFUNCTION("""COMPUTED_VALUE"""),456055.27586661803)</f>
        <v>456055.2759</v>
      </c>
      <c r="AE42" s="58">
        <f>IFERROR(__xludf.DUMMYFUNCTION("""COMPUTED_VALUE"""),384269.50658190844)</f>
        <v>384269.5066</v>
      </c>
      <c r="AF42" s="58">
        <f>IFERROR(__xludf.DUMMYFUNCTION("""COMPUTED_VALUE"""),342568.59697521466)</f>
        <v>342568.597</v>
      </c>
      <c r="AG42" s="58">
        <f>IFERROR(__xludf.DUMMYFUNCTION("""COMPUTED_VALUE"""),1549575.649891302)</f>
        <v>1549575.65</v>
      </c>
      <c r="AH42" s="58">
        <f>IFERROR(__xludf.DUMMYFUNCTION("""COMPUTED_VALUE"""),419974.242902538)</f>
        <v>419974.2429</v>
      </c>
      <c r="AI42" s="58">
        <f>IFERROR(__xludf.DUMMYFUNCTION("""COMPUTED_VALUE"""),455347.609475332)</f>
        <v>455347.6095</v>
      </c>
      <c r="AJ42" s="58">
        <f>IFERROR(__xludf.DUMMYFUNCTION("""COMPUTED_VALUE"""),518960.645683846)</f>
        <v>518960.6457</v>
      </c>
      <c r="AK42" s="58">
        <f>IFERROR(__xludf.DUMMYFUNCTION("""COMPUTED_VALUE"""),387344.849453196)</f>
        <v>387344.8495</v>
      </c>
      <c r="AL42" s="58">
        <f>IFERROR(__xludf.DUMMYFUNCTION("""COMPUTED_VALUE"""),1781627.347514912)</f>
        <v>1781627.348</v>
      </c>
      <c r="AM42" s="58">
        <f>IFERROR(__xludf.DUMMYFUNCTION("""COMPUTED_VALUE"""),352019.8642)</f>
        <v>352019.8642</v>
      </c>
      <c r="AN42" s="58">
        <f>IFERROR(__xludf.DUMMYFUNCTION("""COMPUTED_VALUE"""),506233.7829)</f>
        <v>506233.7829</v>
      </c>
      <c r="AO42" s="58">
        <f>IFERROR(__xludf.DUMMYFUNCTION("""COMPUTED_VALUE"""),488080.0117)</f>
        <v>488080.0117</v>
      </c>
      <c r="AP42" s="58">
        <f>IFERROR(__xludf.DUMMYFUNCTION("""COMPUTED_VALUE"""),449733.8351)</f>
        <v>449733.8351</v>
      </c>
      <c r="AQ42" s="58">
        <f>IFERROR(__xludf.DUMMYFUNCTION("""COMPUTED_VALUE"""),1796067.4939)</f>
        <v>1796067.494</v>
      </c>
      <c r="AR42" s="58">
        <f>IFERROR(__xludf.DUMMYFUNCTION("""COMPUTED_VALUE"""),339809.555333655)</f>
        <v>339809.5553</v>
      </c>
      <c r="AS42" s="58">
        <f>IFERROR(__xludf.DUMMYFUNCTION("""COMPUTED_VALUE"""),521713.238537941)</f>
        <v>521713.2385</v>
      </c>
      <c r="AT42" s="58">
        <f>IFERROR(__xludf.DUMMYFUNCTION("""COMPUTED_VALUE"""),448718.540350358)</f>
        <v>448718.5404</v>
      </c>
      <c r="AU42" s="58">
        <f>IFERROR(__xludf.DUMMYFUNCTION("""COMPUTED_VALUE"""),487587.509644935)</f>
        <v>487587.5096</v>
      </c>
      <c r="AV42" s="58">
        <f>IFERROR(__xludf.DUMMYFUNCTION("""COMPUTED_VALUE"""),1797828.843866889)</f>
        <v>1797828.844</v>
      </c>
      <c r="AW42" s="58">
        <f>IFERROR(__xludf.DUMMYFUNCTION("""COMPUTED_VALUE"""),378795.6801958324)</f>
        <v>378795.6802</v>
      </c>
      <c r="AX42" s="58">
        <f>IFERROR(__xludf.DUMMYFUNCTION("""COMPUTED_VALUE"""),503973.33036557527)</f>
        <v>503973.3304</v>
      </c>
      <c r="AY42" s="58">
        <f>IFERROR(__xludf.DUMMYFUNCTION("""COMPUTED_VALUE"""),419406.1946397958)</f>
        <v>419406.1946</v>
      </c>
      <c r="AZ42" s="58">
        <f>IFERROR(__xludf.DUMMYFUNCTION("""COMPUTED_VALUE"""),443899.5164067599)</f>
        <v>443899.5164</v>
      </c>
      <c r="BA42" s="58">
        <f>IFERROR(__xludf.DUMMYFUNCTION("""COMPUTED_VALUE"""),1746074.7216079633)</f>
        <v>1746074.722</v>
      </c>
      <c r="BB42" s="58">
        <f>IFERROR(__xludf.DUMMYFUNCTION("""COMPUTED_VALUE"""),428482.21793265064)</f>
        <v>428482.2179</v>
      </c>
      <c r="BC42" s="58">
        <f>IFERROR(__xludf.DUMMYFUNCTION("""COMPUTED_VALUE"""),499144.9108098123)</f>
        <v>499144.9108</v>
      </c>
      <c r="BD42" s="58">
        <f>IFERROR(__xludf.DUMMYFUNCTION("""COMPUTED_VALUE"""),413946.97053632885)</f>
        <v>413946.9705</v>
      </c>
      <c r="BE42" s="58">
        <f>IFERROR(__xludf.DUMMYFUNCTION("""COMPUTED_VALUE"""),433746.51601284725)</f>
        <v>433746.516</v>
      </c>
      <c r="BF42" s="58">
        <f>IFERROR(__xludf.DUMMYFUNCTION("""COMPUTED_VALUE"""),1775320.615291639)</f>
        <v>1775320.615</v>
      </c>
      <c r="BG42" s="58">
        <f>IFERROR(__xludf.DUMMYFUNCTION("""COMPUTED_VALUE"""),394557.783999768)</f>
        <v>394557.784</v>
      </c>
      <c r="BH42" s="58">
        <f>IFERROR(__xludf.DUMMYFUNCTION("""COMPUTED_VALUE"""),544409.978330115)</f>
        <v>544409.9783</v>
      </c>
      <c r="BI42" s="58">
        <f>IFERROR(__xludf.DUMMYFUNCTION("""COMPUTED_VALUE"""),397688.892205125)</f>
        <v>397688.8922</v>
      </c>
      <c r="BJ42" s="58">
        <f>IFERROR(__xludf.DUMMYFUNCTION("""COMPUTED_VALUE"""),434849.827833959)</f>
        <v>434849.8278</v>
      </c>
      <c r="BK42" s="58">
        <f>IFERROR(__xludf.DUMMYFUNCTION("""COMPUTED_VALUE"""),1771506.482368967)</f>
        <v>1771506.482</v>
      </c>
      <c r="BL42" s="58">
        <f>IFERROR(__xludf.DUMMYFUNCTION("""COMPUTED_VALUE"""),380775.995476644)</f>
        <v>380775.9955</v>
      </c>
      <c r="BM42" s="58">
        <f>IFERROR(__xludf.DUMMYFUNCTION("""COMPUTED_VALUE"""),501540.306330423)</f>
        <v>501540.3063</v>
      </c>
      <c r="BN42" s="58">
        <f>IFERROR(__xludf.DUMMYFUNCTION("""COMPUTED_VALUE"""),413434.154140691)</f>
        <v>413434.1541</v>
      </c>
      <c r="BO42" s="58">
        <f>IFERROR(__xludf.DUMMYFUNCTION("""COMPUTED_VALUE"""),457814.32939085)</f>
        <v>457814.3294</v>
      </c>
      <c r="BP42" s="58">
        <f>IFERROR(__xludf.DUMMYFUNCTION("""COMPUTED_VALUE"""),1753564.7853386078)</f>
        <v>1753564.785</v>
      </c>
      <c r="BQ42" s="58">
        <f>IFERROR(__xludf.DUMMYFUNCTION("""COMPUTED_VALUE"""),336431.287118394)</f>
        <v>336431.2871</v>
      </c>
      <c r="BR42" s="58">
        <f>IFERROR(__xludf.DUMMYFUNCTION("""COMPUTED_VALUE"""),579185.079256859)</f>
        <v>579185.0793</v>
      </c>
      <c r="BS42" s="58">
        <f>IFERROR(__xludf.DUMMYFUNCTION("""COMPUTED_VALUE"""),404120.998218944)</f>
        <v>404120.9982</v>
      </c>
      <c r="BT42" s="58">
        <f>IFERROR(__xludf.DUMMYFUNCTION("""COMPUTED_VALUE"""),455801.104403999)</f>
        <v>455801.1044</v>
      </c>
      <c r="BU42" s="58">
        <f>IFERROR(__xludf.DUMMYFUNCTION("""COMPUTED_VALUE"""),1775538.468998196)</f>
        <v>1775538.469</v>
      </c>
      <c r="BV42" s="60">
        <f>IFERROR(__xludf.DUMMYFUNCTION("""COMPUTED_VALUE"""),342948.904432928)</f>
        <v>342948.9044</v>
      </c>
      <c r="BW42" s="60">
        <f>IFERROR(__xludf.DUMMYFUNCTION("""COMPUTED_VALUE"""),548049.844955331)</f>
        <v>548049.845</v>
      </c>
      <c r="BX42" s="60">
        <f>IFERROR(__xludf.DUMMYFUNCTION("""COMPUTED_VALUE"""),385760.211188069)</f>
        <v>385760.2112</v>
      </c>
      <c r="BY42" s="60">
        <f>IFERROR(__xludf.DUMMYFUNCTION("""COMPUTED_VALUE"""),429108.011624313)</f>
        <v>429108.0116</v>
      </c>
      <c r="BZ42" s="60">
        <f>IFERROR(__xludf.DUMMYFUNCTION("""COMPUTED_VALUE"""),1705866.972200641)</f>
        <v>1705866.972</v>
      </c>
      <c r="CA42" s="60">
        <f>IFERROR(__xludf.DUMMYFUNCTION("""COMPUTED_VALUE"""),320759.543587446)</f>
        <v>320759.5436</v>
      </c>
      <c r="CB42" s="60">
        <f>IFERROR(__xludf.DUMMYFUNCTION("""COMPUTED_VALUE"""),495792.460402807)</f>
        <v>495792.4604</v>
      </c>
      <c r="CC42" s="60">
        <f>IFERROR(__xludf.DUMMYFUNCTION("""COMPUTED_VALUE"""),419860.96)</f>
        <v>419860.96</v>
      </c>
      <c r="CD42" s="60">
        <f>IFERROR(__xludf.DUMMYFUNCTION("""COMPUTED_VALUE"""),420469.439182866)</f>
        <v>420469.4392</v>
      </c>
      <c r="CE42" s="60">
        <f>IFERROR(__xludf.DUMMYFUNCTION("""COMPUTED_VALUE"""),1656882.4031731188)</f>
        <v>1656882.403</v>
      </c>
      <c r="CF42" s="60">
        <f>IFERROR(__xludf.DUMMYFUNCTION("""COMPUTED_VALUE"""),293753.374155266)</f>
        <v>293753.3742</v>
      </c>
      <c r="CG42" s="60">
        <f>IFERROR(__xludf.DUMMYFUNCTION("""COMPUTED_VALUE"""),532041.062524828)</f>
        <v>532041.0625</v>
      </c>
      <c r="CH42" s="60">
        <f>IFERROR(__xludf.DUMMYFUNCTION("""COMPUTED_VALUE"""),437244.236866467)</f>
        <v>437244.2369</v>
      </c>
      <c r="CI42" s="60">
        <f>IFERROR(__xludf.DUMMYFUNCTION("""COMPUTED_VALUE"""),486539.72442132)</f>
        <v>486539.7244</v>
      </c>
      <c r="CJ42" s="60">
        <f>IFERROR(__xludf.DUMMYFUNCTION("""COMPUTED_VALUE"""),1749578.397967881)</f>
        <v>1749578.398</v>
      </c>
      <c r="CK42" s="60">
        <f>IFERROR(__xludf.DUMMYFUNCTION("""COMPUTED_VALUE"""),336768.958241281)</f>
        <v>336768.9582</v>
      </c>
      <c r="CL42" s="60">
        <f>IFERROR(__xludf.DUMMYFUNCTION("""COMPUTED_VALUE"""),566072.379036719)</f>
        <v>566072.379</v>
      </c>
      <c r="CM42" s="60">
        <f>IFERROR(__xludf.DUMMYFUNCTION("""COMPUTED_VALUE"""),425478.820516099)</f>
        <v>425478.8205</v>
      </c>
      <c r="CN42" s="60">
        <f>IFERROR(__xludf.DUMMYFUNCTION("""COMPUTED_VALUE"""),515318.076475816)</f>
        <v>515318.0765</v>
      </c>
      <c r="CO42" s="60">
        <f>IFERROR(__xludf.DUMMYFUNCTION("""COMPUTED_VALUE"""),1843638.234269915)</f>
        <v>1843638.234</v>
      </c>
      <c r="CP42" s="67">
        <f>IFERROR(__xludf.DUMMYFUNCTION("""COMPUTED_VALUE"""),322243.97063128976)</f>
        <v>322243.9706</v>
      </c>
      <c r="CQ42" s="60">
        <f>IFERROR(__xludf.DUMMYFUNCTION("""COMPUTED_VALUE"""),0.0)</f>
        <v>0</v>
      </c>
      <c r="CR42" s="60">
        <f>IFERROR(__xludf.DUMMYFUNCTION("""COMPUTED_VALUE"""),0.0)</f>
        <v>0</v>
      </c>
      <c r="CS42" s="60">
        <f>IFERROR(__xludf.DUMMYFUNCTION("""COMPUTED_VALUE"""),0.0)</f>
        <v>0</v>
      </c>
      <c r="CT42" s="60">
        <f>IFERROR(__xludf.DUMMYFUNCTION("""COMPUTED_VALUE"""),322243.97063128976)</f>
        <v>322243.9706</v>
      </c>
      <c r="CU42" s="60">
        <f>IFERROR(__xludf.DUMMYFUNCTION("""COMPUTED_VALUE"""),0.0)</f>
        <v>0</v>
      </c>
      <c r="CV42" s="60">
        <f>IFERROR(__xludf.DUMMYFUNCTION("""COMPUTED_VALUE"""),0.0)</f>
        <v>0</v>
      </c>
      <c r="CW42" s="60">
        <f>IFERROR(__xludf.DUMMYFUNCTION("""COMPUTED_VALUE"""),0.0)</f>
        <v>0</v>
      </c>
      <c r="CX42" s="60">
        <f>IFERROR(__xludf.DUMMYFUNCTION("""COMPUTED_VALUE"""),0.0)</f>
        <v>0</v>
      </c>
      <c r="CY42" s="60">
        <f>IFERROR(__xludf.DUMMYFUNCTION("""COMPUTED_VALUE"""),0.0)</f>
        <v>0</v>
      </c>
      <c r="CZ42" s="57"/>
      <c r="DA42" s="57"/>
    </row>
    <row r="43">
      <c r="A43" s="54"/>
      <c r="B43" s="55"/>
      <c r="C43" s="56" t="s">
        <v>33</v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8">
        <f>IFERROR(__xludf.DUMMYFUNCTION("""COMPUTED_VALUE"""),115132.30258798756)</f>
        <v>115132.3026</v>
      </c>
      <c r="O43" s="58">
        <f>IFERROR(__xludf.DUMMYFUNCTION("""COMPUTED_VALUE"""),81352.14384964829)</f>
        <v>81352.14385</v>
      </c>
      <c r="P43" s="58">
        <f>IFERROR(__xludf.DUMMYFUNCTION("""COMPUTED_VALUE"""),71304.32410385952)</f>
        <v>71304.3241</v>
      </c>
      <c r="Q43" s="58">
        <f>IFERROR(__xludf.DUMMYFUNCTION("""COMPUTED_VALUE"""),73774.50941363053)</f>
        <v>73774.50941</v>
      </c>
      <c r="R43" s="58">
        <f>IFERROR(__xludf.DUMMYFUNCTION("""COMPUTED_VALUE"""),341563.27995512594)</f>
        <v>341563.28</v>
      </c>
      <c r="S43" s="58">
        <f>IFERROR(__xludf.DUMMYFUNCTION("""COMPUTED_VALUE"""),83251.48812955071)</f>
        <v>83251.48813</v>
      </c>
      <c r="T43" s="58">
        <f>IFERROR(__xludf.DUMMYFUNCTION("""COMPUTED_VALUE"""),72131.86117058306)</f>
        <v>72131.86117</v>
      </c>
      <c r="U43" s="58">
        <f>IFERROR(__xludf.DUMMYFUNCTION("""COMPUTED_VALUE"""),84190.04177616838)</f>
        <v>84190.04178</v>
      </c>
      <c r="V43" s="58">
        <f>IFERROR(__xludf.DUMMYFUNCTION("""COMPUTED_VALUE"""),87917.86014895684)</f>
        <v>87917.86015</v>
      </c>
      <c r="W43" s="58">
        <f>IFERROR(__xludf.DUMMYFUNCTION("""COMPUTED_VALUE"""),327491.251225259)</f>
        <v>327491.2512</v>
      </c>
      <c r="X43" s="58">
        <f>IFERROR(__xludf.DUMMYFUNCTION("""COMPUTED_VALUE"""),89649.86610603104)</f>
        <v>89649.86611</v>
      </c>
      <c r="Y43" s="58">
        <f>IFERROR(__xludf.DUMMYFUNCTION("""COMPUTED_VALUE"""),71072.55865865028)</f>
        <v>71072.55866</v>
      </c>
      <c r="Z43" s="58">
        <f>IFERROR(__xludf.DUMMYFUNCTION("""COMPUTED_VALUE"""),86298.84452458912)</f>
        <v>86298.84452</v>
      </c>
      <c r="AA43" s="58">
        <f>IFERROR(__xludf.DUMMYFUNCTION("""COMPUTED_VALUE"""),75131.29983586456)</f>
        <v>75131.29984</v>
      </c>
      <c r="AB43" s="58">
        <f>IFERROR(__xludf.DUMMYFUNCTION("""COMPUTED_VALUE"""),322152.569125135)</f>
        <v>322152.5691</v>
      </c>
      <c r="AC43" s="58">
        <f>IFERROR(__xludf.DUMMYFUNCTION("""COMPUTED_VALUE"""),82618.18125765871)</f>
        <v>82618.18126</v>
      </c>
      <c r="AD43" s="58">
        <f>IFERROR(__xludf.DUMMYFUNCTION("""COMPUTED_VALUE"""),87013.16159471316)</f>
        <v>87013.16159</v>
      </c>
      <c r="AE43" s="58">
        <f>IFERROR(__xludf.DUMMYFUNCTION("""COMPUTED_VALUE"""),84061.7171330531)</f>
        <v>84061.71713</v>
      </c>
      <c r="AF43" s="58">
        <f>IFERROR(__xludf.DUMMYFUNCTION("""COMPUTED_VALUE"""),76454.5839727211)</f>
        <v>76454.58397</v>
      </c>
      <c r="AG43" s="58">
        <f>IFERROR(__xludf.DUMMYFUNCTION("""COMPUTED_VALUE"""),330147.6439581461)</f>
        <v>330147.644</v>
      </c>
      <c r="AH43" s="58">
        <f>IFERROR(__xludf.DUMMYFUNCTION("""COMPUTED_VALUE"""),88020.06816544879)</f>
        <v>88020.06817</v>
      </c>
      <c r="AI43" s="58">
        <f>IFERROR(__xludf.DUMMYFUNCTION("""COMPUTED_VALUE"""),81082.49658671906)</f>
        <v>81082.49659</v>
      </c>
      <c r="AJ43" s="58">
        <f>IFERROR(__xludf.DUMMYFUNCTION("""COMPUTED_VALUE"""),71022.26157289612)</f>
        <v>71022.26157</v>
      </c>
      <c r="AK43" s="58">
        <f>IFERROR(__xludf.DUMMYFUNCTION("""COMPUTED_VALUE"""),72931.03122963436)</f>
        <v>72931.03123</v>
      </c>
      <c r="AL43" s="58">
        <f>IFERROR(__xludf.DUMMYFUNCTION("""COMPUTED_VALUE"""),313055.85755469836)</f>
        <v>313055.8576</v>
      </c>
      <c r="AM43" s="58">
        <f>IFERROR(__xludf.DUMMYFUNCTION("""COMPUTED_VALUE"""),90004.1856)</f>
        <v>90004.1856</v>
      </c>
      <c r="AN43" s="58">
        <f>IFERROR(__xludf.DUMMYFUNCTION("""COMPUTED_VALUE"""),80972.7005)</f>
        <v>80972.7005</v>
      </c>
      <c r="AO43" s="58">
        <f>IFERROR(__xludf.DUMMYFUNCTION("""COMPUTED_VALUE"""),70065.6595)</f>
        <v>70065.6595</v>
      </c>
      <c r="AP43" s="58">
        <f>IFERROR(__xludf.DUMMYFUNCTION("""COMPUTED_VALUE"""),66138.1507)</f>
        <v>66138.1507</v>
      </c>
      <c r="AQ43" s="58">
        <f>IFERROR(__xludf.DUMMYFUNCTION("""COMPUTED_VALUE"""),307180.6963)</f>
        <v>307180.6963</v>
      </c>
      <c r="AR43" s="58">
        <f>IFERROR(__xludf.DUMMYFUNCTION("""COMPUTED_VALUE"""),63549.915854261766)</f>
        <v>63549.91585</v>
      </c>
      <c r="AS43" s="58">
        <f>IFERROR(__xludf.DUMMYFUNCTION("""COMPUTED_VALUE"""),75686.9095987651)</f>
        <v>75686.9096</v>
      </c>
      <c r="AT43" s="58">
        <f>IFERROR(__xludf.DUMMYFUNCTION("""COMPUTED_VALUE"""),83032.9)</f>
        <v>83032.9</v>
      </c>
      <c r="AU43" s="58">
        <f>IFERROR(__xludf.DUMMYFUNCTION("""COMPUTED_VALUE"""),89689.092313699)</f>
        <v>89689.09231</v>
      </c>
      <c r="AV43" s="58">
        <f>IFERROR(__xludf.DUMMYFUNCTION("""COMPUTED_VALUE"""),311958.81776672584)</f>
        <v>311958.8178</v>
      </c>
      <c r="AW43" s="58">
        <f>IFERROR(__xludf.DUMMYFUNCTION("""COMPUTED_VALUE"""),71808.10196571569)</f>
        <v>71808.10197</v>
      </c>
      <c r="AX43" s="58">
        <f>IFERROR(__xludf.DUMMYFUNCTION("""COMPUTED_VALUE"""),77374.11659816848)</f>
        <v>77374.1166</v>
      </c>
      <c r="AY43" s="58">
        <f>IFERROR(__xludf.DUMMYFUNCTION("""COMPUTED_VALUE"""),78496.04128884191)</f>
        <v>78496.04129</v>
      </c>
      <c r="AZ43" s="58">
        <f>IFERROR(__xludf.DUMMYFUNCTION("""COMPUTED_VALUE"""),82763.44960371294)</f>
        <v>82763.4496</v>
      </c>
      <c r="BA43" s="58">
        <f>IFERROR(__xludf.DUMMYFUNCTION("""COMPUTED_VALUE"""),310441.709456439)</f>
        <v>310441.7095</v>
      </c>
      <c r="BB43" s="58">
        <f>IFERROR(__xludf.DUMMYFUNCTION("""COMPUTED_VALUE"""),75632.5051173166)</f>
        <v>75632.50512</v>
      </c>
      <c r="BC43" s="58">
        <f>IFERROR(__xludf.DUMMYFUNCTION("""COMPUTED_VALUE"""),74439.37236128096)</f>
        <v>74439.37236</v>
      </c>
      <c r="BD43" s="58">
        <f>IFERROR(__xludf.DUMMYFUNCTION("""COMPUTED_VALUE"""),79720.78227220345)</f>
        <v>79720.78227</v>
      </c>
      <c r="BE43" s="58">
        <f>IFERROR(__xludf.DUMMYFUNCTION("""COMPUTED_VALUE"""),84366.6156218851)</f>
        <v>84366.61562</v>
      </c>
      <c r="BF43" s="58">
        <f>IFERROR(__xludf.DUMMYFUNCTION("""COMPUTED_VALUE"""),314159.2753726861)</f>
        <v>314159.2754</v>
      </c>
      <c r="BG43" s="58">
        <f>IFERROR(__xludf.DUMMYFUNCTION("""COMPUTED_VALUE"""),81702.6697215747)</f>
        <v>81702.66972</v>
      </c>
      <c r="BH43" s="58">
        <f>IFERROR(__xludf.DUMMYFUNCTION("""COMPUTED_VALUE"""),81230.8044093408)</f>
        <v>81230.80441</v>
      </c>
      <c r="BI43" s="58">
        <f>IFERROR(__xludf.DUMMYFUNCTION("""COMPUTED_VALUE"""),82568.5982234547)</f>
        <v>82568.59822</v>
      </c>
      <c r="BJ43" s="58">
        <f>IFERROR(__xludf.DUMMYFUNCTION("""COMPUTED_VALUE"""),80372.6156372896)</f>
        <v>80372.61564</v>
      </c>
      <c r="BK43" s="58">
        <f>IFERROR(__xludf.DUMMYFUNCTION("""COMPUTED_VALUE"""),325874.68799165974)</f>
        <v>325874.688</v>
      </c>
      <c r="BL43" s="58">
        <f>IFERROR(__xludf.DUMMYFUNCTION("""COMPUTED_VALUE"""),76165.5110717557)</f>
        <v>76165.51107</v>
      </c>
      <c r="BM43" s="58">
        <f>IFERROR(__xludf.DUMMYFUNCTION("""COMPUTED_VALUE"""),77539.889777719)</f>
        <v>77539.88978</v>
      </c>
      <c r="BN43" s="58">
        <f>IFERROR(__xludf.DUMMYFUNCTION("""COMPUTED_VALUE"""),82289.7598115501)</f>
        <v>82289.75981</v>
      </c>
      <c r="BO43" s="58">
        <f>IFERROR(__xludf.DUMMYFUNCTION("""COMPUTED_VALUE"""),78065.0176092594)</f>
        <v>78065.01761</v>
      </c>
      <c r="BP43" s="58">
        <f>IFERROR(__xludf.DUMMYFUNCTION("""COMPUTED_VALUE"""),314060.1782702842)</f>
        <v>314060.1783</v>
      </c>
      <c r="BQ43" s="58">
        <f>IFERROR(__xludf.DUMMYFUNCTION("""COMPUTED_VALUE"""),78607.5827597684)</f>
        <v>78607.58276</v>
      </c>
      <c r="BR43" s="58">
        <f>IFERROR(__xludf.DUMMYFUNCTION("""COMPUTED_VALUE"""),78543.7665879112)</f>
        <v>78543.76659</v>
      </c>
      <c r="BS43" s="58">
        <f>IFERROR(__xludf.DUMMYFUNCTION("""COMPUTED_VALUE"""),78414.7074323011)</f>
        <v>78414.70743</v>
      </c>
      <c r="BT43" s="58">
        <f>IFERROR(__xludf.DUMMYFUNCTION("""COMPUTED_VALUE"""),76972.7672365551)</f>
        <v>76972.76724</v>
      </c>
      <c r="BU43" s="58">
        <f>IFERROR(__xludf.DUMMYFUNCTION("""COMPUTED_VALUE"""),312538.8240165358)</f>
        <v>312538.824</v>
      </c>
      <c r="BV43" s="60">
        <f>IFERROR(__xludf.DUMMYFUNCTION("""COMPUTED_VALUE"""),77955.5883326328)</f>
        <v>77955.58833</v>
      </c>
      <c r="BW43" s="60">
        <f>IFERROR(__xludf.DUMMYFUNCTION("""COMPUTED_VALUE"""),77615.8330210634)</f>
        <v>77615.83302</v>
      </c>
      <c r="BX43" s="60">
        <f>IFERROR(__xludf.DUMMYFUNCTION("""COMPUTED_VALUE"""),81993.2703221922)</f>
        <v>81993.27032</v>
      </c>
      <c r="BY43" s="60">
        <f>IFERROR(__xludf.DUMMYFUNCTION("""COMPUTED_VALUE"""),83780.7236152159)</f>
        <v>83780.72362</v>
      </c>
      <c r="BZ43" s="60">
        <f>IFERROR(__xludf.DUMMYFUNCTION("""COMPUTED_VALUE"""),321345.4152911043)</f>
        <v>321345.4153</v>
      </c>
      <c r="CA43" s="60">
        <f>IFERROR(__xludf.DUMMYFUNCTION("""COMPUTED_VALUE"""),77930.6913418581)</f>
        <v>77930.69134</v>
      </c>
      <c r="CB43" s="60">
        <f>IFERROR(__xludf.DUMMYFUNCTION("""COMPUTED_VALUE"""),83950.3922565285)</f>
        <v>83950.39226</v>
      </c>
      <c r="CC43" s="60">
        <f>IFERROR(__xludf.DUMMYFUNCTION("""COMPUTED_VALUE"""),79411.3463241107)</f>
        <v>79411.34632</v>
      </c>
      <c r="CD43" s="60">
        <f>IFERROR(__xludf.DUMMYFUNCTION("""COMPUTED_VALUE"""),80467.138734559)</f>
        <v>80467.13873</v>
      </c>
      <c r="CE43" s="60">
        <f>IFERROR(__xludf.DUMMYFUNCTION("""COMPUTED_VALUE"""),321759.5686570563)</f>
        <v>321759.5687</v>
      </c>
      <c r="CF43" s="60">
        <f>IFERROR(__xludf.DUMMYFUNCTION("""COMPUTED_VALUE"""),82501.7690049506)</f>
        <v>82501.769</v>
      </c>
      <c r="CG43" s="60">
        <f>IFERROR(__xludf.DUMMYFUNCTION("""COMPUTED_VALUE"""),78041.9497381695)</f>
        <v>78041.94974</v>
      </c>
      <c r="CH43" s="60">
        <f>IFERROR(__xludf.DUMMYFUNCTION("""COMPUTED_VALUE"""),76429.4933462838)</f>
        <v>76429.49335</v>
      </c>
      <c r="CI43" s="60">
        <f>IFERROR(__xludf.DUMMYFUNCTION("""COMPUTED_VALUE"""),85461.8943872693)</f>
        <v>85461.89439</v>
      </c>
      <c r="CJ43" s="60">
        <f>IFERROR(__xludf.DUMMYFUNCTION("""COMPUTED_VALUE"""),322435.10647667316)</f>
        <v>322435.1065</v>
      </c>
      <c r="CK43" s="60">
        <f>IFERROR(__xludf.DUMMYFUNCTION("""COMPUTED_VALUE"""),81902.7221244831)</f>
        <v>81902.72212</v>
      </c>
      <c r="CL43" s="60">
        <f>IFERROR(__xludf.DUMMYFUNCTION("""COMPUTED_VALUE"""),78415.4514783072)</f>
        <v>78415.45148</v>
      </c>
      <c r="CM43" s="60">
        <f>IFERROR(__xludf.DUMMYFUNCTION("""COMPUTED_VALUE"""),78171.0543244263)</f>
        <v>78171.05432</v>
      </c>
      <c r="CN43" s="60">
        <f>IFERROR(__xludf.DUMMYFUNCTION("""COMPUTED_VALUE"""),85767.7519472794)</f>
        <v>85767.75195</v>
      </c>
      <c r="CO43" s="60">
        <f>IFERROR(__xludf.DUMMYFUNCTION("""COMPUTED_VALUE"""),324256.97987449594)</f>
        <v>324256.9799</v>
      </c>
      <c r="CP43" s="67">
        <f>IFERROR(__xludf.DUMMYFUNCTION("""COMPUTED_VALUE"""),90200.11380499133)</f>
        <v>90200.1138</v>
      </c>
      <c r="CQ43" s="60">
        <f>IFERROR(__xludf.DUMMYFUNCTION("""COMPUTED_VALUE"""),0.0)</f>
        <v>0</v>
      </c>
      <c r="CR43" s="60">
        <f>IFERROR(__xludf.DUMMYFUNCTION("""COMPUTED_VALUE"""),0.0)</f>
        <v>0</v>
      </c>
      <c r="CS43" s="60">
        <f>IFERROR(__xludf.DUMMYFUNCTION("""COMPUTED_VALUE"""),0.0)</f>
        <v>0</v>
      </c>
      <c r="CT43" s="60">
        <f>IFERROR(__xludf.DUMMYFUNCTION("""COMPUTED_VALUE"""),90200.11380499133)</f>
        <v>90200.1138</v>
      </c>
      <c r="CU43" s="60">
        <f>IFERROR(__xludf.DUMMYFUNCTION("""COMPUTED_VALUE"""),0.0)</f>
        <v>0</v>
      </c>
      <c r="CV43" s="60">
        <f>IFERROR(__xludf.DUMMYFUNCTION("""COMPUTED_VALUE"""),0.0)</f>
        <v>0</v>
      </c>
      <c r="CW43" s="60">
        <f>IFERROR(__xludf.DUMMYFUNCTION("""COMPUTED_VALUE"""),0.0)</f>
        <v>0</v>
      </c>
      <c r="CX43" s="60">
        <f>IFERROR(__xludf.DUMMYFUNCTION("""COMPUTED_VALUE"""),0.0)</f>
        <v>0</v>
      </c>
      <c r="CY43" s="60">
        <f>IFERROR(__xludf.DUMMYFUNCTION("""COMPUTED_VALUE"""),0.0)</f>
        <v>0</v>
      </c>
      <c r="CZ43" s="57"/>
      <c r="DA43" s="57"/>
    </row>
    <row r="44">
      <c r="A44" s="54"/>
      <c r="B44" s="55"/>
      <c r="C44" s="56" t="s">
        <v>34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8">
        <f>IFERROR(__xludf.DUMMYFUNCTION("""COMPUTED_VALUE"""),2159.3447647563066)</f>
        <v>2159.344765</v>
      </c>
      <c r="O44" s="58">
        <f>IFERROR(__xludf.DUMMYFUNCTION("""COMPUTED_VALUE"""),4794.76328342688)</f>
        <v>4794.763283</v>
      </c>
      <c r="P44" s="58">
        <f>IFERROR(__xludf.DUMMYFUNCTION("""COMPUTED_VALUE"""),5346.4473552765185)</f>
        <v>5346.447355</v>
      </c>
      <c r="Q44" s="58">
        <f>IFERROR(__xludf.DUMMYFUNCTION("""COMPUTED_VALUE"""),3804.064596537076)</f>
        <v>3804.064597</v>
      </c>
      <c r="R44" s="58">
        <f>IFERROR(__xludf.DUMMYFUNCTION("""COMPUTED_VALUE"""),16104.61999999678)</f>
        <v>16104.62</v>
      </c>
      <c r="S44" s="58">
        <f>IFERROR(__xludf.DUMMYFUNCTION("""COMPUTED_VALUE"""),4453.11229756521)</f>
        <v>4453.112298</v>
      </c>
      <c r="T44" s="58">
        <f>IFERROR(__xludf.DUMMYFUNCTION("""COMPUTED_VALUE"""),7748.870775160262)</f>
        <v>7748.870775</v>
      </c>
      <c r="U44" s="58">
        <f>IFERROR(__xludf.DUMMYFUNCTION("""COMPUTED_VALUE"""),9415.318483125367)</f>
        <v>9415.318483</v>
      </c>
      <c r="V44" s="58">
        <f>IFERROR(__xludf.DUMMYFUNCTION("""COMPUTED_VALUE"""),10293.291273794963)</f>
        <v>10293.29127</v>
      </c>
      <c r="W44" s="58">
        <f>IFERROR(__xludf.DUMMYFUNCTION("""COMPUTED_VALUE"""),31910.592829645804)</f>
        <v>31910.59283</v>
      </c>
      <c r="X44" s="58">
        <f>IFERROR(__xludf.DUMMYFUNCTION("""COMPUTED_VALUE"""),5179.439196314746)</f>
        <v>5179.439196</v>
      </c>
      <c r="Y44" s="58">
        <f>IFERROR(__xludf.DUMMYFUNCTION("""COMPUTED_VALUE"""),14566.924377069889)</f>
        <v>14566.92438</v>
      </c>
      <c r="Z44" s="58">
        <f>IFERROR(__xludf.DUMMYFUNCTION("""COMPUTED_VALUE"""),17227.161947837398)</f>
        <v>17227.16195</v>
      </c>
      <c r="AA44" s="58">
        <f>IFERROR(__xludf.DUMMYFUNCTION("""COMPUTED_VALUE"""),20290.04173324227)</f>
        <v>20290.04173</v>
      </c>
      <c r="AB44" s="58">
        <f>IFERROR(__xludf.DUMMYFUNCTION("""COMPUTED_VALUE"""),57263.5672544643)</f>
        <v>57263.56725</v>
      </c>
      <c r="AC44" s="58">
        <f>IFERROR(__xludf.DUMMYFUNCTION("""COMPUTED_VALUE"""),9104.411828672477)</f>
        <v>9104.411829</v>
      </c>
      <c r="AD44" s="58">
        <f>IFERROR(__xludf.DUMMYFUNCTION("""COMPUTED_VALUE"""),12172.176020143717)</f>
        <v>12172.17602</v>
      </c>
      <c r="AE44" s="58">
        <f>IFERROR(__xludf.DUMMYFUNCTION("""COMPUTED_VALUE"""),16740.042461596993)</f>
        <v>16740.04246</v>
      </c>
      <c r="AF44" s="58">
        <f>IFERROR(__xludf.DUMMYFUNCTION("""COMPUTED_VALUE"""),20661.350889524456)</f>
        <v>20661.35089</v>
      </c>
      <c r="AG44" s="58">
        <f>IFERROR(__xludf.DUMMYFUNCTION("""COMPUTED_VALUE"""),58677.98119993764)</f>
        <v>58677.9812</v>
      </c>
      <c r="AH44" s="58">
        <f>IFERROR(__xludf.DUMMYFUNCTION("""COMPUTED_VALUE"""),9294.844135087304)</f>
        <v>9294.844135</v>
      </c>
      <c r="AI44" s="58">
        <f>IFERROR(__xludf.DUMMYFUNCTION("""COMPUTED_VALUE"""),15004.220821439503)</f>
        <v>15004.22082</v>
      </c>
      <c r="AJ44" s="58">
        <f>IFERROR(__xludf.DUMMYFUNCTION("""COMPUTED_VALUE"""),21882.76906393031)</f>
        <v>21882.76906</v>
      </c>
      <c r="AK44" s="58">
        <f>IFERROR(__xludf.DUMMYFUNCTION("""COMPUTED_VALUE"""),19945.266606026675)</f>
        <v>19945.26661</v>
      </c>
      <c r="AL44" s="58">
        <f>IFERROR(__xludf.DUMMYFUNCTION("""COMPUTED_VALUE"""),66127.10062648379)</f>
        <v>66127.10063</v>
      </c>
      <c r="AM44" s="58">
        <f>IFERROR(__xludf.DUMMYFUNCTION("""COMPUTED_VALUE"""),10602.0663)</f>
        <v>10602.0663</v>
      </c>
      <c r="AN44" s="58">
        <f>IFERROR(__xludf.DUMMYFUNCTION("""COMPUTED_VALUE"""),16559.3674)</f>
        <v>16559.3674</v>
      </c>
      <c r="AO44" s="58">
        <f>IFERROR(__xludf.DUMMYFUNCTION("""COMPUTED_VALUE"""),26388.3738)</f>
        <v>26388.3738</v>
      </c>
      <c r="AP44" s="58">
        <f>IFERROR(__xludf.DUMMYFUNCTION("""COMPUTED_VALUE"""),15978.1603)</f>
        <v>15978.1603</v>
      </c>
      <c r="AQ44" s="58">
        <f>IFERROR(__xludf.DUMMYFUNCTION("""COMPUTED_VALUE"""),69527.9678)</f>
        <v>69527.9678</v>
      </c>
      <c r="AR44" s="58">
        <f>IFERROR(__xludf.DUMMYFUNCTION("""COMPUTED_VALUE"""),16038.317761843527)</f>
        <v>16038.31776</v>
      </c>
      <c r="AS44" s="58">
        <f>IFERROR(__xludf.DUMMYFUNCTION("""COMPUTED_VALUE"""),15839.617240783504)</f>
        <v>15839.61724</v>
      </c>
      <c r="AT44" s="58">
        <f>IFERROR(__xludf.DUMMYFUNCTION("""COMPUTED_VALUE"""),15812.6109861142)</f>
        <v>15812.61099</v>
      </c>
      <c r="AU44" s="58">
        <f>IFERROR(__xludf.DUMMYFUNCTION("""COMPUTED_VALUE"""),21579.3096622427)</f>
        <v>21579.30966</v>
      </c>
      <c r="AV44" s="58">
        <f>IFERROR(__xludf.DUMMYFUNCTION("""COMPUTED_VALUE"""),69269.85565098393)</f>
        <v>69269.85565</v>
      </c>
      <c r="AW44" s="58">
        <f>IFERROR(__xludf.DUMMYFUNCTION("""COMPUTED_VALUE"""),19529.723904014)</f>
        <v>19529.7239</v>
      </c>
      <c r="AX44" s="58">
        <f>IFERROR(__xludf.DUMMYFUNCTION("""COMPUTED_VALUE"""),15908.804404990999)</f>
        <v>15908.8044</v>
      </c>
      <c r="AY44" s="58">
        <f>IFERROR(__xludf.DUMMYFUNCTION("""COMPUTED_VALUE"""),15689.480632101498)</f>
        <v>15689.48063</v>
      </c>
      <c r="AZ44" s="58">
        <f>IFERROR(__xludf.DUMMYFUNCTION("""COMPUTED_VALUE"""),15731.842229808173)</f>
        <v>15731.84223</v>
      </c>
      <c r="BA44" s="58">
        <f>IFERROR(__xludf.DUMMYFUNCTION("""COMPUTED_VALUE"""),66859.85117091467)</f>
        <v>66859.85117</v>
      </c>
      <c r="BB44" s="58">
        <f>IFERROR(__xludf.DUMMYFUNCTION("""COMPUTED_VALUE"""),17590.675898304133)</f>
        <v>17590.6759</v>
      </c>
      <c r="BC44" s="58">
        <f>IFERROR(__xludf.DUMMYFUNCTION("""COMPUTED_VALUE"""),17028.269781555537)</f>
        <v>17028.26978</v>
      </c>
      <c r="BD44" s="58">
        <f>IFERROR(__xludf.DUMMYFUNCTION("""COMPUTED_VALUE"""),17066.458198870165)</f>
        <v>17066.4582</v>
      </c>
      <c r="BE44" s="58">
        <f>IFERROR(__xludf.DUMMYFUNCTION("""COMPUTED_VALUE"""),17093.040859499284)</f>
        <v>17093.04086</v>
      </c>
      <c r="BF44" s="58">
        <f>IFERROR(__xludf.DUMMYFUNCTION("""COMPUTED_VALUE"""),68778.44473822913)</f>
        <v>68778.44474</v>
      </c>
      <c r="BG44" s="58">
        <f>IFERROR(__xludf.DUMMYFUNCTION("""COMPUTED_VALUE"""),17330.3426424567)</f>
        <v>17330.34264</v>
      </c>
      <c r="BH44" s="58">
        <f>IFERROR(__xludf.DUMMYFUNCTION("""COMPUTED_VALUE"""),17910.5947595302)</f>
        <v>17910.59476</v>
      </c>
      <c r="BI44" s="58">
        <f>IFERROR(__xludf.DUMMYFUNCTION("""COMPUTED_VALUE"""),18195.3262238745)</f>
        <v>18195.32622</v>
      </c>
      <c r="BJ44" s="58">
        <f>IFERROR(__xludf.DUMMYFUNCTION("""COMPUTED_VALUE"""),18580.141783999)</f>
        <v>18580.14178</v>
      </c>
      <c r="BK44" s="58">
        <f>IFERROR(__xludf.DUMMYFUNCTION("""COMPUTED_VALUE"""),72016.4054098604)</f>
        <v>72016.40541</v>
      </c>
      <c r="BL44" s="58">
        <f>IFERROR(__xludf.DUMMYFUNCTION("""COMPUTED_VALUE"""),18994.3811401038)</f>
        <v>18994.38114</v>
      </c>
      <c r="BM44" s="58">
        <f>IFERROR(__xludf.DUMMYFUNCTION("""COMPUTED_VALUE"""),19624.7186724977)</f>
        <v>19624.71867</v>
      </c>
      <c r="BN44" s="58">
        <f>IFERROR(__xludf.DUMMYFUNCTION("""COMPUTED_VALUE"""),19094.5889228999)</f>
        <v>19094.58892</v>
      </c>
      <c r="BO44" s="58">
        <f>IFERROR(__xludf.DUMMYFUNCTION("""COMPUTED_VALUE"""),19112.2079925614)</f>
        <v>19112.20799</v>
      </c>
      <c r="BP44" s="58">
        <f>IFERROR(__xludf.DUMMYFUNCTION("""COMPUTED_VALUE"""),76825.8967280628)</f>
        <v>76825.89673</v>
      </c>
      <c r="BQ44" s="58">
        <f>IFERROR(__xludf.DUMMYFUNCTION("""COMPUTED_VALUE"""),17215.0211522584)</f>
        <v>17215.02115</v>
      </c>
      <c r="BR44" s="58">
        <f>IFERROR(__xludf.DUMMYFUNCTION("""COMPUTED_VALUE"""),17728.2523856748)</f>
        <v>17728.25239</v>
      </c>
      <c r="BS44" s="58">
        <f>IFERROR(__xludf.DUMMYFUNCTION("""COMPUTED_VALUE"""),30021.253406263)</f>
        <v>30021.25341</v>
      </c>
      <c r="BT44" s="58">
        <f>IFERROR(__xludf.DUMMYFUNCTION("""COMPUTED_VALUE"""),34117.1188601703)</f>
        <v>34117.11886</v>
      </c>
      <c r="BU44" s="58">
        <f>IFERROR(__xludf.DUMMYFUNCTION("""COMPUTED_VALUE"""),99081.6458043665)</f>
        <v>99081.6458</v>
      </c>
      <c r="BV44" s="60">
        <f>IFERROR(__xludf.DUMMYFUNCTION("""COMPUTED_VALUE"""),22707.9470876299)</f>
        <v>22707.94709</v>
      </c>
      <c r="BW44" s="60">
        <f>IFERROR(__xludf.DUMMYFUNCTION("""COMPUTED_VALUE"""),16993.7544421547)</f>
        <v>16993.75444</v>
      </c>
      <c r="BX44" s="60">
        <f>IFERROR(__xludf.DUMMYFUNCTION("""COMPUTED_VALUE"""),32148.8963792733)</f>
        <v>32148.89638</v>
      </c>
      <c r="BY44" s="60">
        <f>IFERROR(__xludf.DUMMYFUNCTION("""COMPUTED_VALUE"""),34068.5836852303)</f>
        <v>34068.58369</v>
      </c>
      <c r="BZ44" s="60">
        <f>IFERROR(__xludf.DUMMYFUNCTION("""COMPUTED_VALUE"""),105919.18159428818)</f>
        <v>105919.1816</v>
      </c>
      <c r="CA44" s="60">
        <f>IFERROR(__xludf.DUMMYFUNCTION("""COMPUTED_VALUE"""),17608.3835456125)</f>
        <v>17608.38355</v>
      </c>
      <c r="CB44" s="60">
        <f>IFERROR(__xludf.DUMMYFUNCTION("""COMPUTED_VALUE"""),18819.326453475)</f>
        <v>18819.32645</v>
      </c>
      <c r="CC44" s="60">
        <f>IFERROR(__xludf.DUMMYFUNCTION("""COMPUTED_VALUE"""),32806.9773751944)</f>
        <v>32806.97738</v>
      </c>
      <c r="CD44" s="60">
        <f>IFERROR(__xludf.DUMMYFUNCTION("""COMPUTED_VALUE"""),38295.7875225464)</f>
        <v>38295.78752</v>
      </c>
      <c r="CE44" s="60">
        <f>IFERROR(__xludf.DUMMYFUNCTION("""COMPUTED_VALUE"""),107530.4748968283)</f>
        <v>107530.4749</v>
      </c>
      <c r="CF44" s="60">
        <f>IFERROR(__xludf.DUMMYFUNCTION("""COMPUTED_VALUE"""),17327.5212458125)</f>
        <v>17327.52125</v>
      </c>
      <c r="CG44" s="60">
        <f>IFERROR(__xludf.DUMMYFUNCTION("""COMPUTED_VALUE"""),21266.9401597797)</f>
        <v>21266.94016</v>
      </c>
      <c r="CH44" s="60">
        <f>IFERROR(__xludf.DUMMYFUNCTION("""COMPUTED_VALUE"""),37577.5340353599)</f>
        <v>37577.53404</v>
      </c>
      <c r="CI44" s="60">
        <f>IFERROR(__xludf.DUMMYFUNCTION("""COMPUTED_VALUE"""),87883.9752753724)</f>
        <v>87883.97528</v>
      </c>
      <c r="CJ44" s="60">
        <f>IFERROR(__xludf.DUMMYFUNCTION("""COMPUTED_VALUE"""),164055.97071632452)</f>
        <v>164055.9707</v>
      </c>
      <c r="CK44" s="60">
        <f>IFERROR(__xludf.DUMMYFUNCTION("""COMPUTED_VALUE"""),49523.7958753059)</f>
        <v>49523.79588</v>
      </c>
      <c r="CL44" s="60">
        <f>IFERROR(__xludf.DUMMYFUNCTION("""COMPUTED_VALUE"""),39120.1798767626)</f>
        <v>39120.17988</v>
      </c>
      <c r="CM44" s="60">
        <f>IFERROR(__xludf.DUMMYFUNCTION("""COMPUTED_VALUE"""),54369.4647897807)</f>
        <v>54369.46479</v>
      </c>
      <c r="CN44" s="60">
        <f>IFERROR(__xludf.DUMMYFUNCTION("""COMPUTED_VALUE"""),83376.5152961937)</f>
        <v>83376.5153</v>
      </c>
      <c r="CO44" s="60">
        <f>IFERROR(__xludf.DUMMYFUNCTION("""COMPUTED_VALUE"""),226389.9558380429)</f>
        <v>226389.9558</v>
      </c>
      <c r="CP44" s="67">
        <f>IFERROR(__xludf.DUMMYFUNCTION("""COMPUTED_VALUE"""),48844.601954162994)</f>
        <v>48844.60195</v>
      </c>
      <c r="CQ44" s="60">
        <f>IFERROR(__xludf.DUMMYFUNCTION("""COMPUTED_VALUE"""),0.0)</f>
        <v>0</v>
      </c>
      <c r="CR44" s="60">
        <f>IFERROR(__xludf.DUMMYFUNCTION("""COMPUTED_VALUE"""),0.0)</f>
        <v>0</v>
      </c>
      <c r="CS44" s="60">
        <f>IFERROR(__xludf.DUMMYFUNCTION("""COMPUTED_VALUE"""),0.0)</f>
        <v>0</v>
      </c>
      <c r="CT44" s="60">
        <f>IFERROR(__xludf.DUMMYFUNCTION("""COMPUTED_VALUE"""),48844.601954162994)</f>
        <v>48844.60195</v>
      </c>
      <c r="CU44" s="60">
        <f>IFERROR(__xludf.DUMMYFUNCTION("""COMPUTED_VALUE"""),0.0)</f>
        <v>0</v>
      </c>
      <c r="CV44" s="60">
        <f>IFERROR(__xludf.DUMMYFUNCTION("""COMPUTED_VALUE"""),0.0)</f>
        <v>0</v>
      </c>
      <c r="CW44" s="60">
        <f>IFERROR(__xludf.DUMMYFUNCTION("""COMPUTED_VALUE"""),0.0)</f>
        <v>0</v>
      </c>
      <c r="CX44" s="60">
        <f>IFERROR(__xludf.DUMMYFUNCTION("""COMPUTED_VALUE"""),0.0)</f>
        <v>0</v>
      </c>
      <c r="CY44" s="60">
        <f>IFERROR(__xludf.DUMMYFUNCTION("""COMPUTED_VALUE"""),0.0)</f>
        <v>0</v>
      </c>
      <c r="CZ44" s="57"/>
      <c r="DA44" s="57"/>
    </row>
    <row r="45">
      <c r="A45" s="54"/>
      <c r="B45" s="55"/>
      <c r="C45" s="56" t="s">
        <v>35</v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8">
        <f>IFERROR(__xludf.DUMMYFUNCTION("""COMPUTED_VALUE"""),121194.07166172314)</f>
        <v>121194.0717</v>
      </c>
      <c r="O45" s="58">
        <f>IFERROR(__xludf.DUMMYFUNCTION("""COMPUTED_VALUE"""),136845.28128448405)</f>
        <v>136845.2813</v>
      </c>
      <c r="P45" s="58">
        <f>IFERROR(__xludf.DUMMYFUNCTION("""COMPUTED_VALUE"""),244349.19192154513)</f>
        <v>244349.1919</v>
      </c>
      <c r="Q45" s="58">
        <f>IFERROR(__xludf.DUMMYFUNCTION("""COMPUTED_VALUE"""),249257.5251322456)</f>
        <v>249257.5251</v>
      </c>
      <c r="R45" s="58">
        <f>IFERROR(__xludf.DUMMYFUNCTION("""COMPUTED_VALUE"""),751646.069999998)</f>
        <v>751646.07</v>
      </c>
      <c r="S45" s="58">
        <f>IFERROR(__xludf.DUMMYFUNCTION("""COMPUTED_VALUE"""),144064.94364022318)</f>
        <v>144064.9436</v>
      </c>
      <c r="T45" s="58">
        <f>IFERROR(__xludf.DUMMYFUNCTION("""COMPUTED_VALUE"""),128767.20373542959)</f>
        <v>128767.2037</v>
      </c>
      <c r="U45" s="58">
        <f>IFERROR(__xludf.DUMMYFUNCTION("""COMPUTED_VALUE"""),226150.3863563383)</f>
        <v>226150.3864</v>
      </c>
      <c r="V45" s="58">
        <f>IFERROR(__xludf.DUMMYFUNCTION("""COMPUTED_VALUE"""),271914.5343680092)</f>
        <v>271914.5344</v>
      </c>
      <c r="W45" s="58">
        <f>IFERROR(__xludf.DUMMYFUNCTION("""COMPUTED_VALUE"""),770897.0681000003)</f>
        <v>770897.0681</v>
      </c>
      <c r="X45" s="58">
        <f>IFERROR(__xludf.DUMMYFUNCTION("""COMPUTED_VALUE"""),274234.6055630548)</f>
        <v>274234.6056</v>
      </c>
      <c r="Y45" s="58">
        <f>IFERROR(__xludf.DUMMYFUNCTION("""COMPUTED_VALUE"""),194922.8550362314)</f>
        <v>194922.855</v>
      </c>
      <c r="Z45" s="58">
        <f>IFERROR(__xludf.DUMMYFUNCTION("""COMPUTED_VALUE"""),112841.83453340188)</f>
        <v>112841.8345</v>
      </c>
      <c r="AA45" s="58">
        <f>IFERROR(__xludf.DUMMYFUNCTION("""COMPUTED_VALUE"""),134819.59115520847)</f>
        <v>134819.5912</v>
      </c>
      <c r="AB45" s="58">
        <f>IFERROR(__xludf.DUMMYFUNCTION("""COMPUTED_VALUE"""),716818.8862878964)</f>
        <v>716818.8863</v>
      </c>
      <c r="AC45" s="58">
        <f>IFERROR(__xludf.DUMMYFUNCTION("""COMPUTED_VALUE"""),166601.44053284044)</f>
        <v>166601.4405</v>
      </c>
      <c r="AD45" s="58">
        <f>IFERROR(__xludf.DUMMYFUNCTION("""COMPUTED_VALUE"""),236342.66836671636)</f>
        <v>236342.6684</v>
      </c>
      <c r="AE45" s="58">
        <f>IFERROR(__xludf.DUMMYFUNCTION("""COMPUTED_VALUE"""),187985.69261209213)</f>
        <v>187985.6926</v>
      </c>
      <c r="AF45" s="58">
        <f>IFERROR(__xludf.DUMMYFUNCTION("""COMPUTED_VALUE"""),167403.0227083504)</f>
        <v>167403.0227</v>
      </c>
      <c r="AG45" s="58">
        <f>IFERROR(__xludf.DUMMYFUNCTION("""COMPUTED_VALUE"""),758332.8242199994)</f>
        <v>758332.8242</v>
      </c>
      <c r="AH45" s="58">
        <f>IFERROR(__xludf.DUMMYFUNCTION("""COMPUTED_VALUE"""),177688.72988039028)</f>
        <v>177688.7299</v>
      </c>
      <c r="AI45" s="58">
        <f>IFERROR(__xludf.DUMMYFUNCTION("""COMPUTED_VALUE"""),190737.09351020012)</f>
        <v>190737.0935</v>
      </c>
      <c r="AJ45" s="58">
        <f>IFERROR(__xludf.DUMMYFUNCTION("""COMPUTED_VALUE"""),178224.6575794983)</f>
        <v>178224.6576</v>
      </c>
      <c r="AK45" s="58">
        <f>IFERROR(__xludf.DUMMYFUNCTION("""COMPUTED_VALUE"""),132899.61701788337)</f>
        <v>132899.617</v>
      </c>
      <c r="AL45" s="58">
        <f>IFERROR(__xludf.DUMMYFUNCTION("""COMPUTED_VALUE"""),679550.097987972)</f>
        <v>679550.098</v>
      </c>
      <c r="AM45" s="58">
        <f>IFERROR(__xludf.DUMMYFUNCTION("""COMPUTED_VALUE"""),206014.9537)</f>
        <v>206014.9537</v>
      </c>
      <c r="AN45" s="58">
        <f>IFERROR(__xludf.DUMMYFUNCTION("""COMPUTED_VALUE"""),137735.4347)</f>
        <v>137735.4347</v>
      </c>
      <c r="AO45" s="58">
        <f>IFERROR(__xludf.DUMMYFUNCTION("""COMPUTED_VALUE"""),212291.6255)</f>
        <v>212291.6255</v>
      </c>
      <c r="AP45" s="58">
        <f>IFERROR(__xludf.DUMMYFUNCTION("""COMPUTED_VALUE"""),150493.5333)</f>
        <v>150493.5333</v>
      </c>
      <c r="AQ45" s="58">
        <f>IFERROR(__xludf.DUMMYFUNCTION("""COMPUTED_VALUE"""),706535.5472)</f>
        <v>706535.5472</v>
      </c>
      <c r="AR45" s="58">
        <f>IFERROR(__xludf.DUMMYFUNCTION("""COMPUTED_VALUE"""),185373.528417689)</f>
        <v>185373.5284</v>
      </c>
      <c r="AS45" s="58">
        <f>IFERROR(__xludf.DUMMYFUNCTION("""COMPUTED_VALUE"""),137648.04)</f>
        <v>137648.04</v>
      </c>
      <c r="AT45" s="58">
        <f>IFERROR(__xludf.DUMMYFUNCTION("""COMPUTED_VALUE"""),145268.341791549)</f>
        <v>145268.3418</v>
      </c>
      <c r="AU45" s="58">
        <f>IFERROR(__xludf.DUMMYFUNCTION("""COMPUTED_VALUE"""),162756.370375727)</f>
        <v>162756.3704</v>
      </c>
      <c r="AV45" s="58">
        <f>IFERROR(__xludf.DUMMYFUNCTION("""COMPUTED_VALUE"""),631046.280584965)</f>
        <v>631046.2806</v>
      </c>
      <c r="AW45" s="58">
        <f>IFERROR(__xludf.DUMMYFUNCTION("""COMPUTED_VALUE"""),162519.1363206675)</f>
        <v>162519.1363</v>
      </c>
      <c r="AX45" s="58">
        <f>IFERROR(__xludf.DUMMYFUNCTION("""COMPUTED_VALUE"""),146635.34566256497)</f>
        <v>146635.3457</v>
      </c>
      <c r="AY45" s="58">
        <f>IFERROR(__xludf.DUMMYFUNCTION("""COMPUTED_VALUE"""),144435.8154776265)</f>
        <v>144435.8155</v>
      </c>
      <c r="AZ45" s="58">
        <f>IFERROR(__xludf.DUMMYFUNCTION("""COMPUTED_VALUE"""),150949.87075566745)</f>
        <v>150949.8708</v>
      </c>
      <c r="BA45" s="58">
        <f>IFERROR(__xludf.DUMMYFUNCTION("""COMPUTED_VALUE"""),604540.1682165264)</f>
        <v>604540.1682</v>
      </c>
      <c r="BB45" s="58">
        <f>IFERROR(__xludf.DUMMYFUNCTION("""COMPUTED_VALUE"""),172995.40033159405)</f>
        <v>172995.4003</v>
      </c>
      <c r="BC45" s="58">
        <f>IFERROR(__xludf.DUMMYFUNCTION("""COMPUTED_VALUE"""),157169.973813409)</f>
        <v>157169.9738</v>
      </c>
      <c r="BD45" s="58">
        <f>IFERROR(__xludf.DUMMYFUNCTION("""COMPUTED_VALUE"""),157609.296569635)</f>
        <v>157609.2966</v>
      </c>
      <c r="BE45" s="58">
        <f>IFERROR(__xludf.DUMMYFUNCTION("""COMPUTED_VALUE"""),163381.80698301442)</f>
        <v>163381.807</v>
      </c>
      <c r="BF45" s="58">
        <f>IFERROR(__xludf.DUMMYFUNCTION("""COMPUTED_VALUE"""),651156.4776976524)</f>
        <v>651156.4777</v>
      </c>
      <c r="BG45" s="58">
        <f>IFERROR(__xludf.DUMMYFUNCTION("""COMPUTED_VALUE"""),176627.068466029)</f>
        <v>176627.0685</v>
      </c>
      <c r="BH45" s="58">
        <f>IFERROR(__xludf.DUMMYFUNCTION("""COMPUTED_VALUE"""),171508.0735978)</f>
        <v>171508.0736</v>
      </c>
      <c r="BI45" s="58">
        <f>IFERROR(__xludf.DUMMYFUNCTION("""COMPUTED_VALUE"""),173234.931670554)</f>
        <v>173234.9317</v>
      </c>
      <c r="BJ45" s="58">
        <f>IFERROR(__xludf.DUMMYFUNCTION("""COMPUTED_VALUE"""),175111.485359265)</f>
        <v>175111.4854</v>
      </c>
      <c r="BK45" s="58">
        <f>IFERROR(__xludf.DUMMYFUNCTION("""COMPUTED_VALUE"""),696481.559093648)</f>
        <v>696481.5591</v>
      </c>
      <c r="BL45" s="58">
        <f>IFERROR(__xludf.DUMMYFUNCTION("""COMPUTED_VALUE"""),174571.224655479)</f>
        <v>174571.2247</v>
      </c>
      <c r="BM45" s="58">
        <f>IFERROR(__xludf.DUMMYFUNCTION("""COMPUTED_VALUE"""),169907.536040145)</f>
        <v>169907.536</v>
      </c>
      <c r="BN45" s="58">
        <f>IFERROR(__xludf.DUMMYFUNCTION("""COMPUTED_VALUE"""),169286.901854543)</f>
        <v>169286.9019</v>
      </c>
      <c r="BO45" s="58">
        <f>IFERROR(__xludf.DUMMYFUNCTION("""COMPUTED_VALUE"""),167325.926927904)</f>
        <v>167325.9269</v>
      </c>
      <c r="BP45" s="58">
        <f>IFERROR(__xludf.DUMMYFUNCTION("""COMPUTED_VALUE"""),681091.589478071)</f>
        <v>681091.5895</v>
      </c>
      <c r="BQ45" s="58">
        <f>IFERROR(__xludf.DUMMYFUNCTION("""COMPUTED_VALUE"""),172177.512676921)</f>
        <v>172177.5127</v>
      </c>
      <c r="BR45" s="58">
        <f>IFERROR(__xludf.DUMMYFUNCTION("""COMPUTED_VALUE"""),167514.693183276)</f>
        <v>167514.6932</v>
      </c>
      <c r="BS45" s="58">
        <f>IFERROR(__xludf.DUMMYFUNCTION("""COMPUTED_VALUE"""),167319.628557235)</f>
        <v>167319.6286</v>
      </c>
      <c r="BT45" s="58">
        <f>IFERROR(__xludf.DUMMYFUNCTION("""COMPUTED_VALUE"""),182671.440921915)</f>
        <v>182671.4409</v>
      </c>
      <c r="BU45" s="58">
        <f>IFERROR(__xludf.DUMMYFUNCTION("""COMPUTED_VALUE"""),689683.275339347)</f>
        <v>689683.2753</v>
      </c>
      <c r="BV45" s="60">
        <f>IFERROR(__xludf.DUMMYFUNCTION("""COMPUTED_VALUE"""),172136.758699699)</f>
        <v>172136.7587</v>
      </c>
      <c r="BW45" s="60">
        <f>IFERROR(__xludf.DUMMYFUNCTION("""COMPUTED_VALUE"""),171761.320728538)</f>
        <v>171761.3207</v>
      </c>
      <c r="BX45" s="60">
        <f>IFERROR(__xludf.DUMMYFUNCTION("""COMPUTED_VALUE"""),171727.302473963)</f>
        <v>171727.3025</v>
      </c>
      <c r="BY45" s="60">
        <f>IFERROR(__xludf.DUMMYFUNCTION("""COMPUTED_VALUE"""),183443.438822726)</f>
        <v>183443.4388</v>
      </c>
      <c r="BZ45" s="60">
        <f>IFERROR(__xludf.DUMMYFUNCTION("""COMPUTED_VALUE"""),699068.8207249261)</f>
        <v>699068.8207</v>
      </c>
      <c r="CA45" s="60">
        <f>IFERROR(__xludf.DUMMYFUNCTION("""COMPUTED_VALUE"""),189182.783717674)</f>
        <v>189182.7837</v>
      </c>
      <c r="CB45" s="60">
        <f>IFERROR(__xludf.DUMMYFUNCTION("""COMPUTED_VALUE"""),180895.546191042)</f>
        <v>180895.5462</v>
      </c>
      <c r="CC45" s="60">
        <f>IFERROR(__xludf.DUMMYFUNCTION("""COMPUTED_VALUE"""),187530.561790499)</f>
        <v>187530.5618</v>
      </c>
      <c r="CD45" s="60">
        <f>IFERROR(__xludf.DUMMYFUNCTION("""COMPUTED_VALUE"""),182645.456586841)</f>
        <v>182645.4566</v>
      </c>
      <c r="CE45" s="60">
        <f>IFERROR(__xludf.DUMMYFUNCTION("""COMPUTED_VALUE"""),740254.3482860561)</f>
        <v>740254.3483</v>
      </c>
      <c r="CF45" s="60">
        <f>IFERROR(__xludf.DUMMYFUNCTION("""COMPUTED_VALUE"""),197323.32305413)</f>
        <v>197323.3231</v>
      </c>
      <c r="CG45" s="60">
        <f>IFERROR(__xludf.DUMMYFUNCTION("""COMPUTED_VALUE"""),168889.27618168)</f>
        <v>168889.2762</v>
      </c>
      <c r="CH45" s="60">
        <f>IFERROR(__xludf.DUMMYFUNCTION("""COMPUTED_VALUE"""),173777.283827785)</f>
        <v>173777.2838</v>
      </c>
      <c r="CI45" s="60">
        <f>IFERROR(__xludf.DUMMYFUNCTION("""COMPUTED_VALUE"""),177390.529682656)</f>
        <v>177390.5297</v>
      </c>
      <c r="CJ45" s="60">
        <f>IFERROR(__xludf.DUMMYFUNCTION("""COMPUTED_VALUE"""),717380.4127462511)</f>
        <v>717380.4127</v>
      </c>
      <c r="CK45" s="60">
        <f>IFERROR(__xludf.DUMMYFUNCTION("""COMPUTED_VALUE"""),189492.823797654)</f>
        <v>189492.8238</v>
      </c>
      <c r="CL45" s="60">
        <f>IFERROR(__xludf.DUMMYFUNCTION("""COMPUTED_VALUE"""),167354.768485553)</f>
        <v>167354.7685</v>
      </c>
      <c r="CM45" s="60">
        <f>IFERROR(__xludf.DUMMYFUNCTION("""COMPUTED_VALUE"""),165412.938248791)</f>
        <v>165412.9382</v>
      </c>
      <c r="CN45" s="60">
        <f>IFERROR(__xludf.DUMMYFUNCTION("""COMPUTED_VALUE"""),203471.908721787)</f>
        <v>203471.9087</v>
      </c>
      <c r="CO45" s="60">
        <f>IFERROR(__xludf.DUMMYFUNCTION("""COMPUTED_VALUE"""),725732.4392537851)</f>
        <v>725732.4393</v>
      </c>
      <c r="CP45" s="67">
        <f>IFERROR(__xludf.DUMMYFUNCTION("""COMPUTED_VALUE"""),185094.38534415956)</f>
        <v>185094.3853</v>
      </c>
      <c r="CQ45" s="60">
        <f>IFERROR(__xludf.DUMMYFUNCTION("""COMPUTED_VALUE"""),0.0)</f>
        <v>0</v>
      </c>
      <c r="CR45" s="60">
        <f>IFERROR(__xludf.DUMMYFUNCTION("""COMPUTED_VALUE"""),0.0)</f>
        <v>0</v>
      </c>
      <c r="CS45" s="60">
        <f>IFERROR(__xludf.DUMMYFUNCTION("""COMPUTED_VALUE"""),0.0)</f>
        <v>0</v>
      </c>
      <c r="CT45" s="60">
        <f>IFERROR(__xludf.DUMMYFUNCTION("""COMPUTED_VALUE"""),185094.38534415956)</f>
        <v>185094.3853</v>
      </c>
      <c r="CU45" s="60">
        <f>IFERROR(__xludf.DUMMYFUNCTION("""COMPUTED_VALUE"""),0.0)</f>
        <v>0</v>
      </c>
      <c r="CV45" s="60">
        <f>IFERROR(__xludf.DUMMYFUNCTION("""COMPUTED_VALUE"""),0.0)</f>
        <v>0</v>
      </c>
      <c r="CW45" s="60">
        <f>IFERROR(__xludf.DUMMYFUNCTION("""COMPUTED_VALUE"""),0.0)</f>
        <v>0</v>
      </c>
      <c r="CX45" s="60">
        <f>IFERROR(__xludf.DUMMYFUNCTION("""COMPUTED_VALUE"""),0.0)</f>
        <v>0</v>
      </c>
      <c r="CY45" s="60">
        <f>IFERROR(__xludf.DUMMYFUNCTION("""COMPUTED_VALUE"""),0.0)</f>
        <v>0</v>
      </c>
      <c r="CZ45" s="57"/>
      <c r="DA45" s="57"/>
    </row>
    <row r="46">
      <c r="A46" s="54"/>
      <c r="B46" s="55"/>
      <c r="C46" s="56" t="s">
        <v>36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8">
        <f>IFERROR(__xludf.DUMMYFUNCTION("""COMPUTED_VALUE"""),822116.0076357522)</f>
        <v>822116.0076</v>
      </c>
      <c r="O46" s="58">
        <f>IFERROR(__xludf.DUMMYFUNCTION("""COMPUTED_VALUE"""),1059846.689654265)</f>
        <v>1059846.69</v>
      </c>
      <c r="P46" s="58">
        <f>IFERROR(__xludf.DUMMYFUNCTION("""COMPUTED_VALUE"""),981215.191616866)</f>
        <v>981215.1916</v>
      </c>
      <c r="Q46" s="58">
        <f>IFERROR(__xludf.DUMMYFUNCTION("""COMPUTED_VALUE"""),964578.1110931168)</f>
        <v>964578.1111</v>
      </c>
      <c r="R46" s="58">
        <f>IFERROR(__xludf.DUMMYFUNCTION("""COMPUTED_VALUE"""),3827756.0)</f>
        <v>3827756</v>
      </c>
      <c r="S46" s="58">
        <f>IFERROR(__xludf.DUMMYFUNCTION("""COMPUTED_VALUE"""),647171.5939432707)</f>
        <v>647171.5939</v>
      </c>
      <c r="T46" s="58">
        <f>IFERROR(__xludf.DUMMYFUNCTION("""COMPUTED_VALUE"""),830590.1768831284)</f>
        <v>830590.1769</v>
      </c>
      <c r="U46" s="58">
        <f>IFERROR(__xludf.DUMMYFUNCTION("""COMPUTED_VALUE"""),1054511.8997524378)</f>
        <v>1054511.9</v>
      </c>
      <c r="V46" s="58">
        <f>IFERROR(__xludf.DUMMYFUNCTION("""COMPUTED_VALUE"""),1143905.0175135864)</f>
        <v>1143905.018</v>
      </c>
      <c r="W46" s="58">
        <f>IFERROR(__xludf.DUMMYFUNCTION("""COMPUTED_VALUE"""),3676178.6880924236)</f>
        <v>3676178.688</v>
      </c>
      <c r="X46" s="58">
        <f>IFERROR(__xludf.DUMMYFUNCTION("""COMPUTED_VALUE"""),772121.3083040908)</f>
        <v>772121.3083</v>
      </c>
      <c r="Y46" s="58">
        <f>IFERROR(__xludf.DUMMYFUNCTION("""COMPUTED_VALUE"""),1019804.7295311303)</f>
        <v>1019804.73</v>
      </c>
      <c r="Z46" s="58">
        <f>IFERROR(__xludf.DUMMYFUNCTION("""COMPUTED_VALUE"""),1273800.8787092618)</f>
        <v>1273800.879</v>
      </c>
      <c r="AA46" s="58">
        <f>IFERROR(__xludf.DUMMYFUNCTION("""COMPUTED_VALUE"""),938845.8208942388)</f>
        <v>938845.8209</v>
      </c>
      <c r="AB46" s="58">
        <f>IFERROR(__xludf.DUMMYFUNCTION("""COMPUTED_VALUE"""),4004572.7374387216)</f>
        <v>4004572.737</v>
      </c>
      <c r="AC46" s="58">
        <f>IFERROR(__xludf.DUMMYFUNCTION("""COMPUTED_VALUE"""),890837.473493444)</f>
        <v>890837.4735</v>
      </c>
      <c r="AD46" s="58">
        <f>IFERROR(__xludf.DUMMYFUNCTION("""COMPUTED_VALUE"""),1062156.0326994562)</f>
        <v>1062156.033</v>
      </c>
      <c r="AE46" s="58">
        <f>IFERROR(__xludf.DUMMYFUNCTION("""COMPUTED_VALUE"""),1291880.538714243)</f>
        <v>1291880.539</v>
      </c>
      <c r="AF46" s="58">
        <f>IFERROR(__xludf.DUMMYFUNCTION("""COMPUTED_VALUE"""),1000883.4461749967)</f>
        <v>1000883.446</v>
      </c>
      <c r="AG46" s="58">
        <f>IFERROR(__xludf.DUMMYFUNCTION("""COMPUTED_VALUE"""),4245757.49108214)</f>
        <v>4245757.491</v>
      </c>
      <c r="AH46" s="58">
        <f>IFERROR(__xludf.DUMMYFUNCTION("""COMPUTED_VALUE"""),983131.4427521051)</f>
        <v>983131.4428</v>
      </c>
      <c r="AI46" s="58">
        <f>IFERROR(__xludf.DUMMYFUNCTION("""COMPUTED_VALUE"""),1239014.3262945951)</f>
        <v>1239014.326</v>
      </c>
      <c r="AJ46" s="58">
        <f>IFERROR(__xludf.DUMMYFUNCTION("""COMPUTED_VALUE"""),1348141.6754199786)</f>
        <v>1348141.675</v>
      </c>
      <c r="AK46" s="58">
        <f>IFERROR(__xludf.DUMMYFUNCTION("""COMPUTED_VALUE"""),1031912.6336020502)</f>
        <v>1031912.634</v>
      </c>
      <c r="AL46" s="58">
        <f>IFERROR(__xludf.DUMMYFUNCTION("""COMPUTED_VALUE"""),4602200.078068729)</f>
        <v>4602200.078</v>
      </c>
      <c r="AM46" s="58">
        <f>IFERROR(__xludf.DUMMYFUNCTION("""COMPUTED_VALUE"""),992784.5902)</f>
        <v>992784.5902</v>
      </c>
      <c r="AN46" s="58">
        <f>IFERROR(__xludf.DUMMYFUNCTION("""COMPUTED_VALUE"""),1179252.7297)</f>
        <v>1179252.73</v>
      </c>
      <c r="AO46" s="58">
        <f>IFERROR(__xludf.DUMMYFUNCTION("""COMPUTED_VALUE"""),1301307.5412)</f>
        <v>1301307.541</v>
      </c>
      <c r="AP46" s="58">
        <f>IFERROR(__xludf.DUMMYFUNCTION("""COMPUTED_VALUE"""),1164519.2480000001)</f>
        <v>1164519.248</v>
      </c>
      <c r="AQ46" s="58">
        <f>IFERROR(__xludf.DUMMYFUNCTION("""COMPUTED_VALUE"""),4637864.109100001)</f>
        <v>4637864.109</v>
      </c>
      <c r="AR46" s="58">
        <f>IFERROR(__xludf.DUMMYFUNCTION("""COMPUTED_VALUE"""),1213766.20705375)</f>
        <v>1213766.207</v>
      </c>
      <c r="AS46" s="58">
        <f>IFERROR(__xludf.DUMMYFUNCTION("""COMPUTED_VALUE"""),1230520.6689778548)</f>
        <v>1230520.669</v>
      </c>
      <c r="AT46" s="58">
        <f>IFERROR(__xludf.DUMMYFUNCTION("""COMPUTED_VALUE"""),1305916.1111083)</f>
        <v>1305916.111</v>
      </c>
      <c r="AU46" s="58">
        <f>IFERROR(__xludf.DUMMYFUNCTION("""COMPUTED_VALUE"""),1313229.5486799204)</f>
        <v>1313229.549</v>
      </c>
      <c r="AV46" s="58">
        <f>IFERROR(__xludf.DUMMYFUNCTION("""COMPUTED_VALUE"""),5063432.535819825)</f>
        <v>5063432.536</v>
      </c>
      <c r="AW46" s="58">
        <f>IFERROR(__xludf.DUMMYFUNCTION("""COMPUTED_VALUE"""),1245737.12363818)</f>
        <v>1245737.124</v>
      </c>
      <c r="AX46" s="58">
        <f>IFERROR(__xludf.DUMMYFUNCTION("""COMPUTED_VALUE"""),1321590.9031948193)</f>
        <v>1321590.903</v>
      </c>
      <c r="AY46" s="58">
        <f>IFERROR(__xludf.DUMMYFUNCTION("""COMPUTED_VALUE"""),1391238.7437931863)</f>
        <v>1391238.744</v>
      </c>
      <c r="AZ46" s="58">
        <f>IFERROR(__xludf.DUMMYFUNCTION("""COMPUTED_VALUE"""),1456968.80705236)</f>
        <v>1456968.807</v>
      </c>
      <c r="BA46" s="58">
        <f>IFERROR(__xludf.DUMMYFUNCTION("""COMPUTED_VALUE"""),5415535.577678546)</f>
        <v>5415535.578</v>
      </c>
      <c r="BB46" s="58">
        <f>IFERROR(__xludf.DUMMYFUNCTION("""COMPUTED_VALUE"""),1325264.20741278)</f>
        <v>1325264.207</v>
      </c>
      <c r="BC46" s="58">
        <f>IFERROR(__xludf.DUMMYFUNCTION("""COMPUTED_VALUE"""),1445066.81444317)</f>
        <v>1445066.814</v>
      </c>
      <c r="BD46" s="58">
        <f>IFERROR(__xludf.DUMMYFUNCTION("""COMPUTED_VALUE"""),1527966.4803789007)</f>
        <v>1527966.48</v>
      </c>
      <c r="BE46" s="58">
        <f>IFERROR(__xludf.DUMMYFUNCTION("""COMPUTED_VALUE"""),1593563.3809669728)</f>
        <v>1593563.381</v>
      </c>
      <c r="BF46" s="58">
        <f>IFERROR(__xludf.DUMMYFUNCTION("""COMPUTED_VALUE"""),5891860.883201824)</f>
        <v>5891860.883</v>
      </c>
      <c r="BG46" s="58">
        <f>IFERROR(__xludf.DUMMYFUNCTION("""COMPUTED_VALUE"""),1445902.68565253)</f>
        <v>1445902.686</v>
      </c>
      <c r="BH46" s="58">
        <f>IFERROR(__xludf.DUMMYFUNCTION("""COMPUTED_VALUE"""),1583730.87892514)</f>
        <v>1583730.879</v>
      </c>
      <c r="BI46" s="58">
        <f>IFERROR(__xludf.DUMMYFUNCTION("""COMPUTED_VALUE"""),1618071.91544372)</f>
        <v>1618071.915</v>
      </c>
      <c r="BJ46" s="58">
        <f>IFERROR(__xludf.DUMMYFUNCTION("""COMPUTED_VALUE"""),1653076.47466732)</f>
        <v>1653076.475</v>
      </c>
      <c r="BK46" s="58">
        <f>IFERROR(__xludf.DUMMYFUNCTION("""COMPUTED_VALUE"""),6300781.95468871)</f>
        <v>6300781.955</v>
      </c>
      <c r="BL46" s="58">
        <f>IFERROR(__xludf.DUMMYFUNCTION("""COMPUTED_VALUE"""),1526644.5636438)</f>
        <v>1526644.564</v>
      </c>
      <c r="BM46" s="58">
        <f>IFERROR(__xludf.DUMMYFUNCTION("""COMPUTED_VALUE"""),1521348.60129987)</f>
        <v>1521348.601</v>
      </c>
      <c r="BN46" s="58">
        <f>IFERROR(__xludf.DUMMYFUNCTION("""COMPUTED_VALUE"""),1498028.94398159)</f>
        <v>1498028.944</v>
      </c>
      <c r="BO46" s="58">
        <f>IFERROR(__xludf.DUMMYFUNCTION("""COMPUTED_VALUE"""),1507706.93441581)</f>
        <v>1507706.934</v>
      </c>
      <c r="BP46" s="58">
        <f>IFERROR(__xludf.DUMMYFUNCTION("""COMPUTED_VALUE"""),6053729.0433410695)</f>
        <v>6053729.043</v>
      </c>
      <c r="BQ46" s="58">
        <f>IFERROR(__xludf.DUMMYFUNCTION("""COMPUTED_VALUE"""),1608842.75474721)</f>
        <v>1608842.755</v>
      </c>
      <c r="BR46" s="58">
        <f>IFERROR(__xludf.DUMMYFUNCTION("""COMPUTED_VALUE"""),1527468.35)</f>
        <v>1527468.35</v>
      </c>
      <c r="BS46" s="58">
        <f>IFERROR(__xludf.DUMMYFUNCTION("""COMPUTED_VALUE"""),1526169.13249786)</f>
        <v>1526169.132</v>
      </c>
      <c r="BT46" s="58">
        <f>IFERROR(__xludf.DUMMYFUNCTION("""COMPUTED_VALUE"""),1521605.28862791)</f>
        <v>1521605.289</v>
      </c>
      <c r="BU46" s="58">
        <f>IFERROR(__xludf.DUMMYFUNCTION("""COMPUTED_VALUE"""),6184085.525872979)</f>
        <v>6184085.526</v>
      </c>
      <c r="BV46" s="60">
        <f>IFERROR(__xludf.DUMMYFUNCTION("""COMPUTED_VALUE"""),1698433.89390608)</f>
        <v>1698433.894</v>
      </c>
      <c r="BW46" s="60">
        <f>IFERROR(__xludf.DUMMYFUNCTION("""COMPUTED_VALUE"""),1669616.5672909)</f>
        <v>1669616.567</v>
      </c>
      <c r="BX46" s="60">
        <f>IFERROR(__xludf.DUMMYFUNCTION("""COMPUTED_VALUE"""),1624131.86633005)</f>
        <v>1624131.866</v>
      </c>
      <c r="BY46" s="60">
        <f>IFERROR(__xludf.DUMMYFUNCTION("""COMPUTED_VALUE"""),1674246.22959658)</f>
        <v>1674246.23</v>
      </c>
      <c r="BZ46" s="60">
        <f>IFERROR(__xludf.DUMMYFUNCTION("""COMPUTED_VALUE"""),6666428.557123609)</f>
        <v>6666428.557</v>
      </c>
      <c r="CA46" s="60">
        <f>IFERROR(__xludf.DUMMYFUNCTION("""COMPUTED_VALUE"""),1791430.76924477)</f>
        <v>1791430.769</v>
      </c>
      <c r="CB46" s="60">
        <f>IFERROR(__xludf.DUMMYFUNCTION("""COMPUTED_VALUE"""),1698801.38986907)</f>
        <v>1698801.39</v>
      </c>
      <c r="CC46" s="60">
        <f>IFERROR(__xludf.DUMMYFUNCTION("""COMPUTED_VALUE"""),1678933.32027464)</f>
        <v>1678933.32</v>
      </c>
      <c r="CD46" s="60">
        <f>IFERROR(__xludf.DUMMYFUNCTION("""COMPUTED_VALUE"""),1679307.42544526)</f>
        <v>1679307.425</v>
      </c>
      <c r="CE46" s="60">
        <f>IFERROR(__xludf.DUMMYFUNCTION("""COMPUTED_VALUE"""),6848472.90483374)</f>
        <v>6848472.905</v>
      </c>
      <c r="CF46" s="60">
        <f>IFERROR(__xludf.DUMMYFUNCTION("""COMPUTED_VALUE"""),1852521.80823646)</f>
        <v>1852521.808</v>
      </c>
      <c r="CG46" s="60">
        <f>IFERROR(__xludf.DUMMYFUNCTION("""COMPUTED_VALUE"""),1891161.17483027)</f>
        <v>1891161.175</v>
      </c>
      <c r="CH46" s="60">
        <f>IFERROR(__xludf.DUMMYFUNCTION("""COMPUTED_VALUE"""),1897431.09821808)</f>
        <v>1897431.098</v>
      </c>
      <c r="CI46" s="60">
        <f>IFERROR(__xludf.DUMMYFUNCTION("""COMPUTED_VALUE"""),1875612.71002649)</f>
        <v>1875612.71</v>
      </c>
      <c r="CJ46" s="60">
        <f>IFERROR(__xludf.DUMMYFUNCTION("""COMPUTED_VALUE"""),7516726.791311299)</f>
        <v>7516726.791</v>
      </c>
      <c r="CK46" s="60">
        <f>IFERROR(__xludf.DUMMYFUNCTION("""COMPUTED_VALUE"""),1872578.26506589)</f>
        <v>1872578.265</v>
      </c>
      <c r="CL46" s="60">
        <f>IFERROR(__xludf.DUMMYFUNCTION("""COMPUTED_VALUE"""),2027746.52761084)</f>
        <v>2027746.528</v>
      </c>
      <c r="CM46" s="60">
        <f>IFERROR(__xludf.DUMMYFUNCTION("""COMPUTED_VALUE"""),2080323.12930784)</f>
        <v>2080323.129</v>
      </c>
      <c r="CN46" s="60">
        <f>IFERROR(__xludf.DUMMYFUNCTION("""COMPUTED_VALUE"""),1960782.87561618)</f>
        <v>1960782.876</v>
      </c>
      <c r="CO46" s="60">
        <f>IFERROR(__xludf.DUMMYFUNCTION("""COMPUTED_VALUE"""),7941430.79760075)</f>
        <v>7941430.798</v>
      </c>
      <c r="CP46" s="67">
        <f>IFERROR(__xludf.DUMMYFUNCTION("""COMPUTED_VALUE"""),1921401.8148632185)</f>
        <v>1921401.815</v>
      </c>
      <c r="CQ46" s="60">
        <f>IFERROR(__xludf.DUMMYFUNCTION("""COMPUTED_VALUE"""),0.0)</f>
        <v>0</v>
      </c>
      <c r="CR46" s="60">
        <f>IFERROR(__xludf.DUMMYFUNCTION("""COMPUTED_VALUE"""),0.0)</f>
        <v>0</v>
      </c>
      <c r="CS46" s="60">
        <f>IFERROR(__xludf.DUMMYFUNCTION("""COMPUTED_VALUE"""),0.0)</f>
        <v>0</v>
      </c>
      <c r="CT46" s="60">
        <f>IFERROR(__xludf.DUMMYFUNCTION("""COMPUTED_VALUE"""),1921401.8148632185)</f>
        <v>1921401.815</v>
      </c>
      <c r="CU46" s="60">
        <f>IFERROR(__xludf.DUMMYFUNCTION("""COMPUTED_VALUE"""),0.0)</f>
        <v>0</v>
      </c>
      <c r="CV46" s="60">
        <f>IFERROR(__xludf.DUMMYFUNCTION("""COMPUTED_VALUE"""),0.0)</f>
        <v>0</v>
      </c>
      <c r="CW46" s="60">
        <f>IFERROR(__xludf.DUMMYFUNCTION("""COMPUTED_VALUE"""),0.0)</f>
        <v>0</v>
      </c>
      <c r="CX46" s="60">
        <f>IFERROR(__xludf.DUMMYFUNCTION("""COMPUTED_VALUE"""),0.0)</f>
        <v>0</v>
      </c>
      <c r="CY46" s="60">
        <f>IFERROR(__xludf.DUMMYFUNCTION("""COMPUTED_VALUE"""),0.0)</f>
        <v>0</v>
      </c>
      <c r="CZ46" s="57"/>
      <c r="DA46" s="57"/>
    </row>
    <row r="47">
      <c r="A47" s="54"/>
      <c r="B47" s="55"/>
      <c r="C47" s="56" t="s">
        <v>37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8">
        <f>IFERROR(__xludf.DUMMYFUNCTION("""COMPUTED_VALUE"""),370240.3261597871)</f>
        <v>370240.3262</v>
      </c>
      <c r="O47" s="58">
        <f>IFERROR(__xludf.DUMMYFUNCTION("""COMPUTED_VALUE"""),369501.31766999635)</f>
        <v>369501.3177</v>
      </c>
      <c r="P47" s="58">
        <f>IFERROR(__xludf.DUMMYFUNCTION("""COMPUTED_VALUE"""),394232.7553894941)</f>
        <v>394232.7554</v>
      </c>
      <c r="Q47" s="58">
        <f>IFERROR(__xludf.DUMMYFUNCTION("""COMPUTED_VALUE"""),406320.8207807224)</f>
        <v>406320.8208</v>
      </c>
      <c r="R47" s="58">
        <f>IFERROR(__xludf.DUMMYFUNCTION("""COMPUTED_VALUE"""),1540295.22)</f>
        <v>1540295.22</v>
      </c>
      <c r="S47" s="58">
        <f>IFERROR(__xludf.DUMMYFUNCTION("""COMPUTED_VALUE"""),367196.41175525234)</f>
        <v>367196.4118</v>
      </c>
      <c r="T47" s="58">
        <f>IFERROR(__xludf.DUMMYFUNCTION("""COMPUTED_VALUE"""),382990.4019674379)</f>
        <v>382990.402</v>
      </c>
      <c r="U47" s="58">
        <f>IFERROR(__xludf.DUMMYFUNCTION("""COMPUTED_VALUE"""),402755.60105412354)</f>
        <v>402755.6011</v>
      </c>
      <c r="V47" s="58">
        <f>IFERROR(__xludf.DUMMYFUNCTION("""COMPUTED_VALUE"""),411278.826578487)</f>
        <v>411278.8266</v>
      </c>
      <c r="W47" s="58">
        <f>IFERROR(__xludf.DUMMYFUNCTION("""COMPUTED_VALUE"""),1564221.2413553006)</f>
        <v>1564221.241</v>
      </c>
      <c r="X47" s="58">
        <f>IFERROR(__xludf.DUMMYFUNCTION("""COMPUTED_VALUE"""),391615.6206979969)</f>
        <v>391615.6207</v>
      </c>
      <c r="Y47" s="58">
        <f>IFERROR(__xludf.DUMMYFUNCTION("""COMPUTED_VALUE"""),402267.55286932504)</f>
        <v>402267.5529</v>
      </c>
      <c r="Z47" s="58">
        <f>IFERROR(__xludf.DUMMYFUNCTION("""COMPUTED_VALUE"""),427087.4584821423)</f>
        <v>427087.4585</v>
      </c>
      <c r="AA47" s="58">
        <f>IFERROR(__xludf.DUMMYFUNCTION("""COMPUTED_VALUE"""),439387.5654166023)</f>
        <v>439387.5654</v>
      </c>
      <c r="AB47" s="58">
        <f>IFERROR(__xludf.DUMMYFUNCTION("""COMPUTED_VALUE"""),1660358.1974660666)</f>
        <v>1660358.197</v>
      </c>
      <c r="AC47" s="58">
        <f>IFERROR(__xludf.DUMMYFUNCTION("""COMPUTED_VALUE"""),419452.0816745915)</f>
        <v>419452.0817</v>
      </c>
      <c r="AD47" s="58">
        <f>IFERROR(__xludf.DUMMYFUNCTION("""COMPUTED_VALUE"""),423311.5583311262)</f>
        <v>423311.5583</v>
      </c>
      <c r="AE47" s="58">
        <f>IFERROR(__xludf.DUMMYFUNCTION("""COMPUTED_VALUE"""),447873.60999409045)</f>
        <v>447873.61</v>
      </c>
      <c r="AF47" s="58">
        <f>IFERROR(__xludf.DUMMYFUNCTION("""COMPUTED_VALUE"""),460271.5049873807)</f>
        <v>460271.505</v>
      </c>
      <c r="AG47" s="58">
        <f>IFERROR(__xludf.DUMMYFUNCTION("""COMPUTED_VALUE"""),1750908.7549871888)</f>
        <v>1750908.755</v>
      </c>
      <c r="AH47" s="58">
        <f>IFERROR(__xludf.DUMMYFUNCTION("""COMPUTED_VALUE"""),437778.2300875285)</f>
        <v>437778.2301</v>
      </c>
      <c r="AI47" s="58">
        <f>IFERROR(__xludf.DUMMYFUNCTION("""COMPUTED_VALUE"""),446344.96193328453)</f>
        <v>446344.9619</v>
      </c>
      <c r="AJ47" s="58">
        <f>IFERROR(__xludf.DUMMYFUNCTION("""COMPUTED_VALUE"""),470224.40601473465)</f>
        <v>470224.406</v>
      </c>
      <c r="AK47" s="58">
        <f>IFERROR(__xludf.DUMMYFUNCTION("""COMPUTED_VALUE"""),467497.1044803092)</f>
        <v>467497.1045</v>
      </c>
      <c r="AL47" s="58">
        <f>IFERROR(__xludf.DUMMYFUNCTION("""COMPUTED_VALUE"""),1821844.7025158568)</f>
        <v>1821844.703</v>
      </c>
      <c r="AM47" s="58">
        <f>IFERROR(__xludf.DUMMYFUNCTION("""COMPUTED_VALUE"""),445197.4926)</f>
        <v>445197.4926</v>
      </c>
      <c r="AN47" s="58">
        <f>IFERROR(__xludf.DUMMYFUNCTION("""COMPUTED_VALUE"""),452365.1722)</f>
        <v>452365.1722</v>
      </c>
      <c r="AO47" s="58">
        <f>IFERROR(__xludf.DUMMYFUNCTION("""COMPUTED_VALUE"""),476123.937)</f>
        <v>476123.937</v>
      </c>
      <c r="AP47" s="58">
        <f>IFERROR(__xludf.DUMMYFUNCTION("""COMPUTED_VALUE"""),471219.8604)</f>
        <v>471219.8604</v>
      </c>
      <c r="AQ47" s="58">
        <f>IFERROR(__xludf.DUMMYFUNCTION("""COMPUTED_VALUE"""),1844906.4622)</f>
        <v>1844906.462</v>
      </c>
      <c r="AR47" s="58">
        <f>IFERROR(__xludf.DUMMYFUNCTION("""COMPUTED_VALUE"""),464782.523692349)</f>
        <v>464782.5237</v>
      </c>
      <c r="AS47" s="58">
        <f>IFERROR(__xludf.DUMMYFUNCTION("""COMPUTED_VALUE"""),479125.4539888252)</f>
        <v>479125.454</v>
      </c>
      <c r="AT47" s="58">
        <f>IFERROR(__xludf.DUMMYFUNCTION("""COMPUTED_VALUE"""),523649.23847496253)</f>
        <v>523649.2385</v>
      </c>
      <c r="AU47" s="58">
        <f>IFERROR(__xludf.DUMMYFUNCTION("""COMPUTED_VALUE"""),473786.8474692198)</f>
        <v>473786.8475</v>
      </c>
      <c r="AV47" s="58">
        <f>IFERROR(__xludf.DUMMYFUNCTION("""COMPUTED_VALUE"""),1941344.0636253566)</f>
        <v>1941344.064</v>
      </c>
      <c r="AW47" s="58">
        <f>IFERROR(__xludf.DUMMYFUNCTION("""COMPUTED_VALUE"""),466507.52614981175)</f>
        <v>466507.5261</v>
      </c>
      <c r="AX47" s="58">
        <f>IFERROR(__xludf.DUMMYFUNCTION("""COMPUTED_VALUE"""),508958.7705886422)</f>
        <v>508958.7706</v>
      </c>
      <c r="AY47" s="58">
        <f>IFERROR(__xludf.DUMMYFUNCTION("""COMPUTED_VALUE"""),542244.6741851394)</f>
        <v>542244.6742</v>
      </c>
      <c r="AZ47" s="58">
        <f>IFERROR(__xludf.DUMMYFUNCTION("""COMPUTED_VALUE"""),551896.6293856348)</f>
        <v>551896.6294</v>
      </c>
      <c r="BA47" s="58">
        <f>IFERROR(__xludf.DUMMYFUNCTION("""COMPUTED_VALUE"""),2069607.600309228)</f>
        <v>2069607.6</v>
      </c>
      <c r="BB47" s="58">
        <f>IFERROR(__xludf.DUMMYFUNCTION("""COMPUTED_VALUE"""),508178.60450489336)</f>
        <v>508178.6045</v>
      </c>
      <c r="BC47" s="58">
        <f>IFERROR(__xludf.DUMMYFUNCTION("""COMPUTED_VALUE"""),537108.8121990401)</f>
        <v>537108.8122</v>
      </c>
      <c r="BD47" s="58">
        <f>IFERROR(__xludf.DUMMYFUNCTION("""COMPUTED_VALUE"""),550601.7284427712)</f>
        <v>550601.7284</v>
      </c>
      <c r="BE47" s="58">
        <f>IFERROR(__xludf.DUMMYFUNCTION("""COMPUTED_VALUE"""),568389.4756678727)</f>
        <v>568389.4757</v>
      </c>
      <c r="BF47" s="58">
        <f>IFERROR(__xludf.DUMMYFUNCTION("""COMPUTED_VALUE"""),2164278.6208145777)</f>
        <v>2164278.621</v>
      </c>
      <c r="BG47" s="58">
        <f>IFERROR(__xludf.DUMMYFUNCTION("""COMPUTED_VALUE"""),539939.806711738)</f>
        <v>539939.8067</v>
      </c>
      <c r="BH47" s="58">
        <f>IFERROR(__xludf.DUMMYFUNCTION("""COMPUTED_VALUE"""),574358.74183178)</f>
        <v>574358.7418</v>
      </c>
      <c r="BI47" s="58">
        <f>IFERROR(__xludf.DUMMYFUNCTION("""COMPUTED_VALUE"""),605065.127728845)</f>
        <v>605065.1277</v>
      </c>
      <c r="BJ47" s="58">
        <f>IFERROR(__xludf.DUMMYFUNCTION("""COMPUTED_VALUE"""),585365.138298897)</f>
        <v>585365.1383</v>
      </c>
      <c r="BK47" s="58">
        <f>IFERROR(__xludf.DUMMYFUNCTION("""COMPUTED_VALUE"""),2304728.81457126)</f>
        <v>2304728.815</v>
      </c>
      <c r="BL47" s="58">
        <f>IFERROR(__xludf.DUMMYFUNCTION("""COMPUTED_VALUE"""),572567.211481546)</f>
        <v>572567.2115</v>
      </c>
      <c r="BM47" s="58">
        <f>IFERROR(__xludf.DUMMYFUNCTION("""COMPUTED_VALUE"""),565700.638764201)</f>
        <v>565700.6388</v>
      </c>
      <c r="BN47" s="58">
        <f>IFERROR(__xludf.DUMMYFUNCTION("""COMPUTED_VALUE"""),597485.364220024)</f>
        <v>597485.3642</v>
      </c>
      <c r="BO47" s="58">
        <f>IFERROR(__xludf.DUMMYFUNCTION("""COMPUTED_VALUE"""),584257.277063974)</f>
        <v>584257.2771</v>
      </c>
      <c r="BP47" s="58">
        <f>IFERROR(__xludf.DUMMYFUNCTION("""COMPUTED_VALUE"""),2320010.491529745)</f>
        <v>2320010.492</v>
      </c>
      <c r="BQ47" s="58">
        <f>IFERROR(__xludf.DUMMYFUNCTION("""COMPUTED_VALUE"""),576492.995624174)</f>
        <v>576492.9956</v>
      </c>
      <c r="BR47" s="58">
        <f>IFERROR(__xludf.DUMMYFUNCTION("""COMPUTED_VALUE"""),610694.519326618)</f>
        <v>610694.5193</v>
      </c>
      <c r="BS47" s="58">
        <f>IFERROR(__xludf.DUMMYFUNCTION("""COMPUTED_VALUE"""),597194.519326618)</f>
        <v>597194.5193</v>
      </c>
      <c r="BT47" s="58">
        <f>IFERROR(__xludf.DUMMYFUNCTION("""COMPUTED_VALUE"""),612954.791599768)</f>
        <v>612954.7916</v>
      </c>
      <c r="BU47" s="58">
        <f>IFERROR(__xludf.DUMMYFUNCTION("""COMPUTED_VALUE"""),2397336.8258771785)</f>
        <v>2397336.826</v>
      </c>
      <c r="BV47" s="60">
        <f>IFERROR(__xludf.DUMMYFUNCTION("""COMPUTED_VALUE"""),614022.93901869)</f>
        <v>614022.939</v>
      </c>
      <c r="BW47" s="60">
        <f>IFERROR(__xludf.DUMMYFUNCTION("""COMPUTED_VALUE"""),608417.420738083)</f>
        <v>608417.4207</v>
      </c>
      <c r="BX47" s="60">
        <f>IFERROR(__xludf.DUMMYFUNCTION("""COMPUTED_VALUE"""),638570.863756657)</f>
        <v>638570.8638</v>
      </c>
      <c r="BY47" s="60">
        <f>IFERROR(__xludf.DUMMYFUNCTION("""COMPUTED_VALUE"""),609577.474431656)</f>
        <v>609577.4744</v>
      </c>
      <c r="BZ47" s="60">
        <f>IFERROR(__xludf.DUMMYFUNCTION("""COMPUTED_VALUE"""),2470588.697945086)</f>
        <v>2470588.698</v>
      </c>
      <c r="CA47" s="60">
        <f>IFERROR(__xludf.DUMMYFUNCTION("""COMPUTED_VALUE"""),637767.690829)</f>
        <v>637767.6908</v>
      </c>
      <c r="CB47" s="60">
        <f>IFERROR(__xludf.DUMMYFUNCTION("""COMPUTED_VALUE"""),701812.134198771)</f>
        <v>701812.1342</v>
      </c>
      <c r="CC47" s="60">
        <f>IFERROR(__xludf.DUMMYFUNCTION("""COMPUTED_VALUE"""),665494.062584482)</f>
        <v>665494.0626</v>
      </c>
      <c r="CD47" s="60">
        <f>IFERROR(__xludf.DUMMYFUNCTION("""COMPUTED_VALUE"""),652061.972629356)</f>
        <v>652061.9726</v>
      </c>
      <c r="CE47" s="60">
        <f>IFERROR(__xludf.DUMMYFUNCTION("""COMPUTED_VALUE"""),2657135.8602416087)</f>
        <v>2657135.86</v>
      </c>
      <c r="CF47" s="60">
        <f>IFERROR(__xludf.DUMMYFUNCTION("""COMPUTED_VALUE"""),639270.130986216)</f>
        <v>639270.131</v>
      </c>
      <c r="CG47" s="60">
        <f>IFERROR(__xludf.DUMMYFUNCTION("""COMPUTED_VALUE"""),699299.423615159)</f>
        <v>699299.4236</v>
      </c>
      <c r="CH47" s="60">
        <f>IFERROR(__xludf.DUMMYFUNCTION("""COMPUTED_VALUE"""),660893.903954399)</f>
        <v>660893.904</v>
      </c>
      <c r="CI47" s="60">
        <f>IFERROR(__xludf.DUMMYFUNCTION("""COMPUTED_VALUE"""),668914.552991284)</f>
        <v>668914.553</v>
      </c>
      <c r="CJ47" s="60">
        <f>IFERROR(__xludf.DUMMYFUNCTION("""COMPUTED_VALUE"""),2668378.011547058)</f>
        <v>2668378.012</v>
      </c>
      <c r="CK47" s="60">
        <f>IFERROR(__xludf.DUMMYFUNCTION("""COMPUTED_VALUE"""),699847.1350361)</f>
        <v>699847.135</v>
      </c>
      <c r="CL47" s="60">
        <f>IFERROR(__xludf.DUMMYFUNCTION("""COMPUTED_VALUE"""),778627.82010864)</f>
        <v>778627.8201</v>
      </c>
      <c r="CM47" s="60">
        <f>IFERROR(__xludf.DUMMYFUNCTION("""COMPUTED_VALUE"""),717711.585831126)</f>
        <v>717711.5858</v>
      </c>
      <c r="CN47" s="60">
        <f>IFERROR(__xludf.DUMMYFUNCTION("""COMPUTED_VALUE"""),734328.925633531)</f>
        <v>734328.9256</v>
      </c>
      <c r="CO47" s="60">
        <f>IFERROR(__xludf.DUMMYFUNCTION("""COMPUTED_VALUE"""),2930515.466609397)</f>
        <v>2930515.467</v>
      </c>
      <c r="CP47" s="67">
        <f>IFERROR(__xludf.DUMMYFUNCTION("""COMPUTED_VALUE"""),778680.771367886)</f>
        <v>778680.7714</v>
      </c>
      <c r="CQ47" s="60">
        <f>IFERROR(__xludf.DUMMYFUNCTION("""COMPUTED_VALUE"""),0.0)</f>
        <v>0</v>
      </c>
      <c r="CR47" s="60">
        <f>IFERROR(__xludf.DUMMYFUNCTION("""COMPUTED_VALUE"""),0.0)</f>
        <v>0</v>
      </c>
      <c r="CS47" s="60">
        <f>IFERROR(__xludf.DUMMYFUNCTION("""COMPUTED_VALUE"""),0.0)</f>
        <v>0</v>
      </c>
      <c r="CT47" s="60">
        <f>IFERROR(__xludf.DUMMYFUNCTION("""COMPUTED_VALUE"""),778680.771367886)</f>
        <v>778680.7714</v>
      </c>
      <c r="CU47" s="60">
        <f>IFERROR(__xludf.DUMMYFUNCTION("""COMPUTED_VALUE"""),0.0)</f>
        <v>0</v>
      </c>
      <c r="CV47" s="60">
        <f>IFERROR(__xludf.DUMMYFUNCTION("""COMPUTED_VALUE"""),0.0)</f>
        <v>0</v>
      </c>
      <c r="CW47" s="60">
        <f>IFERROR(__xludf.DUMMYFUNCTION("""COMPUTED_VALUE"""),0.0)</f>
        <v>0</v>
      </c>
      <c r="CX47" s="60">
        <f>IFERROR(__xludf.DUMMYFUNCTION("""COMPUTED_VALUE"""),0.0)</f>
        <v>0</v>
      </c>
      <c r="CY47" s="60">
        <f>IFERROR(__xludf.DUMMYFUNCTION("""COMPUTED_VALUE"""),0.0)</f>
        <v>0</v>
      </c>
      <c r="CZ47" s="57"/>
      <c r="DA47" s="57"/>
    </row>
    <row r="50">
      <c r="A50" s="62" t="s">
        <v>44</v>
      </c>
      <c r="B50" s="52" t="s">
        <v>39</v>
      </c>
      <c r="C50" s="53"/>
    </row>
    <row r="51">
      <c r="A51" s="54"/>
      <c r="B51" s="55"/>
      <c r="C51" s="56" t="s">
        <v>32</v>
      </c>
      <c r="AV51" s="63">
        <v>0.111800616732603</v>
      </c>
      <c r="AW51" s="63">
        <v>0.111800616732603</v>
      </c>
      <c r="AX51" s="63">
        <v>0.111800616732603</v>
      </c>
      <c r="AY51" s="63">
        <v>0.111800616732603</v>
      </c>
      <c r="AZ51" s="63">
        <v>0.111800616732603</v>
      </c>
      <c r="BA51" s="63">
        <v>0.111800616732603</v>
      </c>
      <c r="BB51" s="63">
        <v>0.111800616732603</v>
      </c>
      <c r="BC51" s="63">
        <v>0.111800616732603</v>
      </c>
      <c r="BD51" s="63">
        <v>0.111800616732603</v>
      </c>
      <c r="BE51" s="63">
        <v>0.111800616732603</v>
      </c>
      <c r="BF51" s="63">
        <v>0.111800616732603</v>
      </c>
      <c r="BG51" s="63">
        <v>0.111800616732603</v>
      </c>
      <c r="BH51" s="63">
        <v>0.111800616732603</v>
      </c>
      <c r="BI51" s="63">
        <v>0.111800616732603</v>
      </c>
      <c r="BJ51" s="63">
        <v>0.111800616732603</v>
      </c>
      <c r="BK51" s="63">
        <v>0.111800616732603</v>
      </c>
      <c r="BL51" s="63">
        <v>0.111800616732603</v>
      </c>
      <c r="BM51" s="63">
        <v>0.111800616732603</v>
      </c>
      <c r="BN51" s="63">
        <v>0.111800616732603</v>
      </c>
      <c r="BO51" s="63">
        <v>0.111800616732603</v>
      </c>
      <c r="BP51" s="63">
        <v>0.111800616732603</v>
      </c>
      <c r="BQ51" s="63">
        <v>0.111800616732603</v>
      </c>
      <c r="BR51" s="63">
        <v>0.111800616732603</v>
      </c>
      <c r="BS51" s="63">
        <v>0.111800616732603</v>
      </c>
      <c r="BT51" s="63">
        <v>0.111800616732603</v>
      </c>
      <c r="BU51" s="63">
        <v>0.111800616732603</v>
      </c>
      <c r="BV51" s="63">
        <v>0.111800616732603</v>
      </c>
      <c r="BW51" s="63">
        <v>0.111800616732603</v>
      </c>
      <c r="BX51" s="63">
        <v>0.111800616732603</v>
      </c>
      <c r="BY51" s="63">
        <v>0.111800616732603</v>
      </c>
      <c r="BZ51" s="63"/>
      <c r="CA51" s="63">
        <v>0.111800616732603</v>
      </c>
      <c r="CB51" s="63">
        <v>0.111800616732603</v>
      </c>
      <c r="CC51" s="63">
        <v>0.111800616732603</v>
      </c>
      <c r="CD51" s="63">
        <v>0.111800616732603</v>
      </c>
      <c r="CE51" s="63">
        <v>0.111800616732603</v>
      </c>
      <c r="CF51" s="63">
        <v>0.111800616732603</v>
      </c>
      <c r="CG51" s="63">
        <v>0.111800616732603</v>
      </c>
      <c r="CH51" s="63">
        <v>0.111800616732603</v>
      </c>
      <c r="CI51" s="63">
        <v>0.111800616732603</v>
      </c>
      <c r="CJ51" s="63">
        <v>0.111800616732603</v>
      </c>
      <c r="CK51" s="63">
        <v>0.111800616732603</v>
      </c>
      <c r="CL51" s="63">
        <v>0.111800616732603</v>
      </c>
      <c r="CM51" s="63">
        <v>0.111800616732603</v>
      </c>
      <c r="CN51" s="63">
        <v>0.111800616732603</v>
      </c>
      <c r="CO51" s="63">
        <v>0.111800616732603</v>
      </c>
      <c r="CP51" s="63">
        <v>0.111800616732603</v>
      </c>
      <c r="CQ51" s="63">
        <v>0.111800616732603</v>
      </c>
      <c r="CR51" s="63">
        <v>0.111800616732603</v>
      </c>
      <c r="CS51" s="63">
        <v>0.111800616732603</v>
      </c>
      <c r="CT51" s="63">
        <v>0.111800616732603</v>
      </c>
    </row>
    <row r="52">
      <c r="A52" s="54"/>
      <c r="B52" s="55"/>
      <c r="C52" s="56" t="s">
        <v>33</v>
      </c>
      <c r="AV52" s="63">
        <v>0.0607192583097326</v>
      </c>
      <c r="AW52" s="63">
        <v>0.0607192583097326</v>
      </c>
      <c r="AX52" s="63">
        <v>0.0607192583097326</v>
      </c>
      <c r="AY52" s="63">
        <v>0.0607192583097326</v>
      </c>
      <c r="AZ52" s="63">
        <v>0.0607192583097326</v>
      </c>
      <c r="BA52" s="63">
        <v>0.0607192583097326</v>
      </c>
      <c r="BB52" s="63">
        <v>0.0607192583097326</v>
      </c>
      <c r="BC52" s="63">
        <v>0.0607192583097326</v>
      </c>
      <c r="BD52" s="63">
        <v>0.0607192583097326</v>
      </c>
      <c r="BE52" s="63">
        <v>0.0607192583097326</v>
      </c>
      <c r="BF52" s="63">
        <v>0.0607192583097326</v>
      </c>
      <c r="BG52" s="63">
        <v>0.0607192583097326</v>
      </c>
      <c r="BH52" s="63">
        <v>0.0607192583097326</v>
      </c>
      <c r="BI52" s="63">
        <v>0.0607192583097326</v>
      </c>
      <c r="BJ52" s="63">
        <v>0.0607192583097326</v>
      </c>
      <c r="BK52" s="63">
        <v>0.0607192583097326</v>
      </c>
      <c r="BL52" s="63">
        <v>0.0607192583097326</v>
      </c>
      <c r="BM52" s="63">
        <v>0.0607192583097326</v>
      </c>
      <c r="BN52" s="63">
        <v>0.0607192583097326</v>
      </c>
      <c r="BO52" s="63">
        <v>0.0607192583097326</v>
      </c>
      <c r="BP52" s="63">
        <v>0.0607192583097326</v>
      </c>
      <c r="BQ52" s="63">
        <v>0.0607192583097326</v>
      </c>
      <c r="BR52" s="63">
        <v>0.0607192583097326</v>
      </c>
      <c r="BS52" s="63">
        <v>0.0607192583097326</v>
      </c>
      <c r="BT52" s="63">
        <v>0.0607192583097326</v>
      </c>
      <c r="BU52" s="63">
        <v>0.0607192583097326</v>
      </c>
      <c r="BV52" s="63">
        <v>0.0607192583097326</v>
      </c>
      <c r="BW52" s="63">
        <v>0.0607192583097326</v>
      </c>
      <c r="BX52" s="63">
        <v>0.0607192583097326</v>
      </c>
      <c r="BY52" s="63">
        <v>0.0607192583097326</v>
      </c>
      <c r="BZ52" s="63"/>
      <c r="CA52" s="63">
        <v>0.0607192583097326</v>
      </c>
      <c r="CB52" s="63">
        <v>0.0607192583097326</v>
      </c>
      <c r="CC52" s="63">
        <v>0.0607192583097326</v>
      </c>
      <c r="CD52" s="63">
        <v>0.0607192583097326</v>
      </c>
      <c r="CE52" s="63">
        <v>0.0607192583097326</v>
      </c>
      <c r="CF52" s="63">
        <v>0.0607192583097326</v>
      </c>
      <c r="CG52" s="63">
        <v>0.0607192583097326</v>
      </c>
      <c r="CH52" s="63">
        <v>0.0607192583097326</v>
      </c>
      <c r="CI52" s="63">
        <v>0.0607192583097326</v>
      </c>
      <c r="CJ52" s="63">
        <v>0.0607192583097326</v>
      </c>
      <c r="CK52" s="63">
        <v>0.0607192583097326</v>
      </c>
      <c r="CL52" s="63">
        <v>0.0607192583097326</v>
      </c>
      <c r="CM52" s="63">
        <v>0.0607192583097326</v>
      </c>
      <c r="CN52" s="63">
        <v>0.0607192583097326</v>
      </c>
      <c r="CO52" s="63">
        <v>0.0607192583097326</v>
      </c>
      <c r="CP52" s="63">
        <v>0.0607192583097326</v>
      </c>
      <c r="CQ52" s="63">
        <v>0.0607192583097326</v>
      </c>
      <c r="CR52" s="63">
        <v>0.0607192583097326</v>
      </c>
      <c r="CS52" s="63">
        <v>0.0607192583097326</v>
      </c>
      <c r="CT52" s="63">
        <v>0.0607192583097326</v>
      </c>
    </row>
    <row r="53">
      <c r="A53" s="54"/>
      <c r="B53" s="55"/>
      <c r="C53" s="56" t="s">
        <v>34</v>
      </c>
      <c r="AV53" s="63">
        <v>0.185791061498678</v>
      </c>
      <c r="AW53" s="63">
        <v>0.185791061498678</v>
      </c>
      <c r="AX53" s="63">
        <v>0.185791061498678</v>
      </c>
      <c r="AY53" s="63">
        <v>0.185791061498678</v>
      </c>
      <c r="AZ53" s="63">
        <v>0.185791061498678</v>
      </c>
      <c r="BA53" s="63">
        <v>0.185791061498678</v>
      </c>
      <c r="BB53" s="63">
        <v>0.185791061498678</v>
      </c>
      <c r="BC53" s="63">
        <v>0.185791061498678</v>
      </c>
      <c r="BD53" s="63">
        <v>0.185791061498678</v>
      </c>
      <c r="BE53" s="63">
        <v>0.185791061498678</v>
      </c>
      <c r="BF53" s="63">
        <v>0.185791061498678</v>
      </c>
      <c r="BG53" s="63">
        <v>0.185791061498678</v>
      </c>
      <c r="BH53" s="63">
        <v>0.185791061498678</v>
      </c>
      <c r="BI53" s="63">
        <v>0.185791061498678</v>
      </c>
      <c r="BJ53" s="63">
        <v>0.185791061498678</v>
      </c>
      <c r="BK53" s="63">
        <v>0.185791061498678</v>
      </c>
      <c r="BL53" s="63">
        <v>0.185791061498678</v>
      </c>
      <c r="BM53" s="63">
        <v>0.185791061498678</v>
      </c>
      <c r="BN53" s="63">
        <v>0.185791061498678</v>
      </c>
      <c r="BO53" s="63">
        <v>0.185791061498678</v>
      </c>
      <c r="BP53" s="63">
        <v>0.185791061498678</v>
      </c>
      <c r="BQ53" s="63">
        <v>0.185791061498678</v>
      </c>
      <c r="BR53" s="63">
        <v>0.185791061498678</v>
      </c>
      <c r="BS53" s="63">
        <v>0.185791061498678</v>
      </c>
      <c r="BT53" s="63">
        <v>0.185791061498678</v>
      </c>
      <c r="BU53" s="63">
        <v>0.185791061498678</v>
      </c>
      <c r="BV53" s="63">
        <v>0.185791061498678</v>
      </c>
      <c r="BW53" s="63">
        <v>0.185791061498678</v>
      </c>
      <c r="BX53" s="63">
        <v>0.185791061498678</v>
      </c>
      <c r="BY53" s="63">
        <v>0.185791061498678</v>
      </c>
      <c r="BZ53" s="63"/>
      <c r="CA53" s="63">
        <v>0.185791061498678</v>
      </c>
      <c r="CB53" s="63">
        <v>0.185791061498678</v>
      </c>
      <c r="CC53" s="63">
        <v>0.185791061498678</v>
      </c>
      <c r="CD53" s="63">
        <v>0.185791061498678</v>
      </c>
      <c r="CE53" s="63">
        <v>0.185791061498678</v>
      </c>
      <c r="CF53" s="63">
        <v>0.185791061498678</v>
      </c>
      <c r="CG53" s="63">
        <v>0.185791061498678</v>
      </c>
      <c r="CH53" s="63">
        <v>0.185791061498678</v>
      </c>
      <c r="CI53" s="63">
        <v>0.185791061498678</v>
      </c>
      <c r="CJ53" s="63">
        <v>0.185791061498678</v>
      </c>
      <c r="CK53" s="63">
        <v>0.185791061498678</v>
      </c>
      <c r="CL53" s="63">
        <v>0.185791061498678</v>
      </c>
      <c r="CM53" s="63">
        <v>0.185791061498678</v>
      </c>
      <c r="CN53" s="63">
        <v>0.185791061498678</v>
      </c>
      <c r="CO53" s="63">
        <v>0.185791061498678</v>
      </c>
      <c r="CP53" s="63">
        <v>0.185791061498678</v>
      </c>
      <c r="CQ53" s="63">
        <v>0.185791061498678</v>
      </c>
      <c r="CR53" s="63">
        <v>0.185791061498678</v>
      </c>
      <c r="CS53" s="63">
        <v>0.185791061498678</v>
      </c>
      <c r="CT53" s="63">
        <v>0.185791061498678</v>
      </c>
    </row>
    <row r="54">
      <c r="A54" s="54"/>
      <c r="B54" s="55"/>
      <c r="C54" s="56" t="s">
        <v>35</v>
      </c>
      <c r="AV54" s="63">
        <v>0.0607192583097326</v>
      </c>
      <c r="AW54" s="63">
        <v>0.0607192583097326</v>
      </c>
      <c r="AX54" s="63">
        <v>0.0607192583097326</v>
      </c>
      <c r="AY54" s="63">
        <v>0.0607192583097326</v>
      </c>
      <c r="AZ54" s="63">
        <v>0.0607192583097326</v>
      </c>
      <c r="BA54" s="63">
        <v>0.0607192583097326</v>
      </c>
      <c r="BB54" s="63">
        <v>0.0607192583097326</v>
      </c>
      <c r="BC54" s="63">
        <v>0.0607192583097326</v>
      </c>
      <c r="BD54" s="63">
        <v>0.0607192583097326</v>
      </c>
      <c r="BE54" s="63">
        <v>0.0607192583097326</v>
      </c>
      <c r="BF54" s="63">
        <v>0.0607192583097326</v>
      </c>
      <c r="BG54" s="63">
        <v>0.0607192583097326</v>
      </c>
      <c r="BH54" s="63">
        <v>0.0607192583097326</v>
      </c>
      <c r="BI54" s="63">
        <v>0.0607192583097326</v>
      </c>
      <c r="BJ54" s="63">
        <v>0.0607192583097326</v>
      </c>
      <c r="BK54" s="63">
        <v>0.0607192583097326</v>
      </c>
      <c r="BL54" s="63">
        <v>0.0607192583097326</v>
      </c>
      <c r="BM54" s="63">
        <v>0.0607192583097326</v>
      </c>
      <c r="BN54" s="63">
        <v>0.0607192583097326</v>
      </c>
      <c r="BO54" s="63">
        <v>0.0607192583097326</v>
      </c>
      <c r="BP54" s="63">
        <v>0.0607192583097326</v>
      </c>
      <c r="BQ54" s="63">
        <v>0.0607192583097326</v>
      </c>
      <c r="BR54" s="63">
        <v>0.0607192583097326</v>
      </c>
      <c r="BS54" s="63">
        <v>0.0607192583097326</v>
      </c>
      <c r="BT54" s="63">
        <v>0.0607192583097326</v>
      </c>
      <c r="BU54" s="63">
        <v>0.0607192583097326</v>
      </c>
      <c r="BV54" s="63">
        <v>0.0607192583097326</v>
      </c>
      <c r="BW54" s="63">
        <v>0.0607192583097326</v>
      </c>
      <c r="BX54" s="63">
        <v>0.0607192583097326</v>
      </c>
      <c r="BY54" s="63">
        <v>0.0607192583097326</v>
      </c>
      <c r="BZ54" s="63"/>
      <c r="CA54" s="63">
        <v>0.0607192583097326</v>
      </c>
      <c r="CB54" s="63">
        <v>0.0607192583097326</v>
      </c>
      <c r="CC54" s="63">
        <v>0.0607192583097326</v>
      </c>
      <c r="CD54" s="63">
        <v>0.0607192583097326</v>
      </c>
      <c r="CE54" s="63">
        <v>0.0607192583097326</v>
      </c>
      <c r="CF54" s="63">
        <v>0.0607192583097326</v>
      </c>
      <c r="CG54" s="63">
        <v>0.0607192583097326</v>
      </c>
      <c r="CH54" s="63">
        <v>0.0607192583097326</v>
      </c>
      <c r="CI54" s="63">
        <v>0.0607192583097326</v>
      </c>
      <c r="CJ54" s="63">
        <v>0.0607192583097326</v>
      </c>
      <c r="CK54" s="63">
        <v>0.0607192583097326</v>
      </c>
      <c r="CL54" s="63">
        <v>0.0607192583097326</v>
      </c>
      <c r="CM54" s="63">
        <v>0.0607192583097326</v>
      </c>
      <c r="CN54" s="63">
        <v>0.0607192583097326</v>
      </c>
      <c r="CO54" s="63">
        <v>0.0607192583097326</v>
      </c>
      <c r="CP54" s="63">
        <v>0.0607192583097326</v>
      </c>
      <c r="CQ54" s="63">
        <v>0.0607192583097326</v>
      </c>
      <c r="CR54" s="63">
        <v>0.0607192583097326</v>
      </c>
      <c r="CS54" s="63">
        <v>0.0607192583097326</v>
      </c>
      <c r="CT54" s="63">
        <v>0.0607192583097326</v>
      </c>
    </row>
    <row r="55">
      <c r="A55" s="54"/>
      <c r="B55" s="55"/>
      <c r="C55" s="56" t="s">
        <v>36</v>
      </c>
      <c r="AV55" s="63">
        <v>0.185791061498678</v>
      </c>
      <c r="AW55" s="63">
        <v>0.185791061498678</v>
      </c>
      <c r="AX55" s="63">
        <v>0.185791061498678</v>
      </c>
      <c r="AY55" s="63">
        <v>0.185791061498678</v>
      </c>
      <c r="AZ55" s="63">
        <v>0.185791061498678</v>
      </c>
      <c r="BA55" s="63">
        <v>0.185791061498678</v>
      </c>
      <c r="BB55" s="63">
        <v>0.185791061498678</v>
      </c>
      <c r="BC55" s="63">
        <v>0.185791061498678</v>
      </c>
      <c r="BD55" s="63">
        <v>0.185791061498678</v>
      </c>
      <c r="BE55" s="63">
        <v>0.185791061498678</v>
      </c>
      <c r="BF55" s="63">
        <v>0.185791061498678</v>
      </c>
      <c r="BG55" s="63">
        <v>0.185791061498678</v>
      </c>
      <c r="BH55" s="63">
        <v>0.185791061498678</v>
      </c>
      <c r="BI55" s="63">
        <v>0.185791061498678</v>
      </c>
      <c r="BJ55" s="63">
        <v>0.185791061498678</v>
      </c>
      <c r="BK55" s="63">
        <v>0.185791061498678</v>
      </c>
      <c r="BL55" s="63">
        <v>0.185791061498678</v>
      </c>
      <c r="BM55" s="63">
        <v>0.185791061498678</v>
      </c>
      <c r="BN55" s="63">
        <v>0.185791061498678</v>
      </c>
      <c r="BO55" s="63">
        <v>0.185791061498678</v>
      </c>
      <c r="BP55" s="63">
        <v>0.185791061498678</v>
      </c>
      <c r="BQ55" s="63">
        <v>0.185791061498678</v>
      </c>
      <c r="BR55" s="63">
        <v>0.185791061498678</v>
      </c>
      <c r="BS55" s="63">
        <v>0.185791061498678</v>
      </c>
      <c r="BT55" s="63">
        <v>0.185791061498678</v>
      </c>
      <c r="BU55" s="63">
        <v>0.185791061498678</v>
      </c>
      <c r="BV55" s="63">
        <v>0.185791061498678</v>
      </c>
      <c r="BW55" s="63">
        <v>0.185791061498678</v>
      </c>
      <c r="BX55" s="63">
        <v>0.185791061498678</v>
      </c>
      <c r="BY55" s="63">
        <v>0.185791061498678</v>
      </c>
      <c r="BZ55" s="63"/>
      <c r="CA55" s="63">
        <v>0.185791061498678</v>
      </c>
      <c r="CB55" s="63">
        <v>0.185791061498678</v>
      </c>
      <c r="CC55" s="63">
        <v>0.185791061498678</v>
      </c>
      <c r="CD55" s="63">
        <v>0.185791061498678</v>
      </c>
      <c r="CE55" s="63">
        <v>0.185791061498678</v>
      </c>
      <c r="CF55" s="63">
        <v>0.185791061498678</v>
      </c>
      <c r="CG55" s="63">
        <v>0.185791061498678</v>
      </c>
      <c r="CH55" s="63">
        <v>0.185791061498678</v>
      </c>
      <c r="CI55" s="63">
        <v>0.185791061498678</v>
      </c>
      <c r="CJ55" s="63">
        <v>0.185791061498678</v>
      </c>
      <c r="CK55" s="63">
        <v>0.185791061498678</v>
      </c>
      <c r="CL55" s="63">
        <v>0.185791061498678</v>
      </c>
      <c r="CM55" s="63">
        <v>0.185791061498678</v>
      </c>
      <c r="CN55" s="63">
        <v>0.185791061498678</v>
      </c>
      <c r="CO55" s="63">
        <v>0.185791061498678</v>
      </c>
      <c r="CP55" s="63">
        <v>0.185791061498678</v>
      </c>
      <c r="CQ55" s="63">
        <v>0.185791061498678</v>
      </c>
      <c r="CR55" s="63">
        <v>0.185791061498678</v>
      </c>
      <c r="CS55" s="63">
        <v>0.185791061498678</v>
      </c>
      <c r="CT55" s="63">
        <v>0.185791061498678</v>
      </c>
    </row>
    <row r="56">
      <c r="A56" s="54"/>
      <c r="B56" s="55"/>
      <c r="C56" s="56" t="s">
        <v>37</v>
      </c>
      <c r="AV56" s="63">
        <v>0.26808994002464</v>
      </c>
      <c r="AW56" s="63">
        <v>0.26808994002464</v>
      </c>
      <c r="AX56" s="63">
        <v>0.26808994002464</v>
      </c>
      <c r="AY56" s="63">
        <v>0.26808994002464</v>
      </c>
      <c r="AZ56" s="63">
        <v>0.26808994002464</v>
      </c>
      <c r="BA56" s="63">
        <v>0.26808994002464</v>
      </c>
      <c r="BB56" s="63">
        <v>0.26808994002464</v>
      </c>
      <c r="BC56" s="63">
        <v>0.26808994002464</v>
      </c>
      <c r="BD56" s="63">
        <v>0.26808994002464</v>
      </c>
      <c r="BE56" s="63">
        <v>0.26808994002464</v>
      </c>
      <c r="BF56" s="63">
        <v>0.26808994002464</v>
      </c>
      <c r="BG56" s="63">
        <v>0.26808994002464</v>
      </c>
      <c r="BH56" s="63">
        <v>0.26808994002464</v>
      </c>
      <c r="BI56" s="63">
        <v>0.26808994002464</v>
      </c>
      <c r="BJ56" s="63">
        <v>0.26808994002464</v>
      </c>
      <c r="BK56" s="63">
        <v>0.26808994002464</v>
      </c>
      <c r="BL56" s="63">
        <v>0.26808994002464</v>
      </c>
      <c r="BM56" s="63">
        <v>0.26808994002464</v>
      </c>
      <c r="BN56" s="63">
        <v>0.26808994002464</v>
      </c>
      <c r="BO56" s="63">
        <v>0.26808994002464</v>
      </c>
      <c r="BP56" s="63">
        <v>0.26808994002464</v>
      </c>
      <c r="BQ56" s="63">
        <v>0.26808994002464</v>
      </c>
      <c r="BR56" s="63">
        <v>0.26808994002464</v>
      </c>
      <c r="BS56" s="63">
        <v>0.26808994002464</v>
      </c>
      <c r="BT56" s="63">
        <v>0.26808994002464</v>
      </c>
      <c r="BU56" s="63">
        <v>0.26808994002464</v>
      </c>
      <c r="BV56" s="63">
        <v>0.26808994002464</v>
      </c>
      <c r="BW56" s="63">
        <v>0.26808994002464</v>
      </c>
      <c r="BX56" s="63">
        <v>0.26808994002464</v>
      </c>
      <c r="BY56" s="63">
        <v>0.26808994002464</v>
      </c>
      <c r="BZ56" s="63"/>
      <c r="CA56" s="63">
        <v>0.26808994002464</v>
      </c>
      <c r="CB56" s="63">
        <v>0.26808994002464</v>
      </c>
      <c r="CC56" s="63">
        <v>0.26808994002464</v>
      </c>
      <c r="CD56" s="63">
        <v>0.26808994002464</v>
      </c>
      <c r="CE56" s="63">
        <v>0.26808994002464</v>
      </c>
      <c r="CF56" s="63">
        <v>0.26808994002464</v>
      </c>
      <c r="CG56" s="63">
        <v>0.26808994002464</v>
      </c>
      <c r="CH56" s="63">
        <v>0.26808994002464</v>
      </c>
      <c r="CI56" s="63">
        <v>0.26808994002464</v>
      </c>
      <c r="CJ56" s="63">
        <v>0.26808994002464</v>
      </c>
      <c r="CK56" s="63">
        <v>0.26808994002464</v>
      </c>
      <c r="CL56" s="63">
        <v>0.26808994002464</v>
      </c>
      <c r="CM56" s="63">
        <v>0.26808994002464</v>
      </c>
      <c r="CN56" s="63">
        <v>0.26808994002464</v>
      </c>
      <c r="CO56" s="63">
        <v>0.26808994002464</v>
      </c>
      <c r="CP56" s="63">
        <v>0.26808994002464</v>
      </c>
      <c r="CQ56" s="63">
        <v>0.26808994002464</v>
      </c>
      <c r="CR56" s="63">
        <v>0.26808994002464</v>
      </c>
      <c r="CS56" s="63">
        <v>0.26808994002464</v>
      </c>
      <c r="CT56" s="63">
        <v>0.26808994002464</v>
      </c>
    </row>
    <row r="59">
      <c r="A59" s="62" t="s">
        <v>45</v>
      </c>
      <c r="B59" s="52" t="s">
        <v>46</v>
      </c>
      <c r="C59" s="53"/>
    </row>
    <row r="60">
      <c r="A60" s="54"/>
      <c r="B60" s="55"/>
      <c r="C60" s="56" t="s">
        <v>32</v>
      </c>
      <c r="AW60" s="60">
        <f t="shared" ref="AW60:AZ60" si="56">AW42/(1-AW51)</f>
        <v>426475.955</v>
      </c>
      <c r="AX60" s="60">
        <f t="shared" si="56"/>
        <v>567410.1332</v>
      </c>
      <c r="AY60" s="60">
        <f t="shared" si="56"/>
        <v>472198.2502</v>
      </c>
      <c r="AZ60" s="60">
        <f t="shared" si="56"/>
        <v>499774.6281</v>
      </c>
      <c r="BB60" s="60">
        <f t="shared" ref="BB60:BE60" si="57">BB42/(1-BB51)</f>
        <v>482416.7028</v>
      </c>
      <c r="BC60" s="60">
        <f t="shared" si="57"/>
        <v>561973.9444</v>
      </c>
      <c r="BD60" s="60">
        <f t="shared" si="57"/>
        <v>466051.8554</v>
      </c>
      <c r="BE60" s="60">
        <f t="shared" si="57"/>
        <v>488343.6357</v>
      </c>
      <c r="BG60" s="60">
        <f t="shared" ref="BG60:BJ60" si="58">BG42/(1-BG51)</f>
        <v>444222.0873</v>
      </c>
      <c r="BH60" s="60">
        <f t="shared" si="58"/>
        <v>612936.6768</v>
      </c>
      <c r="BI60" s="60">
        <f t="shared" si="58"/>
        <v>447747.3186</v>
      </c>
      <c r="BJ60" s="60">
        <f t="shared" si="58"/>
        <v>489585.825</v>
      </c>
      <c r="BL60" s="60">
        <f t="shared" ref="BL60:BO60" si="59">BL42/(1-BL51)</f>
        <v>428705.5392</v>
      </c>
      <c r="BM60" s="60">
        <f t="shared" si="59"/>
        <v>564670.8563</v>
      </c>
      <c r="BN60" s="60">
        <f t="shared" si="59"/>
        <v>465474.4891</v>
      </c>
      <c r="BO60" s="60">
        <f t="shared" si="59"/>
        <v>515440.9449</v>
      </c>
      <c r="BQ60" s="60">
        <f t="shared" ref="BQ60:BT60" si="60">BQ42/(1-BQ51)</f>
        <v>378779.0146</v>
      </c>
      <c r="BR60" s="60">
        <f t="shared" si="60"/>
        <v>652089.0356</v>
      </c>
      <c r="BS60" s="60">
        <f t="shared" si="60"/>
        <v>454989.0552</v>
      </c>
      <c r="BT60" s="60">
        <f t="shared" si="60"/>
        <v>513174.3086</v>
      </c>
      <c r="BV60" s="60">
        <f t="shared" ref="BV60:BY60" si="61">BV42/(1-BV51)</f>
        <v>386117.0261</v>
      </c>
      <c r="BW60" s="60">
        <f t="shared" si="61"/>
        <v>617034.7056</v>
      </c>
      <c r="BX60" s="60">
        <f t="shared" si="61"/>
        <v>434317.1347</v>
      </c>
      <c r="BY60" s="60">
        <f t="shared" si="61"/>
        <v>483121.2673</v>
      </c>
      <c r="CA60" s="60">
        <f t="shared" ref="CA60:CI60" si="62">CA42/(1-CA51)</f>
        <v>361134.6164</v>
      </c>
      <c r="CB60" s="60">
        <f t="shared" si="62"/>
        <v>558199.5099</v>
      </c>
      <c r="CC60" s="60">
        <f t="shared" si="62"/>
        <v>472710.2584</v>
      </c>
      <c r="CD60" s="60">
        <f t="shared" si="62"/>
        <v>473395.3289</v>
      </c>
      <c r="CE60" s="60">
        <f t="shared" si="62"/>
        <v>1865439.714</v>
      </c>
      <c r="CF60" s="60">
        <f t="shared" si="62"/>
        <v>330729.0904</v>
      </c>
      <c r="CG60" s="60">
        <f t="shared" si="62"/>
        <v>599010.8444</v>
      </c>
      <c r="CH60" s="60">
        <f t="shared" si="62"/>
        <v>492281.6263</v>
      </c>
      <c r="CI60" s="60">
        <f t="shared" si="62"/>
        <v>547782.1012</v>
      </c>
      <c r="CK60" s="60">
        <f t="shared" ref="CK60:CN60" si="63">CK42/(1-CK51)</f>
        <v>379159.1895</v>
      </c>
      <c r="CL60" s="60">
        <f t="shared" si="63"/>
        <v>637325.7961</v>
      </c>
      <c r="CM60" s="60">
        <f t="shared" si="63"/>
        <v>479035.2578</v>
      </c>
      <c r="CN60" s="60">
        <f t="shared" si="63"/>
        <v>580182.8803</v>
      </c>
      <c r="CP60" s="60">
        <f t="shared" ref="CP60:CS60" si="64">CP42/(1-CP51)</f>
        <v>362805.8933</v>
      </c>
      <c r="CQ60" s="60">
        <f t="shared" si="64"/>
        <v>0</v>
      </c>
      <c r="CR60" s="60">
        <f t="shared" si="64"/>
        <v>0</v>
      </c>
      <c r="CS60" s="60">
        <f t="shared" si="64"/>
        <v>0</v>
      </c>
    </row>
    <row r="61">
      <c r="A61" s="54"/>
      <c r="B61" s="55"/>
      <c r="C61" s="56" t="s">
        <v>33</v>
      </c>
      <c r="AW61" s="60">
        <f t="shared" ref="AW61:AZ61" si="65">AW43/(1-AW52)</f>
        <v>76450.09503</v>
      </c>
      <c r="AX61" s="60">
        <f t="shared" si="65"/>
        <v>82375.92145</v>
      </c>
      <c r="AY61" s="60">
        <f t="shared" si="65"/>
        <v>83570.37231</v>
      </c>
      <c r="AZ61" s="60">
        <f t="shared" si="65"/>
        <v>88113.64476</v>
      </c>
      <c r="BB61" s="60">
        <f t="shared" ref="BB61:BE61" si="66">BB43/(1-BB52)</f>
        <v>80521.72451</v>
      </c>
      <c r="BC61" s="60">
        <f t="shared" si="66"/>
        <v>79251.46238</v>
      </c>
      <c r="BD61" s="60">
        <f t="shared" si="66"/>
        <v>84874.28597</v>
      </c>
      <c r="BE61" s="60">
        <f t="shared" si="66"/>
        <v>89820.44652</v>
      </c>
      <c r="BG61" s="60">
        <f t="shared" ref="BG61:BJ61" si="67">BG43/(1-BG52)</f>
        <v>86984.29138</v>
      </c>
      <c r="BH61" s="60">
        <f t="shared" si="67"/>
        <v>86481.92261</v>
      </c>
      <c r="BI61" s="60">
        <f t="shared" si="67"/>
        <v>87906.19733</v>
      </c>
      <c r="BJ61" s="60">
        <f t="shared" si="67"/>
        <v>85568.25672</v>
      </c>
      <c r="BL61" s="60">
        <f t="shared" ref="BL61:BO61" si="68">BL43/(1-BL52)</f>
        <v>81089.18632</v>
      </c>
      <c r="BM61" s="60">
        <f t="shared" si="68"/>
        <v>82552.41094</v>
      </c>
      <c r="BN61" s="60">
        <f t="shared" si="68"/>
        <v>87609.33357</v>
      </c>
      <c r="BO61" s="60">
        <f t="shared" si="68"/>
        <v>83111.48536</v>
      </c>
      <c r="BQ61" s="60">
        <f t="shared" ref="BQ61:BT61" si="69">BQ43/(1-BQ52)</f>
        <v>83689.12432</v>
      </c>
      <c r="BR61" s="60">
        <f t="shared" si="69"/>
        <v>83621.18279</v>
      </c>
      <c r="BS61" s="60">
        <f t="shared" si="69"/>
        <v>83483.78068</v>
      </c>
      <c r="BT61" s="60">
        <f t="shared" si="69"/>
        <v>81948.62709</v>
      </c>
      <c r="BV61" s="60">
        <f t="shared" ref="BV61:BY61" si="70">BV43/(1-BV52)</f>
        <v>82994.98209</v>
      </c>
      <c r="BW61" s="60">
        <f t="shared" si="70"/>
        <v>82633.26349</v>
      </c>
      <c r="BX61" s="60">
        <f t="shared" si="70"/>
        <v>87293.67769</v>
      </c>
      <c r="BY61" s="60">
        <f t="shared" si="70"/>
        <v>89196.67986</v>
      </c>
      <c r="CA61" s="60">
        <f t="shared" ref="CA61:CI61" si="71">CA43/(1-CA52)</f>
        <v>82968.47565</v>
      </c>
      <c r="CB61" s="60">
        <f t="shared" si="71"/>
        <v>89377.31663</v>
      </c>
      <c r="CC61" s="60">
        <f t="shared" si="71"/>
        <v>84544.84671</v>
      </c>
      <c r="CD61" s="60">
        <f t="shared" si="71"/>
        <v>85668.89021</v>
      </c>
      <c r="CE61" s="60">
        <f t="shared" si="71"/>
        <v>342559.5292</v>
      </c>
      <c r="CF61" s="60">
        <f t="shared" si="71"/>
        <v>87835.04797</v>
      </c>
      <c r="CG61" s="60">
        <f t="shared" si="71"/>
        <v>83086.92628</v>
      </c>
      <c r="CH61" s="60">
        <f t="shared" si="71"/>
        <v>81370.23358</v>
      </c>
      <c r="CI61" s="60">
        <f t="shared" si="71"/>
        <v>90986.52894</v>
      </c>
      <c r="CK61" s="60">
        <f t="shared" ref="CK61:CN61" si="72">CK43/(1-CK52)</f>
        <v>87197.27605</v>
      </c>
      <c r="CL61" s="60">
        <f t="shared" si="72"/>
        <v>83484.57282</v>
      </c>
      <c r="CM61" s="60">
        <f t="shared" si="72"/>
        <v>83224.37675</v>
      </c>
      <c r="CN61" s="60">
        <f t="shared" si="72"/>
        <v>91312.15849</v>
      </c>
      <c r="CP61" s="60">
        <f t="shared" ref="CP61:CS61" si="73">CP43/(1-CP52)</f>
        <v>96031.0478</v>
      </c>
      <c r="CQ61" s="60">
        <f t="shared" si="73"/>
        <v>0</v>
      </c>
      <c r="CR61" s="60">
        <f t="shared" si="73"/>
        <v>0</v>
      </c>
      <c r="CS61" s="60">
        <f t="shared" si="73"/>
        <v>0</v>
      </c>
    </row>
    <row r="62">
      <c r="A62" s="54"/>
      <c r="B62" s="55"/>
      <c r="C62" s="56" t="s">
        <v>34</v>
      </c>
      <c r="AW62" s="60">
        <f t="shared" ref="AW62:AZ62" si="74">AW44/(1-AW53)</f>
        <v>23986.13302</v>
      </c>
      <c r="AX62" s="60">
        <f t="shared" si="74"/>
        <v>19538.97047</v>
      </c>
      <c r="AY62" s="60">
        <f t="shared" si="74"/>
        <v>19269.60009</v>
      </c>
      <c r="AZ62" s="60">
        <f t="shared" si="74"/>
        <v>19321.62801</v>
      </c>
      <c r="BB62" s="60">
        <f t="shared" ref="BB62:BE62" si="75">BB44/(1-BB53)</f>
        <v>21604.62145</v>
      </c>
      <c r="BC62" s="60">
        <f t="shared" si="75"/>
        <v>20913.88215</v>
      </c>
      <c r="BD62" s="60">
        <f t="shared" si="75"/>
        <v>20960.78462</v>
      </c>
      <c r="BE62" s="60">
        <f t="shared" si="75"/>
        <v>20993.43308</v>
      </c>
      <c r="BG62" s="60">
        <f t="shared" ref="BG62:BJ62" si="76">BG44/(1-BG53)</f>
        <v>21284.8838</v>
      </c>
      <c r="BH62" s="60">
        <f t="shared" si="76"/>
        <v>21997.54131</v>
      </c>
      <c r="BI62" s="60">
        <f t="shared" si="76"/>
        <v>22347.2445</v>
      </c>
      <c r="BJ62" s="60">
        <f t="shared" si="76"/>
        <v>22819.86958</v>
      </c>
      <c r="BL62" s="60">
        <f t="shared" ref="BL62:BO62" si="77">BL44/(1-BL53)</f>
        <v>23328.63254</v>
      </c>
      <c r="BM62" s="60">
        <f t="shared" si="77"/>
        <v>24102.80426</v>
      </c>
      <c r="BN62" s="60">
        <f t="shared" si="77"/>
        <v>23451.70634</v>
      </c>
      <c r="BO62" s="60">
        <f t="shared" si="77"/>
        <v>23473.34583</v>
      </c>
      <c r="BQ62" s="60">
        <f t="shared" ref="BQ62:BT62" si="78">BQ44/(1-BQ53)</f>
        <v>21143.24756</v>
      </c>
      <c r="BR62" s="60">
        <f t="shared" si="78"/>
        <v>21773.59096</v>
      </c>
      <c r="BS62" s="60">
        <f t="shared" si="78"/>
        <v>36871.68242</v>
      </c>
      <c r="BT62" s="60">
        <f t="shared" si="78"/>
        <v>41902.16693</v>
      </c>
      <c r="BV62" s="60">
        <f t="shared" ref="BV62:BY62" si="79">BV44/(1-BV53)</f>
        <v>27889.58216</v>
      </c>
      <c r="BW62" s="60">
        <f t="shared" si="79"/>
        <v>20871.49089</v>
      </c>
      <c r="BX62" s="60">
        <f t="shared" si="79"/>
        <v>39484.82368</v>
      </c>
      <c r="BY62" s="60">
        <f t="shared" si="79"/>
        <v>41842.55671</v>
      </c>
      <c r="CA62" s="60">
        <f t="shared" ref="CA62:CI62" si="80">CA44/(1-CA53)</f>
        <v>21626.36974</v>
      </c>
      <c r="CB62" s="60">
        <f t="shared" si="80"/>
        <v>23113.63283</v>
      </c>
      <c r="CC62" s="60">
        <f t="shared" si="80"/>
        <v>40293.06954</v>
      </c>
      <c r="CD62" s="60">
        <f t="shared" si="80"/>
        <v>47034.34918</v>
      </c>
      <c r="CE62" s="60">
        <f t="shared" si="80"/>
        <v>132067.4213</v>
      </c>
      <c r="CF62" s="60">
        <f t="shared" si="80"/>
        <v>21281.4186</v>
      </c>
      <c r="CG62" s="60">
        <f t="shared" si="80"/>
        <v>26119.75766</v>
      </c>
      <c r="CH62" s="60">
        <f t="shared" si="80"/>
        <v>46152.20032</v>
      </c>
      <c r="CI62" s="60">
        <f t="shared" si="80"/>
        <v>107937.866</v>
      </c>
      <c r="CK62" s="60">
        <f t="shared" ref="CK62:CN62" si="81">CK44/(1-CK53)</f>
        <v>60824.43158</v>
      </c>
      <c r="CL62" s="60">
        <f t="shared" si="81"/>
        <v>48046.85631</v>
      </c>
      <c r="CM62" s="60">
        <f t="shared" si="81"/>
        <v>66775.81419</v>
      </c>
      <c r="CN62" s="60">
        <f t="shared" si="81"/>
        <v>102401.8668</v>
      </c>
      <c r="CP62" s="60">
        <f t="shared" ref="CP62:CS62" si="82">CP44/(1-CP53)</f>
        <v>59990.25514</v>
      </c>
      <c r="CQ62" s="60">
        <f t="shared" si="82"/>
        <v>0</v>
      </c>
      <c r="CR62" s="60">
        <f t="shared" si="82"/>
        <v>0</v>
      </c>
      <c r="CS62" s="60">
        <f t="shared" si="82"/>
        <v>0</v>
      </c>
    </row>
    <row r="63">
      <c r="A63" s="54"/>
      <c r="B63" s="55"/>
      <c r="C63" s="56" t="s">
        <v>35</v>
      </c>
      <c r="AW63" s="60">
        <f t="shared" ref="AW63:AZ63" si="83">AW45/(1-AW54)</f>
        <v>173025.0915</v>
      </c>
      <c r="AX63" s="60">
        <f t="shared" si="83"/>
        <v>156114.5025</v>
      </c>
      <c r="AY63" s="60">
        <f t="shared" si="83"/>
        <v>153772.7849</v>
      </c>
      <c r="AZ63" s="60">
        <f t="shared" si="83"/>
        <v>160707.9375</v>
      </c>
      <c r="BB63" s="60">
        <f t="shared" ref="BB63:BE63" si="84">BB45/(1-BB54)</f>
        <v>184178.5876</v>
      </c>
      <c r="BC63" s="60">
        <f t="shared" si="84"/>
        <v>167330.1355</v>
      </c>
      <c r="BD63" s="60">
        <f t="shared" si="84"/>
        <v>167797.8581</v>
      </c>
      <c r="BE63" s="60">
        <f t="shared" si="84"/>
        <v>173943.5291</v>
      </c>
      <c r="BG63" s="60">
        <f t="shared" ref="BG63:BJ63" si="85">BG45/(1-BG54)</f>
        <v>188045.0228</v>
      </c>
      <c r="BH63" s="60">
        <f t="shared" si="85"/>
        <v>182595.1135</v>
      </c>
      <c r="BI63" s="60">
        <f t="shared" si="85"/>
        <v>184433.6033</v>
      </c>
      <c r="BJ63" s="60">
        <f t="shared" si="85"/>
        <v>186431.4657</v>
      </c>
      <c r="BL63" s="60">
        <f t="shared" ref="BL63:BO63" si="86">BL45/(1-BL54)</f>
        <v>185856.2801</v>
      </c>
      <c r="BM63" s="60">
        <f t="shared" si="86"/>
        <v>180891.1101</v>
      </c>
      <c r="BN63" s="60">
        <f t="shared" si="86"/>
        <v>180230.3554</v>
      </c>
      <c r="BO63" s="60">
        <f t="shared" si="86"/>
        <v>178142.6143</v>
      </c>
      <c r="BQ63" s="60">
        <f t="shared" ref="BQ63:BT63" si="87">BQ45/(1-BQ54)</f>
        <v>183307.828</v>
      </c>
      <c r="BR63" s="60">
        <f t="shared" si="87"/>
        <v>178343.5833</v>
      </c>
      <c r="BS63" s="60">
        <f t="shared" si="87"/>
        <v>178135.9088</v>
      </c>
      <c r="BT63" s="60">
        <f t="shared" si="87"/>
        <v>194480.1302</v>
      </c>
      <c r="BV63" s="60">
        <f t="shared" ref="BV63:BY63" si="88">BV45/(1-BV54)</f>
        <v>183264.4395</v>
      </c>
      <c r="BW63" s="60">
        <f t="shared" si="88"/>
        <v>182864.7316</v>
      </c>
      <c r="BX63" s="60">
        <f t="shared" si="88"/>
        <v>182828.5143</v>
      </c>
      <c r="BY63" s="60">
        <f t="shared" si="88"/>
        <v>195302.0334</v>
      </c>
      <c r="CA63" s="60">
        <f t="shared" ref="CA63:CI63" si="89">CA45/(1-CA54)</f>
        <v>201412.395</v>
      </c>
      <c r="CB63" s="60">
        <f t="shared" si="89"/>
        <v>192589.4338</v>
      </c>
      <c r="CC63" s="60">
        <f t="shared" si="89"/>
        <v>199653.3661</v>
      </c>
      <c r="CD63" s="60">
        <f t="shared" si="89"/>
        <v>194452.4661</v>
      </c>
      <c r="CE63" s="60">
        <f t="shared" si="89"/>
        <v>788107.6609</v>
      </c>
      <c r="CF63" s="60">
        <f t="shared" si="89"/>
        <v>210079.1747</v>
      </c>
      <c r="CG63" s="60">
        <f t="shared" si="89"/>
        <v>179807.0254</v>
      </c>
      <c r="CH63" s="60">
        <f t="shared" si="89"/>
        <v>185011.0155</v>
      </c>
      <c r="CI63" s="60">
        <f t="shared" si="89"/>
        <v>188857.8375</v>
      </c>
      <c r="CK63" s="60">
        <f t="shared" ref="CK63:CN63" si="90">CK45/(1-CK54)</f>
        <v>201742.4774</v>
      </c>
      <c r="CL63" s="60">
        <f t="shared" si="90"/>
        <v>178173.3203</v>
      </c>
      <c r="CM63" s="60">
        <f t="shared" si="90"/>
        <v>176105.9616</v>
      </c>
      <c r="CN63" s="60">
        <f t="shared" si="90"/>
        <v>216625.2321</v>
      </c>
      <c r="CP63" s="60">
        <f t="shared" ref="CP63:CS63" si="91">CP45/(1-CP54)</f>
        <v>197059.7044</v>
      </c>
      <c r="CQ63" s="60">
        <f t="shared" si="91"/>
        <v>0</v>
      </c>
      <c r="CR63" s="60">
        <f t="shared" si="91"/>
        <v>0</v>
      </c>
      <c r="CS63" s="60">
        <f t="shared" si="91"/>
        <v>0</v>
      </c>
    </row>
    <row r="64">
      <c r="A64" s="54"/>
      <c r="B64" s="55"/>
      <c r="C64" s="56" t="s">
        <v>36</v>
      </c>
      <c r="AW64" s="60">
        <f t="shared" ref="AW64:AZ64" si="92">AW46/(1-AW55)</f>
        <v>1529996.865</v>
      </c>
      <c r="AX64" s="60">
        <f t="shared" si="92"/>
        <v>1623159.414</v>
      </c>
      <c r="AY64" s="60">
        <f t="shared" si="92"/>
        <v>1708699.915</v>
      </c>
      <c r="AZ64" s="60">
        <f t="shared" si="92"/>
        <v>1789428.657</v>
      </c>
      <c r="BB64" s="60">
        <f t="shared" ref="BB64:BE64" si="93">BB46/(1-BB55)</f>
        <v>1627670.914</v>
      </c>
      <c r="BC64" s="60">
        <f t="shared" si="93"/>
        <v>1774810.796</v>
      </c>
      <c r="BD64" s="60">
        <f t="shared" si="93"/>
        <v>1876627.003</v>
      </c>
      <c r="BE64" s="60">
        <f t="shared" si="93"/>
        <v>1957192.197</v>
      </c>
      <c r="BG64" s="60">
        <f t="shared" ref="BG64:BJ64" si="94">BG46/(1-BG55)</f>
        <v>1775837.402</v>
      </c>
      <c r="BH64" s="60">
        <f t="shared" si="94"/>
        <v>1945116.056</v>
      </c>
      <c r="BI64" s="60">
        <f t="shared" si="94"/>
        <v>1987293.235</v>
      </c>
      <c r="BJ64" s="60">
        <f t="shared" si="94"/>
        <v>2030285.344</v>
      </c>
      <c r="BL64" s="60">
        <f t="shared" ref="BL64:BO64" si="95">BL46/(1-BL55)</f>
        <v>1875003.444</v>
      </c>
      <c r="BM64" s="60">
        <f t="shared" si="95"/>
        <v>1868499.017</v>
      </c>
      <c r="BN64" s="60">
        <f t="shared" si="95"/>
        <v>1839858.141</v>
      </c>
      <c r="BO64" s="60">
        <f t="shared" si="95"/>
        <v>1851744.513</v>
      </c>
      <c r="BQ64" s="60">
        <f t="shared" ref="BQ64:BT64" si="96">BQ46/(1-BQ55)</f>
        <v>1975958.109</v>
      </c>
      <c r="BR64" s="60">
        <f t="shared" si="96"/>
        <v>1876015.207</v>
      </c>
      <c r="BS64" s="60">
        <f t="shared" si="96"/>
        <v>1874419.526</v>
      </c>
      <c r="BT64" s="60">
        <f t="shared" si="96"/>
        <v>1868814.277</v>
      </c>
      <c r="BV64" s="60">
        <f t="shared" ref="BV64:BY64" si="97">BV46/(1-BV55)</f>
        <v>2085992.69</v>
      </c>
      <c r="BW64" s="60">
        <f t="shared" si="97"/>
        <v>2050599.654</v>
      </c>
      <c r="BX64" s="60">
        <f t="shared" si="97"/>
        <v>1994735.982</v>
      </c>
      <c r="BY64" s="60">
        <f t="shared" si="97"/>
        <v>2056285.74</v>
      </c>
      <c r="CA64" s="60">
        <f t="shared" ref="CA64:CI64" si="98">CA46/(1-CA55)</f>
        <v>2200210.148</v>
      </c>
      <c r="CB64" s="60">
        <f t="shared" si="98"/>
        <v>2086444.043</v>
      </c>
      <c r="CC64" s="60">
        <f t="shared" si="98"/>
        <v>2062042.359</v>
      </c>
      <c r="CD64" s="60">
        <f t="shared" si="98"/>
        <v>2062501.83</v>
      </c>
      <c r="CE64" s="60">
        <f t="shared" si="98"/>
        <v>8411198.38</v>
      </c>
      <c r="CF64" s="60">
        <f t="shared" si="98"/>
        <v>2275241.306</v>
      </c>
      <c r="CG64" s="60">
        <f t="shared" si="98"/>
        <v>2322697.634</v>
      </c>
      <c r="CH64" s="60">
        <f t="shared" si="98"/>
        <v>2330398.266</v>
      </c>
      <c r="CI64" s="60">
        <f t="shared" si="98"/>
        <v>2303601.227</v>
      </c>
      <c r="CK64" s="60">
        <f t="shared" ref="CK64:CN64" si="99">CK46/(1-CK55)</f>
        <v>2299874.365</v>
      </c>
      <c r="CL64" s="60">
        <f t="shared" si="99"/>
        <v>2490449.849</v>
      </c>
      <c r="CM64" s="60">
        <f t="shared" si="99"/>
        <v>2555023.693</v>
      </c>
      <c r="CN64" s="60">
        <f t="shared" si="99"/>
        <v>2408206.03</v>
      </c>
      <c r="CP64" s="60">
        <f t="shared" ref="CP64:CS64" si="100">CP46/(1-CP55)</f>
        <v>2359838.764</v>
      </c>
      <c r="CQ64" s="60">
        <f t="shared" si="100"/>
        <v>0</v>
      </c>
      <c r="CR64" s="60">
        <f t="shared" si="100"/>
        <v>0</v>
      </c>
      <c r="CS64" s="60">
        <f t="shared" si="100"/>
        <v>0</v>
      </c>
    </row>
    <row r="65">
      <c r="A65" s="54"/>
      <c r="B65" s="55"/>
      <c r="C65" s="56" t="s">
        <v>37</v>
      </c>
      <c r="AW65" s="60">
        <f t="shared" ref="AW65:AZ65" si="101">AW47/(1-AW56)</f>
        <v>637383.6782</v>
      </c>
      <c r="AX65" s="60">
        <f t="shared" si="101"/>
        <v>695384.308</v>
      </c>
      <c r="AY65" s="60">
        <f t="shared" si="101"/>
        <v>740862.4418</v>
      </c>
      <c r="AZ65" s="60">
        <f t="shared" si="101"/>
        <v>754049.7932</v>
      </c>
      <c r="BB65" s="60">
        <f t="shared" ref="BB65:BE65" si="102">BB47/(1-BB56)</f>
        <v>694318.3764</v>
      </c>
      <c r="BC65" s="60">
        <f t="shared" si="102"/>
        <v>733845.3747</v>
      </c>
      <c r="BD65" s="60">
        <f t="shared" si="102"/>
        <v>752280.5855</v>
      </c>
      <c r="BE65" s="60">
        <f t="shared" si="102"/>
        <v>776583.7727</v>
      </c>
      <c r="BG65" s="60">
        <f t="shared" ref="BG65:BJ65" si="103">BG47/(1-BG56)</f>
        <v>737713.3288</v>
      </c>
      <c r="BH65" s="60">
        <f t="shared" si="103"/>
        <v>784739.51</v>
      </c>
      <c r="BI65" s="60">
        <f t="shared" si="103"/>
        <v>826693.2794</v>
      </c>
      <c r="BJ65" s="60">
        <f t="shared" si="103"/>
        <v>799777.4184</v>
      </c>
      <c r="BL65" s="60">
        <f t="shared" ref="BL65:BO65" si="104">BL47/(1-BL56)</f>
        <v>782291.7634</v>
      </c>
      <c r="BM65" s="60">
        <f t="shared" si="104"/>
        <v>772910.0469</v>
      </c>
      <c r="BN65" s="60">
        <f t="shared" si="104"/>
        <v>816337.1388</v>
      </c>
      <c r="BO65" s="60">
        <f t="shared" si="104"/>
        <v>798263.7608</v>
      </c>
      <c r="BQ65" s="60">
        <f t="shared" ref="BQ65:BT65" si="105">BQ47/(1-BQ56)</f>
        <v>787655.5155</v>
      </c>
      <c r="BR65" s="60">
        <f t="shared" si="105"/>
        <v>834384.6501</v>
      </c>
      <c r="BS65" s="60">
        <f t="shared" si="105"/>
        <v>815939.7609</v>
      </c>
      <c r="BT65" s="60">
        <f t="shared" si="105"/>
        <v>837472.8332</v>
      </c>
      <c r="BV65" s="60">
        <f t="shared" ref="BV65:BY65" si="106">BV47/(1-BV56)</f>
        <v>838932.2303</v>
      </c>
      <c r="BW65" s="60">
        <f t="shared" si="106"/>
        <v>831273.4775</v>
      </c>
      <c r="BX65" s="60">
        <f t="shared" si="106"/>
        <v>872471.7676</v>
      </c>
      <c r="BY65" s="60">
        <f t="shared" si="106"/>
        <v>832858.445</v>
      </c>
      <c r="CA65" s="60">
        <f t="shared" ref="CA65:CI65" si="107">CA47/(1-CA56)</f>
        <v>871374.402</v>
      </c>
      <c r="CB65" s="60">
        <f t="shared" si="107"/>
        <v>958877.5624</v>
      </c>
      <c r="CC65" s="60">
        <f t="shared" si="107"/>
        <v>909256.6136</v>
      </c>
      <c r="CD65" s="60">
        <f t="shared" si="107"/>
        <v>890904.509</v>
      </c>
      <c r="CE65" s="60">
        <f t="shared" si="107"/>
        <v>3630413.087</v>
      </c>
      <c r="CF65" s="60">
        <f t="shared" si="107"/>
        <v>873427.1681</v>
      </c>
      <c r="CG65" s="60">
        <f t="shared" si="107"/>
        <v>955444.4758</v>
      </c>
      <c r="CH65" s="60">
        <f t="shared" si="107"/>
        <v>902971.4716</v>
      </c>
      <c r="CI65" s="60">
        <f t="shared" si="107"/>
        <v>913929.9889</v>
      </c>
      <c r="CK65" s="60">
        <f t="shared" ref="CK65:CN65" si="108">CK47/(1-CK56)</f>
        <v>956192.8074</v>
      </c>
      <c r="CL65" s="60">
        <f t="shared" si="108"/>
        <v>1063829.919</v>
      </c>
      <c r="CM65" s="60">
        <f t="shared" si="108"/>
        <v>980600.7938</v>
      </c>
      <c r="CN65" s="60">
        <f t="shared" si="108"/>
        <v>1003304.867</v>
      </c>
      <c r="CP65" s="60">
        <f t="shared" ref="CP65:CS65" si="109">CP47/(1-CP56)</f>
        <v>1063902.266</v>
      </c>
      <c r="CQ65" s="60">
        <f t="shared" si="109"/>
        <v>0</v>
      </c>
      <c r="CR65" s="60">
        <f t="shared" si="109"/>
        <v>0</v>
      </c>
      <c r="CS65" s="60">
        <f t="shared" si="109"/>
        <v>0</v>
      </c>
    </row>
  </sheetData>
  <mergeCells count="123">
    <mergeCell ref="AC4:AG4"/>
    <mergeCell ref="AH4:AL4"/>
    <mergeCell ref="AM4:AQ4"/>
    <mergeCell ref="AR4:AV4"/>
    <mergeCell ref="AW4:BA4"/>
    <mergeCell ref="BB4:BF4"/>
    <mergeCell ref="BG4:BK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AC5:AC6"/>
    <mergeCell ref="AD5:AD6"/>
    <mergeCell ref="AE5:AE6"/>
    <mergeCell ref="AF5:AF6"/>
    <mergeCell ref="AG5:AG6"/>
    <mergeCell ref="CR5:CR6"/>
    <mergeCell ref="CS5:CS6"/>
    <mergeCell ref="CT5:CT6"/>
    <mergeCell ref="CU5:CU6"/>
    <mergeCell ref="CV5:CV6"/>
    <mergeCell ref="CW5:CW6"/>
    <mergeCell ref="CX5:CX6"/>
    <mergeCell ref="CY5:CY6"/>
    <mergeCell ref="BL4:BP4"/>
    <mergeCell ref="BQ4:BU4"/>
    <mergeCell ref="BV4:BZ4"/>
    <mergeCell ref="CF4:CJ4"/>
    <mergeCell ref="CK4:CO4"/>
    <mergeCell ref="CP4:CT4"/>
    <mergeCell ref="CU4:CY4"/>
    <mergeCell ref="Z5:Z6"/>
    <mergeCell ref="AA5:AA6"/>
    <mergeCell ref="A4:A6"/>
    <mergeCell ref="D4:H4"/>
    <mergeCell ref="I4:M4"/>
    <mergeCell ref="N4:R4"/>
    <mergeCell ref="S4:W4"/>
    <mergeCell ref="X4:AB4"/>
    <mergeCell ref="AB5:AB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B4:C6"/>
    <mergeCell ref="B7:C7"/>
    <mergeCell ref="AO5:AO6"/>
    <mergeCell ref="AP5:AP6"/>
    <mergeCell ref="AH5:AH6"/>
    <mergeCell ref="AI5:AI6"/>
    <mergeCell ref="AJ5:AJ6"/>
    <mergeCell ref="AK5:AK6"/>
    <mergeCell ref="AL5:AL6"/>
    <mergeCell ref="AM5:AM6"/>
    <mergeCell ref="AN5:AN6"/>
    <mergeCell ref="AX5:AX6"/>
    <mergeCell ref="AY5:AY6"/>
    <mergeCell ref="AQ5:AQ6"/>
    <mergeCell ref="AR5:AR6"/>
    <mergeCell ref="AS5:AS6"/>
    <mergeCell ref="AT5:AT6"/>
    <mergeCell ref="AU5:AU6"/>
    <mergeCell ref="AV5:AV6"/>
    <mergeCell ref="AW5:AW6"/>
    <mergeCell ref="BG5:BG6"/>
    <mergeCell ref="BH5:BH6"/>
    <mergeCell ref="AZ5:AZ6"/>
    <mergeCell ref="BA5:BA6"/>
    <mergeCell ref="BB5:BB6"/>
    <mergeCell ref="BC5:BC6"/>
    <mergeCell ref="BD5:BD6"/>
    <mergeCell ref="BE5:BE6"/>
    <mergeCell ref="BF5:BF6"/>
    <mergeCell ref="BP5:BP6"/>
    <mergeCell ref="BQ5:BQ6"/>
    <mergeCell ref="BI5:BI6"/>
    <mergeCell ref="BJ5:BJ6"/>
    <mergeCell ref="BK5:BK6"/>
    <mergeCell ref="BL5:BL6"/>
    <mergeCell ref="BM5:BM6"/>
    <mergeCell ref="BN5:BN6"/>
    <mergeCell ref="BO5:BO6"/>
    <mergeCell ref="BY5:BY6"/>
    <mergeCell ref="BZ5:BZ6"/>
    <mergeCell ref="BR5:BR6"/>
    <mergeCell ref="BS5:BS6"/>
    <mergeCell ref="BT5:BT6"/>
    <mergeCell ref="BU5:BU6"/>
    <mergeCell ref="BV5:BV6"/>
    <mergeCell ref="BW5:BW6"/>
    <mergeCell ref="BX5:BX6"/>
    <mergeCell ref="CG5:CG6"/>
    <mergeCell ref="CH5:CH6"/>
    <mergeCell ref="CA4:CE4"/>
    <mergeCell ref="CA5:CA6"/>
    <mergeCell ref="CB5:CB6"/>
    <mergeCell ref="CC5:CC6"/>
    <mergeCell ref="CD5:CD6"/>
    <mergeCell ref="CE5:CE6"/>
    <mergeCell ref="CF5:CF6"/>
    <mergeCell ref="CP5:CP6"/>
    <mergeCell ref="CQ5:CQ6"/>
    <mergeCell ref="CI5:CI6"/>
    <mergeCell ref="CJ5:CJ6"/>
    <mergeCell ref="CK5:CK6"/>
    <mergeCell ref="CL5:CL6"/>
    <mergeCell ref="CM5:CM6"/>
    <mergeCell ref="CN5:CN6"/>
    <mergeCell ref="CO5:CO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57"/>
    <col customWidth="1" min="2" max="2" width="44.14"/>
    <col customWidth="1" min="3" max="3" width="22.0"/>
    <col customWidth="1" min="4" max="4" width="13.57"/>
    <col customWidth="1" min="5" max="5" width="18.29"/>
    <col customWidth="1" min="6" max="6" width="14.14"/>
    <col customWidth="1" min="7" max="7" width="17.29"/>
    <col customWidth="1" min="8" max="8" width="20.57"/>
    <col customWidth="1" min="9" max="9" width="13.29"/>
    <col customWidth="1" min="10" max="10" width="12.86"/>
    <col customWidth="1" min="11" max="11" width="16.0"/>
    <col customWidth="1" min="12" max="12" width="2.71"/>
    <col customWidth="1" min="13" max="13" width="5.71"/>
    <col customWidth="1" min="14" max="14" width="44.14"/>
    <col customWidth="1" min="15" max="15" width="22.0"/>
    <col customWidth="1" min="16" max="16" width="13.57"/>
    <col customWidth="1" min="17" max="17" width="18.29"/>
    <col customWidth="1" min="18" max="18" width="14.14"/>
    <col customWidth="1" min="19" max="19" width="17.29"/>
    <col customWidth="1" min="20" max="20" width="20.57"/>
    <col customWidth="1" min="21" max="21" width="13.29"/>
    <col customWidth="1" min="22" max="22" width="12.86"/>
    <col customWidth="1" min="23" max="23" width="16.0"/>
    <col customWidth="1" min="24" max="24" width="2.71"/>
    <col customWidth="1" min="25" max="25" width="5.71"/>
    <col customWidth="1" min="26" max="26" width="44.14"/>
    <col customWidth="1" min="27" max="27" width="22.0"/>
    <col customWidth="1" min="28" max="28" width="13.57"/>
    <col customWidth="1" min="29" max="29" width="18.29"/>
    <col customWidth="1" min="30" max="30" width="14.14"/>
    <col customWidth="1" min="31" max="31" width="17.29"/>
    <col customWidth="1" min="32" max="32" width="20.57"/>
    <col customWidth="1" min="33" max="33" width="13.29"/>
    <col customWidth="1" min="34" max="34" width="12.86"/>
    <col customWidth="1" min="35" max="35" width="16.0"/>
    <col customWidth="1" min="36" max="36" width="2.71"/>
    <col customWidth="1" min="37" max="37" width="5.71"/>
    <col customWidth="1" min="38" max="38" width="44.14"/>
    <col customWidth="1" min="39" max="39" width="22.0"/>
    <col customWidth="1" min="40" max="40" width="13.57"/>
    <col customWidth="1" min="41" max="41" width="18.29"/>
    <col customWidth="1" min="42" max="42" width="14.14"/>
    <col customWidth="1" min="43" max="43" width="17.29"/>
    <col customWidth="1" min="44" max="44" width="20.57"/>
    <col customWidth="1" min="45" max="45" width="13.29"/>
    <col customWidth="1" min="46" max="46" width="12.86"/>
    <col customWidth="1" min="47" max="47" width="16.0"/>
    <col customWidth="1" min="48" max="48" width="2.71"/>
    <col customWidth="1" min="49" max="49" width="5.71"/>
    <col customWidth="1" min="50" max="50" width="44.14"/>
    <col customWidth="1" min="51" max="51" width="22.0"/>
    <col customWidth="1" min="52" max="52" width="13.57"/>
    <col customWidth="1" min="53" max="53" width="18.29"/>
    <col customWidth="1" min="54" max="54" width="14.14"/>
    <col customWidth="1" min="55" max="55" width="17.29"/>
    <col customWidth="1" min="56" max="56" width="20.57"/>
    <col customWidth="1" min="57" max="57" width="13.29"/>
    <col customWidth="1" min="58" max="58" width="12.86"/>
    <col customWidth="1" min="59" max="59" width="16.0"/>
    <col customWidth="1" min="60" max="60" width="2.71"/>
    <col customWidth="1" min="61" max="61" width="5.71"/>
    <col customWidth="1" min="62" max="62" width="44.14"/>
    <col customWidth="1" min="63" max="63" width="22.0"/>
    <col customWidth="1" min="64" max="64" width="13.57"/>
    <col customWidth="1" min="65" max="65" width="18.29"/>
    <col customWidth="1" min="66" max="66" width="14.14"/>
    <col customWidth="1" min="67" max="67" width="17.29"/>
    <col customWidth="1" min="68" max="68" width="20.57"/>
    <col customWidth="1" min="69" max="69" width="13.29"/>
    <col customWidth="1" min="70" max="70" width="12.86"/>
    <col customWidth="1" min="71" max="71" width="16.0"/>
    <col customWidth="1" min="72" max="72" width="2.71"/>
    <col customWidth="1" min="73" max="73" width="5.71"/>
    <col customWidth="1" min="74" max="74" width="44.14"/>
    <col customWidth="1" min="75" max="75" width="22.0"/>
    <col customWidth="1" min="76" max="76" width="13.57"/>
    <col customWidth="1" min="77" max="77" width="18.29"/>
    <col customWidth="1" min="78" max="78" width="14.14"/>
    <col customWidth="1" min="79" max="79" width="17.29"/>
    <col customWidth="1" min="80" max="80" width="20.57"/>
    <col customWidth="1" min="81" max="81" width="13.29"/>
    <col customWidth="1" min="82" max="82" width="12.86"/>
    <col customWidth="1" min="83" max="83" width="16.0"/>
    <col customWidth="1" min="84" max="84" width="2.71"/>
    <col customWidth="1" min="85" max="85" width="5.71"/>
    <col customWidth="1" min="86" max="86" width="44.14"/>
    <col customWidth="1" min="87" max="87" width="22.0"/>
    <col customWidth="1" min="88" max="88" width="13.57"/>
    <col customWidth="1" min="89" max="89" width="18.29"/>
    <col customWidth="1" min="90" max="90" width="14.14"/>
    <col customWidth="1" min="91" max="91" width="17.29"/>
    <col customWidth="1" min="92" max="92" width="20.57"/>
    <col customWidth="1" min="93" max="93" width="13.29"/>
    <col customWidth="1" min="94" max="94" width="12.86"/>
    <col customWidth="1" min="95" max="95" width="16.0"/>
    <col customWidth="1" min="96" max="96" width="2.71"/>
    <col customWidth="1" min="97" max="97" width="5.71"/>
    <col customWidth="1" min="98" max="98" width="44.14"/>
    <col customWidth="1" min="99" max="99" width="22.0"/>
    <col customWidth="1" min="100" max="100" width="13.57"/>
    <col customWidth="1" min="101" max="101" width="18.29"/>
    <col customWidth="1" min="102" max="102" width="14.14"/>
    <col customWidth="1" min="103" max="103" width="17.29"/>
    <col customWidth="1" min="104" max="104" width="20.57"/>
    <col customWidth="1" min="105" max="105" width="13.29"/>
    <col customWidth="1" min="106" max="106" width="12.86"/>
    <col customWidth="1" min="107" max="107" width="16.0"/>
    <col customWidth="1" min="108" max="108" width="2.71"/>
    <col customWidth="1" min="109" max="109" width="5.71"/>
    <col customWidth="1" min="110" max="110" width="44.14"/>
    <col customWidth="1" min="111" max="111" width="22.0"/>
    <col customWidth="1" min="112" max="112" width="13.57"/>
    <col customWidth="1" min="113" max="113" width="18.29"/>
    <col customWidth="1" min="114" max="114" width="14.14"/>
    <col customWidth="1" min="115" max="115" width="17.29"/>
    <col customWidth="1" min="116" max="116" width="20.57"/>
    <col customWidth="1" min="117" max="117" width="13.29"/>
    <col customWidth="1" min="118" max="118" width="12.86"/>
    <col customWidth="1" min="119" max="119" width="16.0"/>
    <col customWidth="1" min="120" max="120" width="2.71"/>
    <col customWidth="1" min="121" max="121" width="5.71"/>
    <col customWidth="1" min="122" max="122" width="44.14"/>
    <col customWidth="1" min="123" max="123" width="22.0"/>
    <col customWidth="1" min="124" max="124" width="13.57"/>
    <col customWidth="1" min="125" max="125" width="18.29"/>
    <col customWidth="1" min="126" max="126" width="14.14"/>
    <col customWidth="1" min="127" max="127" width="17.29"/>
    <col customWidth="1" min="128" max="128" width="20.57"/>
    <col customWidth="1" min="129" max="129" width="13.29"/>
    <col customWidth="1" min="130" max="130" width="12.86"/>
    <col customWidth="1" min="131" max="131" width="16.0"/>
    <col customWidth="1" min="132" max="132" width="2.71"/>
    <col customWidth="1" min="133" max="133" width="5.71"/>
    <col customWidth="1" min="134" max="134" width="44.14"/>
    <col customWidth="1" min="135" max="135" width="22.0"/>
    <col customWidth="1" min="136" max="136" width="13.57"/>
    <col customWidth="1" min="137" max="137" width="18.29"/>
    <col customWidth="1" min="138" max="138" width="14.14"/>
    <col customWidth="1" min="139" max="139" width="17.29"/>
    <col customWidth="1" min="140" max="140" width="20.57"/>
    <col customWidth="1" min="141" max="141" width="13.29"/>
    <col customWidth="1" min="142" max="142" width="12.86"/>
    <col customWidth="1" min="143" max="143" width="16.0"/>
    <col customWidth="1" min="144" max="144" width="2.71"/>
    <col customWidth="1" min="145" max="145" width="5.71"/>
    <col customWidth="1" min="146" max="146" width="44.14"/>
    <col customWidth="1" min="147" max="147" width="22.0"/>
    <col customWidth="1" min="148" max="148" width="13.57"/>
    <col customWidth="1" min="149" max="149" width="18.29"/>
    <col customWidth="1" min="150" max="150" width="14.14"/>
    <col customWidth="1" min="151" max="151" width="17.29"/>
    <col customWidth="1" min="152" max="152" width="20.57"/>
    <col customWidth="1" min="153" max="153" width="13.29"/>
    <col customWidth="1" min="154" max="154" width="12.86"/>
    <col customWidth="1" min="155" max="155" width="16.0"/>
    <col customWidth="1" min="156" max="156" width="2.71"/>
    <col customWidth="1" min="157" max="157" width="5.71"/>
    <col customWidth="1" min="158" max="158" width="44.14"/>
    <col customWidth="1" min="159" max="159" width="22.0"/>
    <col customWidth="1" min="160" max="160" width="13.57"/>
    <col customWidth="1" min="161" max="161" width="18.29"/>
    <col customWidth="1" min="162" max="162" width="14.14"/>
    <col customWidth="1" min="163" max="163" width="17.29"/>
    <col customWidth="1" min="164" max="164" width="20.57"/>
    <col customWidth="1" min="165" max="165" width="13.29"/>
    <col customWidth="1" min="166" max="166" width="12.86"/>
    <col customWidth="1" min="167" max="167" width="16.0"/>
    <col customWidth="1" min="168" max="168" width="2.71"/>
    <col customWidth="1" min="169" max="169" width="5.71"/>
    <col customWidth="1" min="170" max="170" width="44.14"/>
    <col customWidth="1" min="171" max="171" width="22.0"/>
    <col customWidth="1" min="172" max="172" width="13.57"/>
    <col customWidth="1" min="173" max="173" width="18.29"/>
    <col customWidth="1" min="174" max="174" width="14.14"/>
    <col customWidth="1" min="175" max="175" width="17.29"/>
    <col customWidth="1" min="176" max="176" width="20.57"/>
    <col customWidth="1" min="177" max="177" width="13.29"/>
    <col customWidth="1" min="178" max="178" width="12.86"/>
    <col customWidth="1" min="179" max="179" width="16.0"/>
    <col customWidth="1" min="180" max="180" width="2.71"/>
    <col customWidth="1" min="181" max="181" width="5.71"/>
    <col customWidth="1" min="182" max="182" width="44.14"/>
    <col customWidth="1" min="183" max="183" width="22.0"/>
    <col customWidth="1" min="184" max="184" width="13.57"/>
    <col customWidth="1" min="185" max="185" width="18.29"/>
    <col customWidth="1" min="186" max="186" width="14.14"/>
    <col customWidth="1" min="187" max="187" width="17.29"/>
    <col customWidth="1" min="188" max="188" width="20.57"/>
    <col customWidth="1" min="189" max="189" width="13.29"/>
    <col customWidth="1" min="190" max="190" width="12.86"/>
    <col customWidth="1" min="191" max="191" width="16.0"/>
    <col customWidth="1" min="192" max="192" width="2.71"/>
    <col customWidth="1" min="193" max="193" width="5.71"/>
    <col customWidth="1" min="194" max="194" width="44.14"/>
    <col customWidth="1" min="195" max="195" width="22.0"/>
    <col customWidth="1" min="196" max="196" width="13.57"/>
    <col customWidth="1" min="197" max="197" width="18.29"/>
    <col customWidth="1" min="198" max="198" width="14.14"/>
    <col customWidth="1" min="199" max="199" width="17.29"/>
    <col customWidth="1" min="200" max="200" width="20.57"/>
    <col customWidth="1" min="201" max="201" width="13.29"/>
    <col customWidth="1" min="202" max="202" width="12.86"/>
    <col customWidth="1" min="203" max="203" width="16.0"/>
    <col customWidth="1" min="204" max="204" width="2.71"/>
    <col customWidth="1" min="205" max="205" width="5.71"/>
    <col customWidth="1" min="206" max="206" width="44.14"/>
    <col customWidth="1" min="207" max="207" width="22.0"/>
    <col customWidth="1" min="208" max="208" width="13.57"/>
    <col customWidth="1" min="209" max="209" width="18.29"/>
    <col customWidth="1" min="210" max="210" width="14.14"/>
    <col customWidth="1" min="211" max="211" width="17.29"/>
    <col customWidth="1" min="212" max="212" width="20.57"/>
    <col customWidth="1" min="213" max="213" width="13.29"/>
    <col customWidth="1" min="214" max="214" width="12.86"/>
    <col customWidth="1" min="215" max="215" width="16.0"/>
    <col customWidth="1" min="216" max="216" width="2.71"/>
    <col customWidth="1" min="217" max="217" width="4.86"/>
  </cols>
  <sheetData>
    <row r="1" ht="21.0" customHeight="1">
      <c r="A1" s="68" t="s">
        <v>47</v>
      </c>
      <c r="B1" s="69" t="s">
        <v>48</v>
      </c>
      <c r="C1" s="70">
        <v>2010.0</v>
      </c>
      <c r="D1" s="71">
        <v>2012.0</v>
      </c>
      <c r="E1" s="71">
        <v>2014.0</v>
      </c>
      <c r="F1" s="71">
        <v>2016.0</v>
      </c>
      <c r="G1" s="71">
        <v>2018.0</v>
      </c>
      <c r="H1" s="71">
        <v>2020.0</v>
      </c>
      <c r="I1" s="71">
        <v>2022.0</v>
      </c>
      <c r="J1" s="71">
        <v>2024.0</v>
      </c>
      <c r="K1" s="72"/>
      <c r="L1" s="73"/>
      <c r="M1" s="74"/>
      <c r="N1" s="75"/>
      <c r="O1" s="71">
        <v>2010.0</v>
      </c>
      <c r="P1" s="71">
        <v>2012.0</v>
      </c>
      <c r="Q1" s="71">
        <v>2014.0</v>
      </c>
      <c r="R1" s="71">
        <v>2016.0</v>
      </c>
      <c r="S1" s="71">
        <v>2018.0</v>
      </c>
      <c r="T1" s="71">
        <v>2020.0</v>
      </c>
      <c r="U1" s="71">
        <v>2022.0</v>
      </c>
      <c r="V1" s="71">
        <v>2024.0</v>
      </c>
      <c r="W1" s="75"/>
      <c r="X1" s="73"/>
      <c r="Y1" s="74"/>
      <c r="Z1" s="75"/>
      <c r="AA1" s="71">
        <v>2010.0</v>
      </c>
      <c r="AB1" s="71">
        <v>2012.0</v>
      </c>
      <c r="AC1" s="71">
        <v>2014.0</v>
      </c>
      <c r="AD1" s="71">
        <v>2016.0</v>
      </c>
      <c r="AE1" s="71">
        <v>2018.0</v>
      </c>
      <c r="AF1" s="71">
        <v>2020.0</v>
      </c>
      <c r="AG1" s="71">
        <v>2022.0</v>
      </c>
      <c r="AH1" s="71">
        <v>2024.0</v>
      </c>
      <c r="AI1" s="75"/>
      <c r="AJ1" s="73"/>
      <c r="AK1" s="74"/>
      <c r="AL1" s="75"/>
      <c r="AM1" s="71">
        <v>2010.0</v>
      </c>
      <c r="AN1" s="71">
        <v>2012.0</v>
      </c>
      <c r="AO1" s="71">
        <v>2014.0</v>
      </c>
      <c r="AP1" s="71">
        <v>2016.0</v>
      </c>
      <c r="AQ1" s="71">
        <v>2018.0</v>
      </c>
      <c r="AR1" s="71">
        <v>2020.0</v>
      </c>
      <c r="AS1" s="71">
        <v>2022.0</v>
      </c>
      <c r="AT1" s="71">
        <v>2024.0</v>
      </c>
      <c r="AU1" s="75"/>
      <c r="AV1" s="73"/>
      <c r="AW1" s="74"/>
      <c r="AX1" s="75"/>
      <c r="AY1" s="71">
        <v>2010.0</v>
      </c>
      <c r="AZ1" s="71">
        <v>2012.0</v>
      </c>
      <c r="BA1" s="71">
        <v>2014.0</v>
      </c>
      <c r="BB1" s="71">
        <v>2016.0</v>
      </c>
      <c r="BC1" s="71">
        <v>2018.0</v>
      </c>
      <c r="BD1" s="71">
        <v>2020.0</v>
      </c>
      <c r="BE1" s="71">
        <v>2022.0</v>
      </c>
      <c r="BF1" s="71">
        <v>2024.0</v>
      </c>
      <c r="BG1" s="75"/>
      <c r="BH1" s="73"/>
      <c r="BI1" s="74"/>
      <c r="BJ1" s="75"/>
      <c r="BK1" s="71">
        <v>2010.0</v>
      </c>
      <c r="BL1" s="71">
        <v>2012.0</v>
      </c>
      <c r="BM1" s="71">
        <v>2014.0</v>
      </c>
      <c r="BN1" s="71">
        <v>2016.0</v>
      </c>
      <c r="BO1" s="71">
        <v>2018.0</v>
      </c>
      <c r="BP1" s="71">
        <v>2020.0</v>
      </c>
      <c r="BQ1" s="71">
        <v>2022.0</v>
      </c>
      <c r="BR1" s="71">
        <v>2024.0</v>
      </c>
      <c r="BS1" s="75"/>
      <c r="BT1" s="73"/>
      <c r="BU1" s="74"/>
      <c r="BV1" s="75"/>
      <c r="BW1" s="71">
        <v>2010.0</v>
      </c>
      <c r="BX1" s="71">
        <v>2012.0</v>
      </c>
      <c r="BY1" s="71">
        <v>2014.0</v>
      </c>
      <c r="BZ1" s="71">
        <v>2016.0</v>
      </c>
      <c r="CA1" s="71">
        <v>2018.0</v>
      </c>
      <c r="CB1" s="71">
        <v>2020.0</v>
      </c>
      <c r="CC1" s="71">
        <v>2022.0</v>
      </c>
      <c r="CD1" s="71">
        <v>2024.0</v>
      </c>
      <c r="CE1" s="75"/>
      <c r="CF1" s="73"/>
      <c r="CG1" s="74"/>
      <c r="CH1" s="75"/>
      <c r="CI1" s="71">
        <v>2010.0</v>
      </c>
      <c r="CJ1" s="71">
        <v>2012.0</v>
      </c>
      <c r="CK1" s="71">
        <v>2014.0</v>
      </c>
      <c r="CL1" s="71">
        <v>2016.0</v>
      </c>
      <c r="CM1" s="71">
        <v>2018.0</v>
      </c>
      <c r="CN1" s="71">
        <v>2020.0</v>
      </c>
      <c r="CO1" s="71">
        <v>2022.0</v>
      </c>
      <c r="CP1" s="71">
        <v>2024.0</v>
      </c>
      <c r="CQ1" s="75"/>
      <c r="CR1" s="73"/>
      <c r="CS1" s="74"/>
      <c r="CT1" s="75"/>
      <c r="CU1" s="71">
        <v>2010.0</v>
      </c>
      <c r="CV1" s="71">
        <v>2012.0</v>
      </c>
      <c r="CW1" s="71">
        <v>2014.0</v>
      </c>
      <c r="CX1" s="71">
        <v>2016.0</v>
      </c>
      <c r="CY1" s="71">
        <v>2018.0</v>
      </c>
      <c r="CZ1" s="71">
        <v>2020.0</v>
      </c>
      <c r="DA1" s="71">
        <v>2022.0</v>
      </c>
      <c r="DB1" s="71">
        <v>2024.0</v>
      </c>
      <c r="DC1" s="75"/>
      <c r="DD1" s="73"/>
      <c r="DE1" s="74"/>
      <c r="DF1" s="75"/>
      <c r="DG1" s="71">
        <v>2010.0</v>
      </c>
      <c r="DH1" s="71">
        <v>2012.0</v>
      </c>
      <c r="DI1" s="71">
        <v>2014.0</v>
      </c>
      <c r="DJ1" s="71">
        <v>2016.0</v>
      </c>
      <c r="DK1" s="71">
        <v>2018.0</v>
      </c>
      <c r="DL1" s="71">
        <v>2020.0</v>
      </c>
      <c r="DM1" s="71">
        <v>2022.0</v>
      </c>
      <c r="DN1" s="71">
        <v>2024.0</v>
      </c>
      <c r="DO1" s="75"/>
      <c r="DP1" s="73"/>
      <c r="DQ1" s="74"/>
      <c r="DR1" s="75"/>
      <c r="DS1" s="71">
        <v>2010.0</v>
      </c>
      <c r="DT1" s="71">
        <v>2012.0</v>
      </c>
      <c r="DU1" s="71">
        <v>2014.0</v>
      </c>
      <c r="DV1" s="71">
        <v>2016.0</v>
      </c>
      <c r="DW1" s="71">
        <v>2018.0</v>
      </c>
      <c r="DX1" s="71">
        <v>2020.0</v>
      </c>
      <c r="DY1" s="71">
        <v>2022.0</v>
      </c>
      <c r="DZ1" s="71">
        <v>2024.0</v>
      </c>
      <c r="EA1" s="75"/>
      <c r="EB1" s="73"/>
      <c r="EC1" s="74"/>
      <c r="ED1" s="75"/>
      <c r="EE1" s="71">
        <v>2010.0</v>
      </c>
      <c r="EF1" s="71">
        <v>2012.0</v>
      </c>
      <c r="EG1" s="71">
        <v>2014.0</v>
      </c>
      <c r="EH1" s="71">
        <v>2016.0</v>
      </c>
      <c r="EI1" s="71">
        <v>2018.0</v>
      </c>
      <c r="EJ1" s="71">
        <v>2020.0</v>
      </c>
      <c r="EK1" s="71">
        <v>2022.0</v>
      </c>
      <c r="EL1" s="71">
        <v>2024.0</v>
      </c>
      <c r="EM1" s="75"/>
      <c r="EN1" s="73"/>
      <c r="EO1" s="74"/>
      <c r="EP1" s="75"/>
      <c r="EQ1" s="71">
        <v>2010.0</v>
      </c>
      <c r="ER1" s="71">
        <v>2012.0</v>
      </c>
      <c r="ES1" s="71">
        <v>2014.0</v>
      </c>
      <c r="ET1" s="71">
        <v>2016.0</v>
      </c>
      <c r="EU1" s="71">
        <v>2018.0</v>
      </c>
      <c r="EV1" s="71">
        <v>2020.0</v>
      </c>
      <c r="EW1" s="71">
        <v>2022.0</v>
      </c>
      <c r="EX1" s="71">
        <v>2024.0</v>
      </c>
      <c r="EY1" s="75"/>
      <c r="EZ1" s="73"/>
      <c r="FA1" s="74"/>
      <c r="FB1" s="75"/>
      <c r="FC1" s="71">
        <v>2010.0</v>
      </c>
      <c r="FD1" s="71">
        <v>2012.0</v>
      </c>
      <c r="FE1" s="71">
        <v>2014.0</v>
      </c>
      <c r="FF1" s="71">
        <v>2016.0</v>
      </c>
      <c r="FG1" s="71">
        <v>2018.0</v>
      </c>
      <c r="FH1" s="71">
        <v>2020.0</v>
      </c>
      <c r="FI1" s="71">
        <v>2022.0</v>
      </c>
      <c r="FJ1" s="71">
        <v>2024.0</v>
      </c>
      <c r="FK1" s="75"/>
      <c r="FL1" s="73"/>
      <c r="FM1" s="74"/>
      <c r="FN1" s="75"/>
      <c r="FO1" s="71">
        <v>2010.0</v>
      </c>
      <c r="FP1" s="71">
        <v>2012.0</v>
      </c>
      <c r="FQ1" s="71">
        <v>2014.0</v>
      </c>
      <c r="FR1" s="71">
        <v>2016.0</v>
      </c>
      <c r="FS1" s="71">
        <v>2018.0</v>
      </c>
      <c r="FT1" s="71">
        <v>2020.0</v>
      </c>
      <c r="FU1" s="71">
        <v>2022.0</v>
      </c>
      <c r="FV1" s="71">
        <v>2024.0</v>
      </c>
      <c r="FW1" s="75"/>
      <c r="FX1" s="73"/>
      <c r="FY1" s="74"/>
      <c r="FZ1" s="75"/>
      <c r="GA1" s="71">
        <v>2010.0</v>
      </c>
      <c r="GB1" s="71">
        <v>2012.0</v>
      </c>
      <c r="GC1" s="71">
        <v>2014.0</v>
      </c>
      <c r="GD1" s="71">
        <v>2016.0</v>
      </c>
      <c r="GE1" s="71">
        <v>2018.0</v>
      </c>
      <c r="GF1" s="71">
        <v>2020.0</v>
      </c>
      <c r="GG1" s="71">
        <v>2022.0</v>
      </c>
      <c r="GH1" s="71">
        <v>2024.0</v>
      </c>
      <c r="GI1" s="75"/>
      <c r="GJ1" s="73"/>
      <c r="GK1" s="74"/>
      <c r="GL1" s="75"/>
      <c r="GM1" s="71">
        <v>2010.0</v>
      </c>
      <c r="GN1" s="71">
        <v>2012.0</v>
      </c>
      <c r="GO1" s="71">
        <v>2014.0</v>
      </c>
      <c r="GP1" s="71">
        <v>2016.0</v>
      </c>
      <c r="GQ1" s="71">
        <v>2018.0</v>
      </c>
      <c r="GR1" s="71">
        <v>2020.0</v>
      </c>
      <c r="GS1" s="71">
        <v>2022.0</v>
      </c>
      <c r="GT1" s="71">
        <v>2024.0</v>
      </c>
      <c r="GU1" s="75"/>
      <c r="GV1" s="73"/>
      <c r="GW1" s="74"/>
      <c r="GX1" s="75"/>
      <c r="GY1" s="71">
        <v>2010.0</v>
      </c>
      <c r="GZ1" s="71">
        <v>2012.0</v>
      </c>
      <c r="HA1" s="71">
        <v>2014.0</v>
      </c>
      <c r="HB1" s="71">
        <v>2016.0</v>
      </c>
      <c r="HC1" s="71">
        <v>2018.0</v>
      </c>
      <c r="HD1" s="71">
        <v>2020.0</v>
      </c>
      <c r="HE1" s="71">
        <v>2022.0</v>
      </c>
      <c r="HF1" s="71">
        <v>2024.0</v>
      </c>
      <c r="HG1" s="75"/>
      <c r="HH1" s="73"/>
      <c r="HI1" s="76"/>
    </row>
    <row r="2" ht="21.0" customHeight="1">
      <c r="B2" s="77"/>
      <c r="C2" s="78">
        <v>2011.0</v>
      </c>
      <c r="D2" s="79">
        <v>2013.0</v>
      </c>
      <c r="E2" s="79">
        <v>2015.0</v>
      </c>
      <c r="F2" s="79">
        <v>2017.0</v>
      </c>
      <c r="G2" s="80">
        <v>2019.0</v>
      </c>
      <c r="H2" s="79">
        <v>2021.0</v>
      </c>
      <c r="I2" s="79">
        <v>2023.0</v>
      </c>
      <c r="J2" s="79">
        <v>2025.0</v>
      </c>
      <c r="K2" s="72"/>
      <c r="L2" s="73"/>
      <c r="M2" s="74"/>
      <c r="N2" s="75"/>
      <c r="O2" s="79">
        <v>2011.0</v>
      </c>
      <c r="P2" s="79">
        <v>2013.0</v>
      </c>
      <c r="Q2" s="79">
        <v>2015.0</v>
      </c>
      <c r="R2" s="79">
        <v>2017.0</v>
      </c>
      <c r="S2" s="79">
        <v>2019.0</v>
      </c>
      <c r="T2" s="79">
        <v>2021.0</v>
      </c>
      <c r="U2" s="79">
        <v>2023.0</v>
      </c>
      <c r="V2" s="79">
        <v>2025.0</v>
      </c>
      <c r="W2" s="75"/>
      <c r="X2" s="73"/>
      <c r="Y2" s="74"/>
      <c r="Z2" s="75"/>
      <c r="AA2" s="79">
        <v>2011.0</v>
      </c>
      <c r="AB2" s="79">
        <v>2013.0</v>
      </c>
      <c r="AC2" s="79">
        <v>2015.0</v>
      </c>
      <c r="AD2" s="79">
        <v>2017.0</v>
      </c>
      <c r="AE2" s="79">
        <v>2019.0</v>
      </c>
      <c r="AF2" s="79">
        <v>2021.0</v>
      </c>
      <c r="AG2" s="79">
        <v>2023.0</v>
      </c>
      <c r="AH2" s="79">
        <v>2025.0</v>
      </c>
      <c r="AI2" s="75"/>
      <c r="AJ2" s="73"/>
      <c r="AK2" s="74"/>
      <c r="AL2" s="75"/>
      <c r="AM2" s="79">
        <v>2011.0</v>
      </c>
      <c r="AN2" s="79">
        <v>2013.0</v>
      </c>
      <c r="AO2" s="79">
        <v>2015.0</v>
      </c>
      <c r="AP2" s="79">
        <v>2017.0</v>
      </c>
      <c r="AQ2" s="79">
        <v>2019.0</v>
      </c>
      <c r="AR2" s="79">
        <v>2021.0</v>
      </c>
      <c r="AS2" s="79">
        <v>2023.0</v>
      </c>
      <c r="AT2" s="79">
        <v>2025.0</v>
      </c>
      <c r="AU2" s="75"/>
      <c r="AV2" s="73"/>
      <c r="AW2" s="74"/>
      <c r="AX2" s="75"/>
      <c r="AY2" s="79">
        <v>2011.0</v>
      </c>
      <c r="AZ2" s="79">
        <v>2013.0</v>
      </c>
      <c r="BA2" s="79">
        <v>2015.0</v>
      </c>
      <c r="BB2" s="79">
        <v>2017.0</v>
      </c>
      <c r="BC2" s="79">
        <v>2019.0</v>
      </c>
      <c r="BD2" s="79">
        <v>2021.0</v>
      </c>
      <c r="BE2" s="79">
        <v>2023.0</v>
      </c>
      <c r="BF2" s="79">
        <v>2025.0</v>
      </c>
      <c r="BG2" s="75"/>
      <c r="BH2" s="73"/>
      <c r="BI2" s="74"/>
      <c r="BJ2" s="75"/>
      <c r="BK2" s="79">
        <v>2011.0</v>
      </c>
      <c r="BL2" s="79">
        <v>2013.0</v>
      </c>
      <c r="BM2" s="79">
        <v>2015.0</v>
      </c>
      <c r="BN2" s="79">
        <v>2017.0</v>
      </c>
      <c r="BO2" s="79">
        <v>2019.0</v>
      </c>
      <c r="BP2" s="79">
        <v>2021.0</v>
      </c>
      <c r="BQ2" s="79">
        <v>2023.0</v>
      </c>
      <c r="BR2" s="79">
        <v>2025.0</v>
      </c>
      <c r="BS2" s="75"/>
      <c r="BT2" s="73"/>
      <c r="BU2" s="74"/>
      <c r="BV2" s="75"/>
      <c r="BW2" s="79">
        <v>2011.0</v>
      </c>
      <c r="BX2" s="79">
        <v>2013.0</v>
      </c>
      <c r="BY2" s="79">
        <v>2015.0</v>
      </c>
      <c r="BZ2" s="79">
        <v>2017.0</v>
      </c>
      <c r="CA2" s="79">
        <v>2019.0</v>
      </c>
      <c r="CB2" s="79">
        <v>2021.0</v>
      </c>
      <c r="CC2" s="79">
        <v>2023.0</v>
      </c>
      <c r="CD2" s="79">
        <v>2025.0</v>
      </c>
      <c r="CE2" s="75"/>
      <c r="CF2" s="73"/>
      <c r="CG2" s="74"/>
      <c r="CH2" s="75"/>
      <c r="CI2" s="79">
        <v>2011.0</v>
      </c>
      <c r="CJ2" s="79">
        <v>2013.0</v>
      </c>
      <c r="CK2" s="79">
        <v>2015.0</v>
      </c>
      <c r="CL2" s="79">
        <v>2017.0</v>
      </c>
      <c r="CM2" s="79">
        <v>2019.0</v>
      </c>
      <c r="CN2" s="79">
        <v>2021.0</v>
      </c>
      <c r="CO2" s="79">
        <v>2023.0</v>
      </c>
      <c r="CP2" s="79">
        <v>2025.0</v>
      </c>
      <c r="CQ2" s="75"/>
      <c r="CR2" s="73"/>
      <c r="CS2" s="74"/>
      <c r="CT2" s="75"/>
      <c r="CU2" s="79">
        <v>2011.0</v>
      </c>
      <c r="CV2" s="79">
        <v>2013.0</v>
      </c>
      <c r="CW2" s="79">
        <v>2015.0</v>
      </c>
      <c r="CX2" s="79">
        <v>2017.0</v>
      </c>
      <c r="CY2" s="79">
        <v>2019.0</v>
      </c>
      <c r="CZ2" s="79">
        <v>2021.0</v>
      </c>
      <c r="DA2" s="79">
        <v>2023.0</v>
      </c>
      <c r="DB2" s="79">
        <v>2025.0</v>
      </c>
      <c r="DC2" s="75"/>
      <c r="DD2" s="73"/>
      <c r="DE2" s="74"/>
      <c r="DF2" s="75"/>
      <c r="DG2" s="79">
        <v>2011.0</v>
      </c>
      <c r="DH2" s="79">
        <v>2013.0</v>
      </c>
      <c r="DI2" s="79">
        <v>2015.0</v>
      </c>
      <c r="DJ2" s="79">
        <v>2017.0</v>
      </c>
      <c r="DK2" s="79">
        <v>2019.0</v>
      </c>
      <c r="DL2" s="79">
        <v>2021.0</v>
      </c>
      <c r="DM2" s="79">
        <v>2023.0</v>
      </c>
      <c r="DN2" s="79">
        <v>2025.0</v>
      </c>
      <c r="DO2" s="75"/>
      <c r="DP2" s="73"/>
      <c r="DQ2" s="74"/>
      <c r="DR2" s="75"/>
      <c r="DS2" s="79">
        <v>2011.0</v>
      </c>
      <c r="DT2" s="79">
        <v>2013.0</v>
      </c>
      <c r="DU2" s="79">
        <v>2015.0</v>
      </c>
      <c r="DV2" s="79">
        <v>2017.0</v>
      </c>
      <c r="DW2" s="79">
        <v>2019.0</v>
      </c>
      <c r="DX2" s="79">
        <v>2021.0</v>
      </c>
      <c r="DY2" s="79">
        <v>2023.0</v>
      </c>
      <c r="DZ2" s="79">
        <v>2025.0</v>
      </c>
      <c r="EA2" s="75"/>
      <c r="EB2" s="73"/>
      <c r="EC2" s="74"/>
      <c r="ED2" s="75"/>
      <c r="EE2" s="79">
        <v>2011.0</v>
      </c>
      <c r="EF2" s="79">
        <v>2013.0</v>
      </c>
      <c r="EG2" s="79">
        <v>2015.0</v>
      </c>
      <c r="EH2" s="79">
        <v>2017.0</v>
      </c>
      <c r="EI2" s="79">
        <v>2019.0</v>
      </c>
      <c r="EJ2" s="79">
        <v>2021.0</v>
      </c>
      <c r="EK2" s="79">
        <v>2023.0</v>
      </c>
      <c r="EL2" s="79">
        <v>2025.0</v>
      </c>
      <c r="EM2" s="75"/>
      <c r="EN2" s="73"/>
      <c r="EO2" s="74"/>
      <c r="EP2" s="75"/>
      <c r="EQ2" s="79">
        <v>2011.0</v>
      </c>
      <c r="ER2" s="79">
        <v>2013.0</v>
      </c>
      <c r="ES2" s="79">
        <v>2015.0</v>
      </c>
      <c r="ET2" s="79">
        <v>2017.0</v>
      </c>
      <c r="EU2" s="79">
        <v>2019.0</v>
      </c>
      <c r="EV2" s="79">
        <v>2021.0</v>
      </c>
      <c r="EW2" s="79">
        <v>2023.0</v>
      </c>
      <c r="EX2" s="79">
        <v>2025.0</v>
      </c>
      <c r="EY2" s="75"/>
      <c r="EZ2" s="73"/>
      <c r="FA2" s="74"/>
      <c r="FB2" s="75"/>
      <c r="FC2" s="79">
        <v>2011.0</v>
      </c>
      <c r="FD2" s="79">
        <v>2013.0</v>
      </c>
      <c r="FE2" s="79">
        <v>2015.0</v>
      </c>
      <c r="FF2" s="79">
        <v>2017.0</v>
      </c>
      <c r="FG2" s="79">
        <v>2019.0</v>
      </c>
      <c r="FH2" s="79">
        <v>2021.0</v>
      </c>
      <c r="FI2" s="79">
        <v>2023.0</v>
      </c>
      <c r="FJ2" s="79">
        <v>2025.0</v>
      </c>
      <c r="FK2" s="75"/>
      <c r="FL2" s="73"/>
      <c r="FM2" s="74"/>
      <c r="FN2" s="75"/>
      <c r="FO2" s="79">
        <v>2011.0</v>
      </c>
      <c r="FP2" s="79">
        <v>2013.0</v>
      </c>
      <c r="FQ2" s="79">
        <v>2015.0</v>
      </c>
      <c r="FR2" s="79">
        <v>2017.0</v>
      </c>
      <c r="FS2" s="79">
        <v>2019.0</v>
      </c>
      <c r="FT2" s="79">
        <v>2021.0</v>
      </c>
      <c r="FU2" s="79">
        <v>2023.0</v>
      </c>
      <c r="FV2" s="79">
        <v>2025.0</v>
      </c>
      <c r="FW2" s="75"/>
      <c r="FX2" s="73"/>
      <c r="FY2" s="74"/>
      <c r="FZ2" s="75"/>
      <c r="GA2" s="79">
        <v>2011.0</v>
      </c>
      <c r="GB2" s="79">
        <v>2013.0</v>
      </c>
      <c r="GC2" s="79">
        <v>2015.0</v>
      </c>
      <c r="GD2" s="79">
        <v>2017.0</v>
      </c>
      <c r="GE2" s="79">
        <v>2019.0</v>
      </c>
      <c r="GF2" s="79">
        <v>2021.0</v>
      </c>
      <c r="GG2" s="79">
        <v>2023.0</v>
      </c>
      <c r="GH2" s="79">
        <v>2025.0</v>
      </c>
      <c r="GI2" s="75"/>
      <c r="GJ2" s="73"/>
      <c r="GK2" s="74"/>
      <c r="GL2" s="75"/>
      <c r="GM2" s="79">
        <v>2011.0</v>
      </c>
      <c r="GN2" s="79">
        <v>2013.0</v>
      </c>
      <c r="GO2" s="79">
        <v>2015.0</v>
      </c>
      <c r="GP2" s="79">
        <v>2017.0</v>
      </c>
      <c r="GQ2" s="79">
        <v>2019.0</v>
      </c>
      <c r="GR2" s="79">
        <v>2021.0</v>
      </c>
      <c r="GS2" s="79">
        <v>2023.0</v>
      </c>
      <c r="GT2" s="79">
        <v>2025.0</v>
      </c>
      <c r="GU2" s="75"/>
      <c r="GV2" s="73"/>
      <c r="GW2" s="74"/>
      <c r="GX2" s="75"/>
      <c r="GY2" s="79">
        <v>2011.0</v>
      </c>
      <c r="GZ2" s="79">
        <v>2013.0</v>
      </c>
      <c r="HA2" s="79">
        <v>2015.0</v>
      </c>
      <c r="HB2" s="79">
        <v>2017.0</v>
      </c>
      <c r="HC2" s="79">
        <v>2019.0</v>
      </c>
      <c r="HD2" s="79">
        <v>2021.0</v>
      </c>
      <c r="HE2" s="79">
        <v>2023.0</v>
      </c>
      <c r="HF2" s="79">
        <v>2025.0</v>
      </c>
      <c r="HG2" s="75"/>
      <c r="HH2" s="73"/>
      <c r="HI2" s="76"/>
    </row>
    <row r="3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81"/>
      <c r="M3" s="74"/>
      <c r="N3" s="75"/>
      <c r="O3" s="75"/>
      <c r="P3" s="75"/>
      <c r="Q3" s="75"/>
      <c r="R3" s="75"/>
      <c r="S3" s="75"/>
      <c r="T3" s="75"/>
      <c r="U3" s="75"/>
      <c r="V3" s="75"/>
      <c r="W3" s="75"/>
      <c r="X3" s="81"/>
      <c r="Y3" s="74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81"/>
      <c r="AK3" s="74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81"/>
      <c r="AW3" s="74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81"/>
      <c r="BI3" s="74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81"/>
      <c r="BU3" s="74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81"/>
      <c r="CG3" s="74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81"/>
      <c r="CS3" s="74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81"/>
      <c r="DE3" s="74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81"/>
      <c r="DQ3" s="74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81"/>
      <c r="EC3" s="74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81"/>
      <c r="EO3" s="74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81"/>
      <c r="FA3" s="74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81"/>
      <c r="FM3" s="74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81"/>
      <c r="FY3" s="74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81"/>
      <c r="GK3" s="74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81"/>
      <c r="GW3" s="74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81"/>
      <c r="HI3" s="75"/>
    </row>
    <row r="4">
      <c r="A4" s="82"/>
      <c r="B4" s="83" t="s">
        <v>49</v>
      </c>
      <c r="C4" s="84" t="s">
        <v>50</v>
      </c>
      <c r="D4" s="85"/>
      <c r="E4" s="85"/>
      <c r="F4" s="85"/>
      <c r="G4" s="83" t="s">
        <v>51</v>
      </c>
      <c r="H4" s="85"/>
      <c r="I4" s="86"/>
      <c r="J4" s="87"/>
      <c r="K4" s="88" t="s">
        <v>52</v>
      </c>
      <c r="L4" s="89"/>
      <c r="M4" s="82"/>
      <c r="N4" s="83" t="s">
        <v>49</v>
      </c>
      <c r="O4" s="84" t="s">
        <v>50</v>
      </c>
      <c r="P4" s="85"/>
      <c r="Q4" s="85"/>
      <c r="R4" s="85"/>
      <c r="S4" s="83" t="s">
        <v>51</v>
      </c>
      <c r="T4" s="85"/>
      <c r="U4" s="86"/>
      <c r="V4" s="87"/>
      <c r="W4" s="88" t="s">
        <v>52</v>
      </c>
      <c r="X4" s="89"/>
      <c r="Y4" s="82"/>
      <c r="Z4" s="83" t="s">
        <v>49</v>
      </c>
      <c r="AA4" s="84" t="s">
        <v>50</v>
      </c>
      <c r="AB4" s="85"/>
      <c r="AC4" s="85"/>
      <c r="AD4" s="85"/>
      <c r="AE4" s="83" t="s">
        <v>51</v>
      </c>
      <c r="AF4" s="85"/>
      <c r="AG4" s="86"/>
      <c r="AH4" s="87"/>
      <c r="AI4" s="88" t="s">
        <v>52</v>
      </c>
      <c r="AJ4" s="89"/>
      <c r="AK4" s="82"/>
      <c r="AL4" s="83" t="s">
        <v>49</v>
      </c>
      <c r="AM4" s="84" t="s">
        <v>50</v>
      </c>
      <c r="AN4" s="85"/>
      <c r="AO4" s="85"/>
      <c r="AP4" s="85"/>
      <c r="AQ4" s="83" t="s">
        <v>51</v>
      </c>
      <c r="AR4" s="85"/>
      <c r="AS4" s="86"/>
      <c r="AT4" s="87"/>
      <c r="AU4" s="88" t="s">
        <v>52</v>
      </c>
      <c r="AV4" s="89"/>
      <c r="AW4" s="82"/>
      <c r="AX4" s="83" t="s">
        <v>49</v>
      </c>
      <c r="AY4" s="84" t="s">
        <v>50</v>
      </c>
      <c r="AZ4" s="85"/>
      <c r="BA4" s="85"/>
      <c r="BB4" s="85"/>
      <c r="BC4" s="83" t="s">
        <v>51</v>
      </c>
      <c r="BD4" s="85"/>
      <c r="BE4" s="86"/>
      <c r="BF4" s="87"/>
      <c r="BG4" s="88" t="s">
        <v>52</v>
      </c>
      <c r="BH4" s="89"/>
      <c r="BI4" s="82"/>
      <c r="BJ4" s="83" t="s">
        <v>49</v>
      </c>
      <c r="BK4" s="84" t="s">
        <v>50</v>
      </c>
      <c r="BL4" s="85"/>
      <c r="BM4" s="85"/>
      <c r="BN4" s="85"/>
      <c r="BO4" s="83" t="s">
        <v>51</v>
      </c>
      <c r="BP4" s="85"/>
      <c r="BQ4" s="86"/>
      <c r="BR4" s="87"/>
      <c r="BS4" s="88" t="s">
        <v>52</v>
      </c>
      <c r="BT4" s="89"/>
      <c r="BU4" s="82"/>
      <c r="BV4" s="83" t="s">
        <v>49</v>
      </c>
      <c r="BW4" s="84" t="s">
        <v>50</v>
      </c>
      <c r="BX4" s="85"/>
      <c r="BY4" s="85"/>
      <c r="BZ4" s="85"/>
      <c r="CA4" s="83" t="s">
        <v>51</v>
      </c>
      <c r="CB4" s="85"/>
      <c r="CC4" s="86"/>
      <c r="CD4" s="87"/>
      <c r="CE4" s="88" t="s">
        <v>52</v>
      </c>
      <c r="CF4" s="89"/>
      <c r="CG4" s="82"/>
      <c r="CH4" s="83" t="s">
        <v>49</v>
      </c>
      <c r="CI4" s="84" t="s">
        <v>50</v>
      </c>
      <c r="CJ4" s="85"/>
      <c r="CK4" s="85"/>
      <c r="CL4" s="85"/>
      <c r="CM4" s="83" t="s">
        <v>51</v>
      </c>
      <c r="CN4" s="85"/>
      <c r="CO4" s="86"/>
      <c r="CP4" s="87"/>
      <c r="CQ4" s="88" t="s">
        <v>52</v>
      </c>
      <c r="CR4" s="89"/>
      <c r="CS4" s="82"/>
      <c r="CT4" s="83" t="s">
        <v>49</v>
      </c>
      <c r="CU4" s="84" t="s">
        <v>50</v>
      </c>
      <c r="CV4" s="85"/>
      <c r="CW4" s="85"/>
      <c r="CX4" s="85"/>
      <c r="CY4" s="83" t="s">
        <v>51</v>
      </c>
      <c r="CZ4" s="85"/>
      <c r="DA4" s="86"/>
      <c r="DB4" s="87"/>
      <c r="DC4" s="88" t="s">
        <v>52</v>
      </c>
      <c r="DD4" s="89"/>
      <c r="DE4" s="82"/>
      <c r="DF4" s="83" t="s">
        <v>49</v>
      </c>
      <c r="DG4" s="84" t="s">
        <v>50</v>
      </c>
      <c r="DH4" s="85"/>
      <c r="DI4" s="85"/>
      <c r="DJ4" s="85"/>
      <c r="DK4" s="83" t="s">
        <v>51</v>
      </c>
      <c r="DL4" s="85"/>
      <c r="DM4" s="86"/>
      <c r="DN4" s="87"/>
      <c r="DO4" s="88" t="s">
        <v>52</v>
      </c>
      <c r="DP4" s="89"/>
      <c r="DQ4" s="82"/>
      <c r="DR4" s="83" t="s">
        <v>49</v>
      </c>
      <c r="DS4" s="84" t="s">
        <v>50</v>
      </c>
      <c r="DT4" s="85"/>
      <c r="DU4" s="85"/>
      <c r="DV4" s="85"/>
      <c r="DW4" s="83" t="s">
        <v>51</v>
      </c>
      <c r="DX4" s="85"/>
      <c r="DY4" s="86"/>
      <c r="DZ4" s="87"/>
      <c r="EA4" s="88" t="s">
        <v>52</v>
      </c>
      <c r="EB4" s="89"/>
      <c r="EC4" s="82"/>
      <c r="ED4" s="83" t="s">
        <v>49</v>
      </c>
      <c r="EE4" s="84" t="s">
        <v>50</v>
      </c>
      <c r="EF4" s="85"/>
      <c r="EG4" s="85"/>
      <c r="EH4" s="85"/>
      <c r="EI4" s="83" t="s">
        <v>51</v>
      </c>
      <c r="EJ4" s="85"/>
      <c r="EK4" s="86"/>
      <c r="EL4" s="87"/>
      <c r="EM4" s="88" t="s">
        <v>52</v>
      </c>
      <c r="EN4" s="89"/>
      <c r="EO4" s="82"/>
      <c r="EP4" s="83" t="s">
        <v>49</v>
      </c>
      <c r="EQ4" s="84" t="s">
        <v>50</v>
      </c>
      <c r="ER4" s="85"/>
      <c r="ES4" s="85"/>
      <c r="ET4" s="85"/>
      <c r="EU4" s="83" t="s">
        <v>51</v>
      </c>
      <c r="EV4" s="85"/>
      <c r="EW4" s="86"/>
      <c r="EX4" s="87"/>
      <c r="EY4" s="88" t="s">
        <v>52</v>
      </c>
      <c r="EZ4" s="89"/>
      <c r="FA4" s="82"/>
      <c r="FB4" s="83" t="s">
        <v>49</v>
      </c>
      <c r="FC4" s="84" t="s">
        <v>50</v>
      </c>
      <c r="FD4" s="85"/>
      <c r="FE4" s="85"/>
      <c r="FF4" s="85"/>
      <c r="FG4" s="83" t="s">
        <v>51</v>
      </c>
      <c r="FH4" s="85"/>
      <c r="FI4" s="86"/>
      <c r="FJ4" s="87"/>
      <c r="FK4" s="88" t="s">
        <v>52</v>
      </c>
      <c r="FL4" s="89"/>
      <c r="FM4" s="82"/>
      <c r="FN4" s="83" t="s">
        <v>49</v>
      </c>
      <c r="FO4" s="84" t="s">
        <v>50</v>
      </c>
      <c r="FP4" s="85"/>
      <c r="FQ4" s="85"/>
      <c r="FR4" s="85"/>
      <c r="FS4" s="83" t="s">
        <v>51</v>
      </c>
      <c r="FT4" s="85"/>
      <c r="FU4" s="86"/>
      <c r="FV4" s="87"/>
      <c r="FW4" s="88" t="s">
        <v>52</v>
      </c>
      <c r="FX4" s="89"/>
      <c r="FY4" s="82"/>
      <c r="FZ4" s="83" t="s">
        <v>49</v>
      </c>
      <c r="GA4" s="84" t="s">
        <v>50</v>
      </c>
      <c r="GB4" s="85"/>
      <c r="GC4" s="85"/>
      <c r="GD4" s="85"/>
      <c r="GE4" s="83" t="s">
        <v>51</v>
      </c>
      <c r="GF4" s="85"/>
      <c r="GG4" s="86"/>
      <c r="GH4" s="87"/>
      <c r="GI4" s="88" t="s">
        <v>52</v>
      </c>
      <c r="GJ4" s="89"/>
      <c r="GK4" s="82"/>
      <c r="GL4" s="83" t="s">
        <v>49</v>
      </c>
      <c r="GM4" s="84" t="s">
        <v>50</v>
      </c>
      <c r="GN4" s="85"/>
      <c r="GO4" s="85"/>
      <c r="GP4" s="85"/>
      <c r="GQ4" s="83" t="s">
        <v>51</v>
      </c>
      <c r="GR4" s="85"/>
      <c r="GS4" s="86"/>
      <c r="GT4" s="87"/>
      <c r="GU4" s="88" t="s">
        <v>52</v>
      </c>
      <c r="GV4" s="89"/>
      <c r="GW4" s="82"/>
      <c r="GX4" s="83" t="s">
        <v>49</v>
      </c>
      <c r="GY4" s="84" t="s">
        <v>50</v>
      </c>
      <c r="GZ4" s="85"/>
      <c r="HA4" s="85"/>
      <c r="HB4" s="85"/>
      <c r="HC4" s="83" t="s">
        <v>51</v>
      </c>
      <c r="HD4" s="85"/>
      <c r="HE4" s="86"/>
      <c r="HF4" s="87"/>
      <c r="HG4" s="88" t="s">
        <v>52</v>
      </c>
      <c r="HH4" s="89"/>
      <c r="HI4" s="87"/>
    </row>
    <row r="5">
      <c r="A5" s="90"/>
      <c r="B5" s="91" t="s">
        <v>23</v>
      </c>
      <c r="C5" s="92" t="s">
        <v>53</v>
      </c>
      <c r="D5" s="92"/>
      <c r="E5" s="92"/>
      <c r="F5" s="92"/>
      <c r="G5" s="91" t="s">
        <v>54</v>
      </c>
      <c r="H5" s="92"/>
      <c r="I5" s="93"/>
      <c r="J5" s="87"/>
      <c r="K5" s="94"/>
      <c r="L5" s="89"/>
      <c r="M5" s="90"/>
      <c r="N5" s="91" t="s">
        <v>23</v>
      </c>
      <c r="O5" s="92" t="s">
        <v>53</v>
      </c>
      <c r="P5" s="92"/>
      <c r="Q5" s="92"/>
      <c r="R5" s="92"/>
      <c r="S5" s="91" t="s">
        <v>54</v>
      </c>
      <c r="T5" s="92"/>
      <c r="U5" s="93"/>
      <c r="V5" s="87"/>
      <c r="W5" s="94"/>
      <c r="X5" s="89"/>
      <c r="Y5" s="90"/>
      <c r="Z5" s="91" t="s">
        <v>23</v>
      </c>
      <c r="AA5" s="92" t="s">
        <v>53</v>
      </c>
      <c r="AB5" s="92"/>
      <c r="AC5" s="92"/>
      <c r="AD5" s="92"/>
      <c r="AE5" s="91" t="s">
        <v>54</v>
      </c>
      <c r="AF5" s="92"/>
      <c r="AG5" s="93"/>
      <c r="AH5" s="87"/>
      <c r="AI5" s="94"/>
      <c r="AJ5" s="89"/>
      <c r="AK5" s="90"/>
      <c r="AL5" s="91" t="s">
        <v>23</v>
      </c>
      <c r="AM5" s="92" t="s">
        <v>53</v>
      </c>
      <c r="AN5" s="92"/>
      <c r="AO5" s="92"/>
      <c r="AP5" s="92"/>
      <c r="AQ5" s="91" t="s">
        <v>54</v>
      </c>
      <c r="AR5" s="92"/>
      <c r="AS5" s="93"/>
      <c r="AT5" s="87"/>
      <c r="AU5" s="94"/>
      <c r="AV5" s="89"/>
      <c r="AW5" s="90"/>
      <c r="AX5" s="91" t="s">
        <v>23</v>
      </c>
      <c r="AY5" s="92" t="s">
        <v>53</v>
      </c>
      <c r="AZ5" s="92"/>
      <c r="BA5" s="92"/>
      <c r="BB5" s="92"/>
      <c r="BC5" s="91" t="s">
        <v>54</v>
      </c>
      <c r="BD5" s="92"/>
      <c r="BE5" s="93"/>
      <c r="BF5" s="87"/>
      <c r="BG5" s="94"/>
      <c r="BH5" s="89"/>
      <c r="BI5" s="90"/>
      <c r="BJ5" s="91" t="s">
        <v>23</v>
      </c>
      <c r="BK5" s="92" t="s">
        <v>53</v>
      </c>
      <c r="BL5" s="92"/>
      <c r="BM5" s="92"/>
      <c r="BN5" s="92"/>
      <c r="BO5" s="91" t="s">
        <v>54</v>
      </c>
      <c r="BP5" s="92"/>
      <c r="BQ5" s="93"/>
      <c r="BR5" s="87"/>
      <c r="BS5" s="94"/>
      <c r="BT5" s="89"/>
      <c r="BU5" s="90"/>
      <c r="BV5" s="91" t="s">
        <v>23</v>
      </c>
      <c r="BW5" s="92" t="s">
        <v>53</v>
      </c>
      <c r="BX5" s="92"/>
      <c r="BY5" s="92"/>
      <c r="BZ5" s="92"/>
      <c r="CA5" s="91" t="s">
        <v>54</v>
      </c>
      <c r="CB5" s="92"/>
      <c r="CC5" s="93"/>
      <c r="CD5" s="87"/>
      <c r="CE5" s="94"/>
      <c r="CF5" s="89"/>
      <c r="CG5" s="90"/>
      <c r="CH5" s="91" t="s">
        <v>23</v>
      </c>
      <c r="CI5" s="92" t="s">
        <v>53</v>
      </c>
      <c r="CJ5" s="92"/>
      <c r="CK5" s="92"/>
      <c r="CL5" s="92"/>
      <c r="CM5" s="91" t="s">
        <v>54</v>
      </c>
      <c r="CN5" s="92"/>
      <c r="CO5" s="93"/>
      <c r="CP5" s="87"/>
      <c r="CQ5" s="94"/>
      <c r="CR5" s="89"/>
      <c r="CS5" s="90"/>
      <c r="CT5" s="91" t="s">
        <v>23</v>
      </c>
      <c r="CU5" s="92" t="s">
        <v>53</v>
      </c>
      <c r="CV5" s="92"/>
      <c r="CW5" s="92"/>
      <c r="CX5" s="92"/>
      <c r="CY5" s="91" t="s">
        <v>54</v>
      </c>
      <c r="CZ5" s="92"/>
      <c r="DA5" s="93"/>
      <c r="DB5" s="87"/>
      <c r="DC5" s="94"/>
      <c r="DD5" s="89"/>
      <c r="DE5" s="90"/>
      <c r="DF5" s="91" t="s">
        <v>23</v>
      </c>
      <c r="DG5" s="92" t="s">
        <v>53</v>
      </c>
      <c r="DH5" s="92"/>
      <c r="DI5" s="92"/>
      <c r="DJ5" s="92"/>
      <c r="DK5" s="91" t="s">
        <v>54</v>
      </c>
      <c r="DL5" s="92"/>
      <c r="DM5" s="93"/>
      <c r="DN5" s="87"/>
      <c r="DO5" s="94"/>
      <c r="DP5" s="89"/>
      <c r="DQ5" s="90"/>
      <c r="DR5" s="91" t="s">
        <v>23</v>
      </c>
      <c r="DS5" s="92" t="s">
        <v>53</v>
      </c>
      <c r="DT5" s="92"/>
      <c r="DU5" s="92"/>
      <c r="DV5" s="92"/>
      <c r="DW5" s="91" t="s">
        <v>54</v>
      </c>
      <c r="DX5" s="92"/>
      <c r="DY5" s="93"/>
      <c r="DZ5" s="87"/>
      <c r="EA5" s="94"/>
      <c r="EB5" s="89"/>
      <c r="EC5" s="90"/>
      <c r="ED5" s="91" t="s">
        <v>23</v>
      </c>
      <c r="EE5" s="92" t="s">
        <v>53</v>
      </c>
      <c r="EF5" s="92"/>
      <c r="EG5" s="92"/>
      <c r="EH5" s="92"/>
      <c r="EI5" s="91" t="s">
        <v>54</v>
      </c>
      <c r="EJ5" s="92"/>
      <c r="EK5" s="93"/>
      <c r="EL5" s="87"/>
      <c r="EM5" s="94"/>
      <c r="EN5" s="89"/>
      <c r="EO5" s="90"/>
      <c r="EP5" s="91" t="s">
        <v>23</v>
      </c>
      <c r="EQ5" s="92" t="s">
        <v>53</v>
      </c>
      <c r="ER5" s="92"/>
      <c r="ES5" s="92"/>
      <c r="ET5" s="92"/>
      <c r="EU5" s="91" t="s">
        <v>54</v>
      </c>
      <c r="EV5" s="92"/>
      <c r="EW5" s="93"/>
      <c r="EX5" s="87"/>
      <c r="EY5" s="94"/>
      <c r="EZ5" s="89"/>
      <c r="FA5" s="90"/>
      <c r="FB5" s="91" t="s">
        <v>23</v>
      </c>
      <c r="FC5" s="92" t="s">
        <v>53</v>
      </c>
      <c r="FD5" s="92"/>
      <c r="FE5" s="92"/>
      <c r="FF5" s="92"/>
      <c r="FG5" s="91" t="s">
        <v>54</v>
      </c>
      <c r="FH5" s="92"/>
      <c r="FI5" s="93"/>
      <c r="FJ5" s="87"/>
      <c r="FK5" s="94"/>
      <c r="FL5" s="89"/>
      <c r="FM5" s="90"/>
      <c r="FN5" s="91" t="s">
        <v>23</v>
      </c>
      <c r="FO5" s="92" t="s">
        <v>53</v>
      </c>
      <c r="FP5" s="92"/>
      <c r="FQ5" s="92"/>
      <c r="FR5" s="92"/>
      <c r="FS5" s="91" t="s">
        <v>54</v>
      </c>
      <c r="FT5" s="92"/>
      <c r="FU5" s="93"/>
      <c r="FV5" s="87"/>
      <c r="FW5" s="94"/>
      <c r="FX5" s="89"/>
      <c r="FY5" s="90"/>
      <c r="FZ5" s="91" t="s">
        <v>23</v>
      </c>
      <c r="GA5" s="92" t="s">
        <v>53</v>
      </c>
      <c r="GB5" s="92"/>
      <c r="GC5" s="92"/>
      <c r="GD5" s="92"/>
      <c r="GE5" s="91" t="s">
        <v>54</v>
      </c>
      <c r="GF5" s="92"/>
      <c r="GG5" s="93"/>
      <c r="GH5" s="87"/>
      <c r="GI5" s="94"/>
      <c r="GJ5" s="89"/>
      <c r="GK5" s="90"/>
      <c r="GL5" s="91" t="s">
        <v>23</v>
      </c>
      <c r="GM5" s="92" t="s">
        <v>53</v>
      </c>
      <c r="GN5" s="92"/>
      <c r="GO5" s="92"/>
      <c r="GP5" s="92"/>
      <c r="GQ5" s="91" t="s">
        <v>54</v>
      </c>
      <c r="GR5" s="92"/>
      <c r="GS5" s="93"/>
      <c r="GT5" s="87"/>
      <c r="GU5" s="94"/>
      <c r="GV5" s="89"/>
      <c r="GW5" s="90"/>
      <c r="GX5" s="91" t="s">
        <v>23</v>
      </c>
      <c r="GY5" s="92" t="s">
        <v>53</v>
      </c>
      <c r="GZ5" s="92"/>
      <c r="HA5" s="92"/>
      <c r="HB5" s="92"/>
      <c r="HC5" s="91" t="s">
        <v>54</v>
      </c>
      <c r="HD5" s="92"/>
      <c r="HE5" s="93"/>
      <c r="HF5" s="87"/>
      <c r="HG5" s="94"/>
      <c r="HH5" s="89"/>
      <c r="HI5" s="87"/>
    </row>
    <row r="6">
      <c r="A6" s="90"/>
      <c r="B6" s="91" t="s">
        <v>55</v>
      </c>
      <c r="C6" s="92" t="s">
        <v>56</v>
      </c>
      <c r="D6" s="92"/>
      <c r="E6" s="92"/>
      <c r="F6" s="92"/>
      <c r="G6" s="91" t="s">
        <v>57</v>
      </c>
      <c r="H6" s="92"/>
      <c r="I6" s="93"/>
      <c r="J6" s="87"/>
      <c r="K6" s="95">
        <v>2010.0</v>
      </c>
      <c r="L6" s="89"/>
      <c r="M6" s="90"/>
      <c r="N6" s="91" t="s">
        <v>55</v>
      </c>
      <c r="O6" s="92" t="s">
        <v>56</v>
      </c>
      <c r="P6" s="92"/>
      <c r="Q6" s="92"/>
      <c r="R6" s="92"/>
      <c r="S6" s="91" t="s">
        <v>57</v>
      </c>
      <c r="T6" s="92"/>
      <c r="U6" s="93"/>
      <c r="V6" s="87"/>
      <c r="W6" s="95">
        <f>K6+1</f>
        <v>2011</v>
      </c>
      <c r="X6" s="89"/>
      <c r="Y6" s="90"/>
      <c r="Z6" s="91" t="s">
        <v>55</v>
      </c>
      <c r="AA6" s="92" t="s">
        <v>56</v>
      </c>
      <c r="AB6" s="92"/>
      <c r="AC6" s="92"/>
      <c r="AD6" s="92"/>
      <c r="AE6" s="91" t="s">
        <v>57</v>
      </c>
      <c r="AF6" s="92"/>
      <c r="AG6" s="93"/>
      <c r="AH6" s="87"/>
      <c r="AI6" s="95">
        <f>W6+1</f>
        <v>2012</v>
      </c>
      <c r="AJ6" s="89"/>
      <c r="AK6" s="90"/>
      <c r="AL6" s="91" t="s">
        <v>55</v>
      </c>
      <c r="AM6" s="92" t="s">
        <v>56</v>
      </c>
      <c r="AN6" s="92"/>
      <c r="AO6" s="92"/>
      <c r="AP6" s="92"/>
      <c r="AQ6" s="91" t="s">
        <v>57</v>
      </c>
      <c r="AR6" s="92"/>
      <c r="AS6" s="93"/>
      <c r="AT6" s="87"/>
      <c r="AU6" s="95">
        <f>AI6+1</f>
        <v>2013</v>
      </c>
      <c r="AV6" s="89"/>
      <c r="AW6" s="90"/>
      <c r="AX6" s="91" t="s">
        <v>55</v>
      </c>
      <c r="AY6" s="92" t="s">
        <v>56</v>
      </c>
      <c r="AZ6" s="92"/>
      <c r="BA6" s="92"/>
      <c r="BB6" s="92"/>
      <c r="BC6" s="91" t="s">
        <v>57</v>
      </c>
      <c r="BD6" s="92"/>
      <c r="BE6" s="93"/>
      <c r="BF6" s="87"/>
      <c r="BG6" s="95">
        <f>AU6+1</f>
        <v>2014</v>
      </c>
      <c r="BH6" s="89"/>
      <c r="BI6" s="90"/>
      <c r="BJ6" s="91" t="s">
        <v>55</v>
      </c>
      <c r="BK6" s="92" t="s">
        <v>56</v>
      </c>
      <c r="BL6" s="92"/>
      <c r="BM6" s="92"/>
      <c r="BN6" s="92"/>
      <c r="BO6" s="91" t="s">
        <v>57</v>
      </c>
      <c r="BP6" s="92"/>
      <c r="BQ6" s="93"/>
      <c r="BR6" s="87"/>
      <c r="BS6" s="95">
        <f>BG6+1</f>
        <v>2015</v>
      </c>
      <c r="BT6" s="89"/>
      <c r="BU6" s="90"/>
      <c r="BV6" s="91" t="s">
        <v>55</v>
      </c>
      <c r="BW6" s="92" t="s">
        <v>56</v>
      </c>
      <c r="BX6" s="92"/>
      <c r="BY6" s="92"/>
      <c r="BZ6" s="92"/>
      <c r="CA6" s="91" t="s">
        <v>57</v>
      </c>
      <c r="CB6" s="92"/>
      <c r="CC6" s="93"/>
      <c r="CD6" s="87"/>
      <c r="CE6" s="95">
        <f>BS6+1</f>
        <v>2016</v>
      </c>
      <c r="CF6" s="89"/>
      <c r="CG6" s="90"/>
      <c r="CH6" s="91" t="s">
        <v>55</v>
      </c>
      <c r="CI6" s="92" t="s">
        <v>56</v>
      </c>
      <c r="CJ6" s="92"/>
      <c r="CK6" s="92"/>
      <c r="CL6" s="92"/>
      <c r="CM6" s="91" t="s">
        <v>57</v>
      </c>
      <c r="CN6" s="92"/>
      <c r="CO6" s="93"/>
      <c r="CP6" s="87"/>
      <c r="CQ6" s="95">
        <f>CE6+1</f>
        <v>2017</v>
      </c>
      <c r="CR6" s="89"/>
      <c r="CS6" s="90"/>
      <c r="CT6" s="91" t="s">
        <v>55</v>
      </c>
      <c r="CU6" s="92" t="s">
        <v>56</v>
      </c>
      <c r="CV6" s="92"/>
      <c r="CW6" s="92"/>
      <c r="CX6" s="92"/>
      <c r="CY6" s="91" t="s">
        <v>57</v>
      </c>
      <c r="CZ6" s="92"/>
      <c r="DA6" s="93"/>
      <c r="DB6" s="87"/>
      <c r="DC6" s="95">
        <f>CQ6+1</f>
        <v>2018</v>
      </c>
      <c r="DD6" s="89"/>
      <c r="DE6" s="90"/>
      <c r="DF6" s="91" t="s">
        <v>55</v>
      </c>
      <c r="DG6" s="92" t="s">
        <v>56</v>
      </c>
      <c r="DH6" s="92"/>
      <c r="DI6" s="92"/>
      <c r="DJ6" s="92"/>
      <c r="DK6" s="91" t="s">
        <v>57</v>
      </c>
      <c r="DL6" s="92"/>
      <c r="DM6" s="93"/>
      <c r="DN6" s="87"/>
      <c r="DO6" s="95">
        <f>DC6+1</f>
        <v>2019</v>
      </c>
      <c r="DP6" s="89"/>
      <c r="DQ6" s="90"/>
      <c r="DR6" s="91" t="s">
        <v>55</v>
      </c>
      <c r="DS6" s="92" t="s">
        <v>56</v>
      </c>
      <c r="DT6" s="92"/>
      <c r="DU6" s="92"/>
      <c r="DV6" s="92"/>
      <c r="DW6" s="91" t="s">
        <v>57</v>
      </c>
      <c r="DX6" s="92"/>
      <c r="DY6" s="93"/>
      <c r="DZ6" s="87"/>
      <c r="EA6" s="95">
        <f>DO6+1</f>
        <v>2020</v>
      </c>
      <c r="EB6" s="89"/>
      <c r="EC6" s="90"/>
      <c r="ED6" s="91" t="s">
        <v>55</v>
      </c>
      <c r="EE6" s="92" t="s">
        <v>56</v>
      </c>
      <c r="EF6" s="92"/>
      <c r="EG6" s="92"/>
      <c r="EH6" s="92"/>
      <c r="EI6" s="91" t="s">
        <v>57</v>
      </c>
      <c r="EJ6" s="92"/>
      <c r="EK6" s="93"/>
      <c r="EL6" s="87"/>
      <c r="EM6" s="95">
        <f>EA6+1</f>
        <v>2021</v>
      </c>
      <c r="EN6" s="89"/>
      <c r="EO6" s="90"/>
      <c r="EP6" s="91" t="s">
        <v>55</v>
      </c>
      <c r="EQ6" s="92" t="s">
        <v>56</v>
      </c>
      <c r="ER6" s="92"/>
      <c r="ES6" s="92"/>
      <c r="ET6" s="92"/>
      <c r="EU6" s="91" t="s">
        <v>57</v>
      </c>
      <c r="EV6" s="92"/>
      <c r="EW6" s="93"/>
      <c r="EX6" s="87"/>
      <c r="EY6" s="95">
        <f>EM6+1</f>
        <v>2022</v>
      </c>
      <c r="EZ6" s="89"/>
      <c r="FA6" s="90"/>
      <c r="FB6" s="91" t="s">
        <v>55</v>
      </c>
      <c r="FC6" s="92" t="s">
        <v>56</v>
      </c>
      <c r="FD6" s="92"/>
      <c r="FE6" s="92"/>
      <c r="FF6" s="92"/>
      <c r="FG6" s="91" t="s">
        <v>57</v>
      </c>
      <c r="FH6" s="92"/>
      <c r="FI6" s="93"/>
      <c r="FJ6" s="87"/>
      <c r="FK6" s="95">
        <f>EY6+1</f>
        <v>2023</v>
      </c>
      <c r="FL6" s="89"/>
      <c r="FM6" s="90"/>
      <c r="FN6" s="91" t="s">
        <v>55</v>
      </c>
      <c r="FO6" s="92" t="s">
        <v>56</v>
      </c>
      <c r="FP6" s="92"/>
      <c r="FQ6" s="92"/>
      <c r="FR6" s="92"/>
      <c r="FS6" s="91" t="s">
        <v>57</v>
      </c>
      <c r="FT6" s="92"/>
      <c r="FU6" s="93"/>
      <c r="FV6" s="87"/>
      <c r="FW6" s="95">
        <f>FK6+1</f>
        <v>2024</v>
      </c>
      <c r="FX6" s="89"/>
      <c r="FY6" s="90"/>
      <c r="FZ6" s="91" t="s">
        <v>55</v>
      </c>
      <c r="GA6" s="92" t="s">
        <v>56</v>
      </c>
      <c r="GB6" s="92"/>
      <c r="GC6" s="92"/>
      <c r="GD6" s="92"/>
      <c r="GE6" s="91" t="s">
        <v>57</v>
      </c>
      <c r="GF6" s="92"/>
      <c r="GG6" s="93"/>
      <c r="GH6" s="87"/>
      <c r="GI6" s="95">
        <f>FW6+1</f>
        <v>2025</v>
      </c>
      <c r="GJ6" s="89"/>
      <c r="GK6" s="90"/>
      <c r="GL6" s="91" t="s">
        <v>55</v>
      </c>
      <c r="GM6" s="92" t="s">
        <v>56</v>
      </c>
      <c r="GN6" s="92"/>
      <c r="GO6" s="92"/>
      <c r="GP6" s="92"/>
      <c r="GQ6" s="91" t="s">
        <v>57</v>
      </c>
      <c r="GR6" s="92"/>
      <c r="GS6" s="93"/>
      <c r="GT6" s="87"/>
      <c r="GU6" s="95">
        <f>GI6+1</f>
        <v>2026</v>
      </c>
      <c r="GV6" s="89"/>
      <c r="GW6" s="90"/>
      <c r="GX6" s="91" t="s">
        <v>55</v>
      </c>
      <c r="GY6" s="92" t="s">
        <v>56</v>
      </c>
      <c r="GZ6" s="92"/>
      <c r="HA6" s="92"/>
      <c r="HB6" s="92"/>
      <c r="HC6" s="91" t="s">
        <v>57</v>
      </c>
      <c r="HD6" s="92"/>
      <c r="HE6" s="93"/>
      <c r="HF6" s="87"/>
      <c r="HG6" s="95">
        <f>GU6+1</f>
        <v>2027</v>
      </c>
      <c r="HH6" s="89"/>
      <c r="HI6" s="87"/>
    </row>
    <row r="7">
      <c r="A7" s="90"/>
      <c r="B7" s="91" t="s">
        <v>58</v>
      </c>
      <c r="C7" s="92" t="s">
        <v>59</v>
      </c>
      <c r="D7" s="92"/>
      <c r="E7" s="92"/>
      <c r="F7" s="92"/>
      <c r="G7" s="96" t="str">
        <f>"Tahun "&amp;K$6</f>
        <v>Tahun 2010</v>
      </c>
      <c r="H7" s="92"/>
      <c r="I7" s="93"/>
      <c r="J7" s="87"/>
      <c r="K7" s="94"/>
      <c r="L7" s="89"/>
      <c r="M7" s="90"/>
      <c r="N7" s="91" t="s">
        <v>58</v>
      </c>
      <c r="O7" s="92" t="s">
        <v>59</v>
      </c>
      <c r="P7" s="92"/>
      <c r="Q7" s="92"/>
      <c r="R7" s="92"/>
      <c r="S7" s="96" t="str">
        <f>"Tahun "&amp;W$6</f>
        <v>Tahun 2011</v>
      </c>
      <c r="T7" s="92"/>
      <c r="U7" s="93"/>
      <c r="V7" s="87"/>
      <c r="W7" s="94"/>
      <c r="X7" s="89"/>
      <c r="Y7" s="90"/>
      <c r="Z7" s="91" t="s">
        <v>58</v>
      </c>
      <c r="AA7" s="92" t="s">
        <v>59</v>
      </c>
      <c r="AB7" s="92"/>
      <c r="AC7" s="92"/>
      <c r="AD7" s="92"/>
      <c r="AE7" s="96" t="str">
        <f>"Tahun "&amp;AI$6</f>
        <v>Tahun 2012</v>
      </c>
      <c r="AF7" s="92"/>
      <c r="AG7" s="93"/>
      <c r="AH7" s="87"/>
      <c r="AI7" s="94"/>
      <c r="AJ7" s="89"/>
      <c r="AK7" s="90"/>
      <c r="AL7" s="91" t="s">
        <v>58</v>
      </c>
      <c r="AM7" s="92" t="s">
        <v>59</v>
      </c>
      <c r="AN7" s="92"/>
      <c r="AO7" s="92"/>
      <c r="AP7" s="92"/>
      <c r="AQ7" s="96" t="str">
        <f>"Tahun "&amp;AU$6</f>
        <v>Tahun 2013</v>
      </c>
      <c r="AR7" s="92"/>
      <c r="AS7" s="93"/>
      <c r="AT7" s="87"/>
      <c r="AU7" s="94"/>
      <c r="AV7" s="89"/>
      <c r="AW7" s="90"/>
      <c r="AX7" s="91" t="s">
        <v>58</v>
      </c>
      <c r="AY7" s="92" t="s">
        <v>59</v>
      </c>
      <c r="AZ7" s="92"/>
      <c r="BA7" s="92"/>
      <c r="BB7" s="92"/>
      <c r="BC7" s="96" t="str">
        <f>"Tahun "&amp;BG$6</f>
        <v>Tahun 2014</v>
      </c>
      <c r="BD7" s="92"/>
      <c r="BE7" s="93"/>
      <c r="BF7" s="87"/>
      <c r="BG7" s="94"/>
      <c r="BH7" s="89"/>
      <c r="BI7" s="90"/>
      <c r="BJ7" s="91" t="s">
        <v>58</v>
      </c>
      <c r="BK7" s="92" t="s">
        <v>59</v>
      </c>
      <c r="BL7" s="92"/>
      <c r="BM7" s="92"/>
      <c r="BN7" s="92"/>
      <c r="BO7" s="96" t="str">
        <f>"Tahun "&amp;BS$6</f>
        <v>Tahun 2015</v>
      </c>
      <c r="BP7" s="92"/>
      <c r="BQ7" s="93"/>
      <c r="BR7" s="87"/>
      <c r="BS7" s="94"/>
      <c r="BT7" s="89"/>
      <c r="BU7" s="90"/>
      <c r="BV7" s="91" t="s">
        <v>58</v>
      </c>
      <c r="BW7" s="92" t="s">
        <v>59</v>
      </c>
      <c r="BX7" s="92"/>
      <c r="BY7" s="92"/>
      <c r="BZ7" s="92"/>
      <c r="CA7" s="96" t="str">
        <f>"Tahun "&amp;CE$6</f>
        <v>Tahun 2016</v>
      </c>
      <c r="CB7" s="92"/>
      <c r="CC7" s="93"/>
      <c r="CD7" s="87"/>
      <c r="CE7" s="94"/>
      <c r="CF7" s="89"/>
      <c r="CG7" s="90"/>
      <c r="CH7" s="91" t="s">
        <v>58</v>
      </c>
      <c r="CI7" s="92" t="s">
        <v>59</v>
      </c>
      <c r="CJ7" s="92"/>
      <c r="CK7" s="92"/>
      <c r="CL7" s="92"/>
      <c r="CM7" s="96" t="str">
        <f>"Tahun "&amp;CQ$6</f>
        <v>Tahun 2017</v>
      </c>
      <c r="CN7" s="92"/>
      <c r="CO7" s="93"/>
      <c r="CP7" s="87"/>
      <c r="CQ7" s="94"/>
      <c r="CR7" s="89"/>
      <c r="CS7" s="90"/>
      <c r="CT7" s="91" t="s">
        <v>58</v>
      </c>
      <c r="CU7" s="92" t="s">
        <v>59</v>
      </c>
      <c r="CV7" s="92"/>
      <c r="CW7" s="92"/>
      <c r="CX7" s="92"/>
      <c r="CY7" s="96" t="str">
        <f>"Tahun "&amp;DC$6</f>
        <v>Tahun 2018</v>
      </c>
      <c r="CZ7" s="92"/>
      <c r="DA7" s="93"/>
      <c r="DB7" s="87"/>
      <c r="DC7" s="94"/>
      <c r="DD7" s="89"/>
      <c r="DE7" s="90"/>
      <c r="DF7" s="91" t="s">
        <v>58</v>
      </c>
      <c r="DG7" s="92" t="s">
        <v>59</v>
      </c>
      <c r="DH7" s="92"/>
      <c r="DI7" s="92"/>
      <c r="DJ7" s="92"/>
      <c r="DK7" s="96" t="str">
        <f>"Tahun "&amp;DO$6</f>
        <v>Tahun 2019</v>
      </c>
      <c r="DL7" s="92"/>
      <c r="DM7" s="93"/>
      <c r="DN7" s="87"/>
      <c r="DO7" s="94"/>
      <c r="DP7" s="89"/>
      <c r="DQ7" s="90"/>
      <c r="DR7" s="91" t="s">
        <v>58</v>
      </c>
      <c r="DS7" s="92" t="s">
        <v>59</v>
      </c>
      <c r="DT7" s="92"/>
      <c r="DU7" s="92"/>
      <c r="DV7" s="92"/>
      <c r="DW7" s="96" t="str">
        <f>"Tahun "&amp;EA$6</f>
        <v>Tahun 2020</v>
      </c>
      <c r="DX7" s="92"/>
      <c r="DY7" s="93"/>
      <c r="DZ7" s="87"/>
      <c r="EA7" s="94"/>
      <c r="EB7" s="89"/>
      <c r="EC7" s="90"/>
      <c r="ED7" s="91" t="s">
        <v>58</v>
      </c>
      <c r="EE7" s="92" t="s">
        <v>59</v>
      </c>
      <c r="EF7" s="92"/>
      <c r="EG7" s="92"/>
      <c r="EH7" s="92"/>
      <c r="EI7" s="96" t="str">
        <f>"Tahun "&amp;EM$6</f>
        <v>Tahun 2021</v>
      </c>
      <c r="EJ7" s="92"/>
      <c r="EK7" s="93"/>
      <c r="EL7" s="87"/>
      <c r="EM7" s="94"/>
      <c r="EN7" s="89"/>
      <c r="EO7" s="90"/>
      <c r="EP7" s="91" t="s">
        <v>58</v>
      </c>
      <c r="EQ7" s="92" t="s">
        <v>59</v>
      </c>
      <c r="ER7" s="92"/>
      <c r="ES7" s="92"/>
      <c r="ET7" s="92"/>
      <c r="EU7" s="96" t="str">
        <f>"Tahun "&amp;EY$6</f>
        <v>Tahun 2022</v>
      </c>
      <c r="EV7" s="92"/>
      <c r="EW7" s="93"/>
      <c r="EX7" s="87"/>
      <c r="EY7" s="94"/>
      <c r="EZ7" s="89"/>
      <c r="FA7" s="90"/>
      <c r="FB7" s="91" t="s">
        <v>58</v>
      </c>
      <c r="FC7" s="92" t="s">
        <v>59</v>
      </c>
      <c r="FD7" s="92"/>
      <c r="FE7" s="92"/>
      <c r="FF7" s="92"/>
      <c r="FG7" s="96" t="str">
        <f>"Tahun "&amp;FK$6</f>
        <v>Tahun 2023</v>
      </c>
      <c r="FH7" s="92"/>
      <c r="FI7" s="93"/>
      <c r="FJ7" s="87"/>
      <c r="FK7" s="94"/>
      <c r="FL7" s="89"/>
      <c r="FM7" s="90"/>
      <c r="FN7" s="91" t="s">
        <v>58</v>
      </c>
      <c r="FO7" s="92" t="s">
        <v>59</v>
      </c>
      <c r="FP7" s="92"/>
      <c r="FQ7" s="92"/>
      <c r="FR7" s="92"/>
      <c r="FS7" s="96" t="str">
        <f>"Tahun "&amp;FW$6</f>
        <v>Tahun 2024</v>
      </c>
      <c r="FT7" s="92"/>
      <c r="FU7" s="93"/>
      <c r="FV7" s="87"/>
      <c r="FW7" s="94"/>
      <c r="FX7" s="89"/>
      <c r="FY7" s="90"/>
      <c r="FZ7" s="91" t="s">
        <v>58</v>
      </c>
      <c r="GA7" s="92" t="s">
        <v>59</v>
      </c>
      <c r="GB7" s="92"/>
      <c r="GC7" s="92"/>
      <c r="GD7" s="92"/>
      <c r="GE7" s="96" t="str">
        <f>"Tahun "&amp;GI$6</f>
        <v>Tahun 2025</v>
      </c>
      <c r="GF7" s="92"/>
      <c r="GG7" s="93"/>
      <c r="GH7" s="87"/>
      <c r="GI7" s="94"/>
      <c r="GJ7" s="89"/>
      <c r="GK7" s="90"/>
      <c r="GL7" s="91" t="s">
        <v>58</v>
      </c>
      <c r="GM7" s="92" t="s">
        <v>59</v>
      </c>
      <c r="GN7" s="92"/>
      <c r="GO7" s="92"/>
      <c r="GP7" s="92"/>
      <c r="GQ7" s="96" t="str">
        <f>"Tahun "&amp;GU$6</f>
        <v>Tahun 2026</v>
      </c>
      <c r="GR7" s="92"/>
      <c r="GS7" s="93"/>
      <c r="GT7" s="87"/>
      <c r="GU7" s="94"/>
      <c r="GV7" s="89"/>
      <c r="GW7" s="90"/>
      <c r="GX7" s="91" t="s">
        <v>58</v>
      </c>
      <c r="GY7" s="92" t="s">
        <v>59</v>
      </c>
      <c r="GZ7" s="92"/>
      <c r="HA7" s="92"/>
      <c r="HB7" s="92"/>
      <c r="HC7" s="96" t="str">
        <f>"Tahun "&amp;HG$6</f>
        <v>Tahun 2027</v>
      </c>
      <c r="HD7" s="92"/>
      <c r="HE7" s="93"/>
      <c r="HF7" s="87"/>
      <c r="HG7" s="94"/>
      <c r="HH7" s="89"/>
      <c r="HI7" s="87"/>
    </row>
    <row r="8">
      <c r="A8" s="97"/>
      <c r="B8" s="98" t="s">
        <v>60</v>
      </c>
      <c r="C8" s="99" t="s">
        <v>61</v>
      </c>
      <c r="D8" s="99"/>
      <c r="E8" s="99"/>
      <c r="F8" s="99"/>
      <c r="G8" s="99"/>
      <c r="H8" s="99"/>
      <c r="I8" s="100"/>
      <c r="J8" s="87"/>
      <c r="K8" s="87"/>
      <c r="L8" s="89"/>
      <c r="M8" s="97"/>
      <c r="N8" s="98" t="s">
        <v>60</v>
      </c>
      <c r="O8" s="99" t="s">
        <v>61</v>
      </c>
      <c r="P8" s="99"/>
      <c r="Q8" s="99"/>
      <c r="R8" s="99"/>
      <c r="S8" s="99"/>
      <c r="T8" s="99"/>
      <c r="U8" s="100"/>
      <c r="V8" s="87"/>
      <c r="W8" s="87"/>
      <c r="X8" s="89"/>
      <c r="Y8" s="97"/>
      <c r="Z8" s="98" t="s">
        <v>60</v>
      </c>
      <c r="AA8" s="99" t="s">
        <v>61</v>
      </c>
      <c r="AB8" s="99"/>
      <c r="AC8" s="99"/>
      <c r="AD8" s="99"/>
      <c r="AE8" s="99"/>
      <c r="AF8" s="99"/>
      <c r="AG8" s="100"/>
      <c r="AH8" s="87"/>
      <c r="AI8" s="87"/>
      <c r="AJ8" s="89"/>
      <c r="AK8" s="97"/>
      <c r="AL8" s="98" t="s">
        <v>60</v>
      </c>
      <c r="AM8" s="99" t="s">
        <v>61</v>
      </c>
      <c r="AN8" s="99"/>
      <c r="AO8" s="99"/>
      <c r="AP8" s="99"/>
      <c r="AQ8" s="99"/>
      <c r="AR8" s="99"/>
      <c r="AS8" s="100"/>
      <c r="AT8" s="87"/>
      <c r="AU8" s="87"/>
      <c r="AV8" s="89"/>
      <c r="AW8" s="97"/>
      <c r="AX8" s="98" t="s">
        <v>60</v>
      </c>
      <c r="AY8" s="99" t="s">
        <v>61</v>
      </c>
      <c r="AZ8" s="99"/>
      <c r="BA8" s="99"/>
      <c r="BB8" s="99"/>
      <c r="BC8" s="99"/>
      <c r="BD8" s="99"/>
      <c r="BE8" s="100"/>
      <c r="BF8" s="87"/>
      <c r="BG8" s="87"/>
      <c r="BH8" s="89"/>
      <c r="BI8" s="97"/>
      <c r="BJ8" s="98" t="s">
        <v>60</v>
      </c>
      <c r="BK8" s="99" t="s">
        <v>61</v>
      </c>
      <c r="BL8" s="99"/>
      <c r="BM8" s="99"/>
      <c r="BN8" s="99"/>
      <c r="BO8" s="99"/>
      <c r="BP8" s="99"/>
      <c r="BQ8" s="100"/>
      <c r="BR8" s="87"/>
      <c r="BS8" s="87"/>
      <c r="BT8" s="89"/>
      <c r="BU8" s="97"/>
      <c r="BV8" s="98" t="s">
        <v>60</v>
      </c>
      <c r="BW8" s="99" t="s">
        <v>61</v>
      </c>
      <c r="BX8" s="99"/>
      <c r="BY8" s="99"/>
      <c r="BZ8" s="99"/>
      <c r="CA8" s="99"/>
      <c r="CB8" s="99"/>
      <c r="CC8" s="100"/>
      <c r="CD8" s="87"/>
      <c r="CE8" s="87"/>
      <c r="CF8" s="89"/>
      <c r="CG8" s="97"/>
      <c r="CH8" s="98" t="s">
        <v>60</v>
      </c>
      <c r="CI8" s="99" t="s">
        <v>61</v>
      </c>
      <c r="CJ8" s="99"/>
      <c r="CK8" s="99"/>
      <c r="CL8" s="99"/>
      <c r="CM8" s="99"/>
      <c r="CN8" s="99"/>
      <c r="CO8" s="100"/>
      <c r="CP8" s="87"/>
      <c r="CQ8" s="87"/>
      <c r="CR8" s="89"/>
      <c r="CS8" s="97"/>
      <c r="CT8" s="98" t="s">
        <v>60</v>
      </c>
      <c r="CU8" s="99" t="s">
        <v>61</v>
      </c>
      <c r="CV8" s="99"/>
      <c r="CW8" s="99"/>
      <c r="CX8" s="99"/>
      <c r="CY8" s="99"/>
      <c r="CZ8" s="99"/>
      <c r="DA8" s="100"/>
      <c r="DB8" s="87"/>
      <c r="DC8" s="87"/>
      <c r="DD8" s="89"/>
      <c r="DE8" s="97"/>
      <c r="DF8" s="98" t="s">
        <v>60</v>
      </c>
      <c r="DG8" s="99" t="s">
        <v>61</v>
      </c>
      <c r="DH8" s="99"/>
      <c r="DI8" s="99"/>
      <c r="DJ8" s="99"/>
      <c r="DK8" s="99"/>
      <c r="DL8" s="99"/>
      <c r="DM8" s="100"/>
      <c r="DN8" s="87"/>
      <c r="DO8" s="87"/>
      <c r="DP8" s="89"/>
      <c r="DQ8" s="97"/>
      <c r="DR8" s="98" t="s">
        <v>60</v>
      </c>
      <c r="DS8" s="99" t="s">
        <v>61</v>
      </c>
      <c r="DT8" s="99"/>
      <c r="DU8" s="99"/>
      <c r="DV8" s="99"/>
      <c r="DW8" s="99"/>
      <c r="DX8" s="99"/>
      <c r="DY8" s="100"/>
      <c r="DZ8" s="87"/>
      <c r="EA8" s="87"/>
      <c r="EB8" s="89"/>
      <c r="EC8" s="97"/>
      <c r="ED8" s="98" t="s">
        <v>60</v>
      </c>
      <c r="EE8" s="99" t="s">
        <v>61</v>
      </c>
      <c r="EF8" s="99"/>
      <c r="EG8" s="99"/>
      <c r="EH8" s="99"/>
      <c r="EI8" s="99"/>
      <c r="EJ8" s="99"/>
      <c r="EK8" s="100"/>
      <c r="EL8" s="87"/>
      <c r="EM8" s="87"/>
      <c r="EN8" s="89"/>
      <c r="EO8" s="97"/>
      <c r="EP8" s="98" t="s">
        <v>60</v>
      </c>
      <c r="EQ8" s="99" t="s">
        <v>61</v>
      </c>
      <c r="ER8" s="99"/>
      <c r="ES8" s="99"/>
      <c r="ET8" s="99"/>
      <c r="EU8" s="99"/>
      <c r="EV8" s="99"/>
      <c r="EW8" s="100"/>
      <c r="EX8" s="87"/>
      <c r="EY8" s="87"/>
      <c r="EZ8" s="89"/>
      <c r="FA8" s="97"/>
      <c r="FB8" s="98" t="s">
        <v>60</v>
      </c>
      <c r="FC8" s="99" t="s">
        <v>61</v>
      </c>
      <c r="FD8" s="99"/>
      <c r="FE8" s="99"/>
      <c r="FF8" s="99"/>
      <c r="FG8" s="99"/>
      <c r="FH8" s="99"/>
      <c r="FI8" s="100"/>
      <c r="FJ8" s="87"/>
      <c r="FK8" s="87"/>
      <c r="FL8" s="89"/>
      <c r="FM8" s="97"/>
      <c r="FN8" s="98" t="s">
        <v>60</v>
      </c>
      <c r="FO8" s="99" t="s">
        <v>61</v>
      </c>
      <c r="FP8" s="99"/>
      <c r="FQ8" s="99"/>
      <c r="FR8" s="99"/>
      <c r="FS8" s="99"/>
      <c r="FT8" s="99"/>
      <c r="FU8" s="100"/>
      <c r="FV8" s="87"/>
      <c r="FW8" s="87"/>
      <c r="FX8" s="89"/>
      <c r="FY8" s="97"/>
      <c r="FZ8" s="98" t="s">
        <v>60</v>
      </c>
      <c r="GA8" s="99" t="s">
        <v>61</v>
      </c>
      <c r="GB8" s="99"/>
      <c r="GC8" s="99"/>
      <c r="GD8" s="99"/>
      <c r="GE8" s="99"/>
      <c r="GF8" s="99"/>
      <c r="GG8" s="100"/>
      <c r="GH8" s="87"/>
      <c r="GI8" s="87"/>
      <c r="GJ8" s="89"/>
      <c r="GK8" s="97"/>
      <c r="GL8" s="98" t="s">
        <v>60</v>
      </c>
      <c r="GM8" s="99" t="s">
        <v>61</v>
      </c>
      <c r="GN8" s="99"/>
      <c r="GO8" s="99"/>
      <c r="GP8" s="99"/>
      <c r="GQ8" s="99"/>
      <c r="GR8" s="99"/>
      <c r="GS8" s="100"/>
      <c r="GT8" s="87"/>
      <c r="GU8" s="87"/>
      <c r="GV8" s="89"/>
      <c r="GW8" s="97"/>
      <c r="GX8" s="98" t="s">
        <v>60</v>
      </c>
      <c r="GY8" s="99" t="s">
        <v>61</v>
      </c>
      <c r="GZ8" s="99"/>
      <c r="HA8" s="99"/>
      <c r="HB8" s="99"/>
      <c r="HC8" s="99"/>
      <c r="HD8" s="99"/>
      <c r="HE8" s="100"/>
      <c r="HF8" s="87"/>
      <c r="HG8" s="87"/>
      <c r="HH8" s="89"/>
      <c r="HI8" s="87"/>
    </row>
    <row r="9">
      <c r="A9" s="74"/>
      <c r="B9" s="75"/>
      <c r="C9" s="75"/>
      <c r="D9" s="75"/>
      <c r="E9" s="75"/>
      <c r="F9" s="75"/>
      <c r="G9" s="75"/>
      <c r="H9" s="75"/>
      <c r="I9" s="75"/>
      <c r="J9" s="75"/>
      <c r="K9" s="75"/>
      <c r="L9" s="81"/>
      <c r="M9" s="74"/>
      <c r="N9" s="75"/>
      <c r="O9" s="75"/>
      <c r="P9" s="75"/>
      <c r="Q9" s="75"/>
      <c r="R9" s="75"/>
      <c r="S9" s="75"/>
      <c r="T9" s="75"/>
      <c r="U9" s="75"/>
      <c r="V9" s="75"/>
      <c r="W9" s="75"/>
      <c r="X9" s="81"/>
      <c r="Y9" s="74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81"/>
      <c r="AK9" s="74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81"/>
      <c r="AW9" s="74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81"/>
      <c r="BI9" s="74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81"/>
      <c r="BU9" s="74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81"/>
      <c r="CG9" s="74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81"/>
      <c r="CS9" s="74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81"/>
      <c r="DE9" s="74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81"/>
      <c r="DQ9" s="74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81"/>
      <c r="EC9" s="74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81"/>
      <c r="EO9" s="74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81"/>
      <c r="FA9" s="74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81"/>
      <c r="FM9" s="74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81"/>
      <c r="FY9" s="74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81"/>
      <c r="GK9" s="74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81"/>
      <c r="GW9" s="74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81"/>
      <c r="HI9" s="75"/>
    </row>
    <row r="10" ht="33.75" customHeight="1">
      <c r="A10" s="101" t="s">
        <v>62</v>
      </c>
      <c r="B10" s="102" t="s">
        <v>63</v>
      </c>
      <c r="C10" s="102" t="s">
        <v>64</v>
      </c>
      <c r="D10" s="102" t="s">
        <v>65</v>
      </c>
      <c r="E10" s="102" t="s">
        <v>66</v>
      </c>
      <c r="F10" s="103" t="s">
        <v>67</v>
      </c>
      <c r="G10" s="104"/>
      <c r="H10" s="105" t="s">
        <v>68</v>
      </c>
      <c r="I10" s="106"/>
      <c r="J10" s="106"/>
      <c r="K10" s="106"/>
      <c r="L10" s="107"/>
      <c r="M10" s="101" t="s">
        <v>62</v>
      </c>
      <c r="N10" s="102" t="s">
        <v>63</v>
      </c>
      <c r="O10" s="102" t="s">
        <v>64</v>
      </c>
      <c r="P10" s="102" t="s">
        <v>65</v>
      </c>
      <c r="Q10" s="102" t="s">
        <v>66</v>
      </c>
      <c r="R10" s="103" t="s">
        <v>67</v>
      </c>
      <c r="S10" s="104"/>
      <c r="T10" s="105" t="s">
        <v>68</v>
      </c>
      <c r="U10" s="106"/>
      <c r="V10" s="106"/>
      <c r="W10" s="106"/>
      <c r="X10" s="107"/>
      <c r="Y10" s="101" t="s">
        <v>62</v>
      </c>
      <c r="Z10" s="102" t="s">
        <v>63</v>
      </c>
      <c r="AA10" s="102" t="s">
        <v>64</v>
      </c>
      <c r="AB10" s="102" t="s">
        <v>65</v>
      </c>
      <c r="AC10" s="102" t="s">
        <v>66</v>
      </c>
      <c r="AD10" s="103" t="s">
        <v>67</v>
      </c>
      <c r="AE10" s="104"/>
      <c r="AF10" s="105" t="s">
        <v>68</v>
      </c>
      <c r="AG10" s="106"/>
      <c r="AH10" s="106"/>
      <c r="AI10" s="106"/>
      <c r="AJ10" s="107"/>
      <c r="AK10" s="101" t="s">
        <v>62</v>
      </c>
      <c r="AL10" s="102" t="s">
        <v>63</v>
      </c>
      <c r="AM10" s="102" t="s">
        <v>64</v>
      </c>
      <c r="AN10" s="102" t="s">
        <v>65</v>
      </c>
      <c r="AO10" s="102" t="s">
        <v>66</v>
      </c>
      <c r="AP10" s="103" t="s">
        <v>67</v>
      </c>
      <c r="AQ10" s="104"/>
      <c r="AR10" s="105" t="s">
        <v>68</v>
      </c>
      <c r="AS10" s="106"/>
      <c r="AT10" s="106"/>
      <c r="AU10" s="106"/>
      <c r="AV10" s="107"/>
      <c r="AW10" s="101" t="s">
        <v>62</v>
      </c>
      <c r="AX10" s="102" t="s">
        <v>63</v>
      </c>
      <c r="AY10" s="102" t="s">
        <v>64</v>
      </c>
      <c r="AZ10" s="102" t="s">
        <v>65</v>
      </c>
      <c r="BA10" s="102" t="s">
        <v>66</v>
      </c>
      <c r="BB10" s="103" t="s">
        <v>67</v>
      </c>
      <c r="BC10" s="104"/>
      <c r="BD10" s="105" t="s">
        <v>68</v>
      </c>
      <c r="BE10" s="106"/>
      <c r="BF10" s="106"/>
      <c r="BG10" s="106"/>
      <c r="BH10" s="107"/>
      <c r="BI10" s="101" t="s">
        <v>62</v>
      </c>
      <c r="BJ10" s="102" t="s">
        <v>63</v>
      </c>
      <c r="BK10" s="102" t="s">
        <v>64</v>
      </c>
      <c r="BL10" s="102" t="s">
        <v>65</v>
      </c>
      <c r="BM10" s="102" t="s">
        <v>66</v>
      </c>
      <c r="BN10" s="103" t="s">
        <v>67</v>
      </c>
      <c r="BO10" s="104"/>
      <c r="BP10" s="105" t="s">
        <v>68</v>
      </c>
      <c r="BQ10" s="106"/>
      <c r="BR10" s="106"/>
      <c r="BS10" s="106"/>
      <c r="BT10" s="107"/>
      <c r="BU10" s="101" t="s">
        <v>62</v>
      </c>
      <c r="BV10" s="102" t="s">
        <v>63</v>
      </c>
      <c r="BW10" s="102" t="s">
        <v>64</v>
      </c>
      <c r="BX10" s="102" t="s">
        <v>65</v>
      </c>
      <c r="BY10" s="102" t="s">
        <v>66</v>
      </c>
      <c r="BZ10" s="103" t="s">
        <v>67</v>
      </c>
      <c r="CA10" s="104"/>
      <c r="CB10" s="105" t="s">
        <v>68</v>
      </c>
      <c r="CC10" s="106"/>
      <c r="CD10" s="106"/>
      <c r="CE10" s="106"/>
      <c r="CF10" s="107"/>
      <c r="CG10" s="101" t="s">
        <v>62</v>
      </c>
      <c r="CH10" s="102" t="s">
        <v>63</v>
      </c>
      <c r="CI10" s="102" t="s">
        <v>64</v>
      </c>
      <c r="CJ10" s="102" t="s">
        <v>65</v>
      </c>
      <c r="CK10" s="102" t="s">
        <v>66</v>
      </c>
      <c r="CL10" s="103" t="s">
        <v>67</v>
      </c>
      <c r="CM10" s="104"/>
      <c r="CN10" s="105" t="s">
        <v>68</v>
      </c>
      <c r="CO10" s="106"/>
      <c r="CP10" s="106"/>
      <c r="CQ10" s="106"/>
      <c r="CR10" s="107"/>
      <c r="CS10" s="101" t="s">
        <v>62</v>
      </c>
      <c r="CT10" s="102" t="s">
        <v>63</v>
      </c>
      <c r="CU10" s="102" t="s">
        <v>64</v>
      </c>
      <c r="CV10" s="102" t="s">
        <v>65</v>
      </c>
      <c r="CW10" s="102" t="s">
        <v>66</v>
      </c>
      <c r="CX10" s="103" t="s">
        <v>67</v>
      </c>
      <c r="CY10" s="104"/>
      <c r="CZ10" s="105" t="s">
        <v>68</v>
      </c>
      <c r="DA10" s="106"/>
      <c r="DB10" s="106"/>
      <c r="DC10" s="106"/>
      <c r="DD10" s="107"/>
      <c r="DE10" s="101" t="s">
        <v>62</v>
      </c>
      <c r="DF10" s="102" t="s">
        <v>63</v>
      </c>
      <c r="DG10" s="102" t="s">
        <v>64</v>
      </c>
      <c r="DH10" s="102" t="s">
        <v>65</v>
      </c>
      <c r="DI10" s="102" t="s">
        <v>66</v>
      </c>
      <c r="DJ10" s="103" t="s">
        <v>67</v>
      </c>
      <c r="DK10" s="104"/>
      <c r="DL10" s="105" t="s">
        <v>68</v>
      </c>
      <c r="DM10" s="106"/>
      <c r="DN10" s="106"/>
      <c r="DO10" s="106"/>
      <c r="DP10" s="107"/>
      <c r="DQ10" s="101" t="s">
        <v>62</v>
      </c>
      <c r="DR10" s="102" t="s">
        <v>63</v>
      </c>
      <c r="DS10" s="102" t="s">
        <v>64</v>
      </c>
      <c r="DT10" s="102" t="s">
        <v>65</v>
      </c>
      <c r="DU10" s="102" t="s">
        <v>66</v>
      </c>
      <c r="DV10" s="103" t="s">
        <v>67</v>
      </c>
      <c r="DW10" s="104"/>
      <c r="DX10" s="105" t="s">
        <v>68</v>
      </c>
      <c r="DY10" s="106"/>
      <c r="DZ10" s="106"/>
      <c r="EA10" s="106"/>
      <c r="EB10" s="107"/>
      <c r="EC10" s="101" t="s">
        <v>62</v>
      </c>
      <c r="ED10" s="102" t="s">
        <v>63</v>
      </c>
      <c r="EE10" s="102" t="s">
        <v>64</v>
      </c>
      <c r="EF10" s="102" t="s">
        <v>65</v>
      </c>
      <c r="EG10" s="102" t="s">
        <v>66</v>
      </c>
      <c r="EH10" s="103" t="s">
        <v>67</v>
      </c>
      <c r="EI10" s="104"/>
      <c r="EJ10" s="105" t="s">
        <v>68</v>
      </c>
      <c r="EK10" s="106"/>
      <c r="EL10" s="106"/>
      <c r="EM10" s="106"/>
      <c r="EN10" s="107"/>
      <c r="EO10" s="101" t="s">
        <v>62</v>
      </c>
      <c r="EP10" s="102" t="s">
        <v>63</v>
      </c>
      <c r="EQ10" s="102" t="s">
        <v>64</v>
      </c>
      <c r="ER10" s="102" t="s">
        <v>65</v>
      </c>
      <c r="ES10" s="102" t="s">
        <v>66</v>
      </c>
      <c r="ET10" s="103" t="s">
        <v>67</v>
      </c>
      <c r="EU10" s="104"/>
      <c r="EV10" s="105" t="s">
        <v>68</v>
      </c>
      <c r="EW10" s="106"/>
      <c r="EX10" s="106"/>
      <c r="EY10" s="106"/>
      <c r="EZ10" s="107"/>
      <c r="FA10" s="101" t="s">
        <v>62</v>
      </c>
      <c r="FB10" s="102" t="s">
        <v>63</v>
      </c>
      <c r="FC10" s="102" t="s">
        <v>64</v>
      </c>
      <c r="FD10" s="102" t="s">
        <v>65</v>
      </c>
      <c r="FE10" s="102" t="s">
        <v>66</v>
      </c>
      <c r="FF10" s="103" t="s">
        <v>67</v>
      </c>
      <c r="FG10" s="104"/>
      <c r="FH10" s="105" t="s">
        <v>68</v>
      </c>
      <c r="FI10" s="106"/>
      <c r="FJ10" s="106"/>
      <c r="FK10" s="106"/>
      <c r="FL10" s="107"/>
      <c r="FM10" s="101" t="s">
        <v>62</v>
      </c>
      <c r="FN10" s="102" t="s">
        <v>63</v>
      </c>
      <c r="FO10" s="102" t="s">
        <v>64</v>
      </c>
      <c r="FP10" s="102" t="s">
        <v>65</v>
      </c>
      <c r="FQ10" s="102" t="s">
        <v>66</v>
      </c>
      <c r="FR10" s="103" t="s">
        <v>67</v>
      </c>
      <c r="FS10" s="104"/>
      <c r="FT10" s="105" t="s">
        <v>68</v>
      </c>
      <c r="FU10" s="106"/>
      <c r="FV10" s="106"/>
      <c r="FW10" s="106"/>
      <c r="FX10" s="107"/>
      <c r="FY10" s="101" t="s">
        <v>62</v>
      </c>
      <c r="FZ10" s="102" t="s">
        <v>63</v>
      </c>
      <c r="GA10" s="102" t="s">
        <v>64</v>
      </c>
      <c r="GB10" s="102" t="s">
        <v>65</v>
      </c>
      <c r="GC10" s="102" t="s">
        <v>66</v>
      </c>
      <c r="GD10" s="103" t="s">
        <v>67</v>
      </c>
      <c r="GE10" s="104"/>
      <c r="GF10" s="105" t="s">
        <v>68</v>
      </c>
      <c r="GG10" s="106"/>
      <c r="GH10" s="106"/>
      <c r="GI10" s="106"/>
      <c r="GJ10" s="107"/>
      <c r="GK10" s="101" t="s">
        <v>62</v>
      </c>
      <c r="GL10" s="102" t="s">
        <v>63</v>
      </c>
      <c r="GM10" s="102" t="s">
        <v>64</v>
      </c>
      <c r="GN10" s="102" t="s">
        <v>65</v>
      </c>
      <c r="GO10" s="102" t="s">
        <v>66</v>
      </c>
      <c r="GP10" s="103" t="s">
        <v>67</v>
      </c>
      <c r="GQ10" s="104"/>
      <c r="GR10" s="105" t="s">
        <v>68</v>
      </c>
      <c r="GS10" s="106"/>
      <c r="GT10" s="106"/>
      <c r="GU10" s="106"/>
      <c r="GV10" s="107"/>
      <c r="GW10" s="101" t="s">
        <v>62</v>
      </c>
      <c r="GX10" s="102" t="s">
        <v>63</v>
      </c>
      <c r="GY10" s="102" t="s">
        <v>64</v>
      </c>
      <c r="GZ10" s="102" t="s">
        <v>65</v>
      </c>
      <c r="HA10" s="102" t="s">
        <v>66</v>
      </c>
      <c r="HB10" s="103" t="s">
        <v>67</v>
      </c>
      <c r="HC10" s="104"/>
      <c r="HD10" s="105" t="s">
        <v>68</v>
      </c>
      <c r="HE10" s="106"/>
      <c r="HF10" s="106"/>
      <c r="HG10" s="106"/>
      <c r="HH10" s="107"/>
      <c r="HI10" s="106"/>
    </row>
    <row r="11" ht="66.0" customHeight="1">
      <c r="A11" s="108"/>
      <c r="B11" s="94"/>
      <c r="C11" s="94"/>
      <c r="D11" s="94"/>
      <c r="E11" s="94"/>
      <c r="F11" s="109" t="s">
        <v>69</v>
      </c>
      <c r="G11" s="109" t="s">
        <v>70</v>
      </c>
      <c r="H11" s="110"/>
      <c r="I11" s="106"/>
      <c r="J11" s="106"/>
      <c r="K11" s="106"/>
      <c r="L11" s="107"/>
      <c r="M11" s="108"/>
      <c r="N11" s="94"/>
      <c r="O11" s="94"/>
      <c r="P11" s="94"/>
      <c r="Q11" s="94"/>
      <c r="R11" s="109" t="s">
        <v>69</v>
      </c>
      <c r="S11" s="109" t="s">
        <v>70</v>
      </c>
      <c r="T11" s="110"/>
      <c r="U11" s="106"/>
      <c r="V11" s="106"/>
      <c r="W11" s="106"/>
      <c r="X11" s="107"/>
      <c r="Y11" s="108"/>
      <c r="Z11" s="94"/>
      <c r="AA11" s="94"/>
      <c r="AB11" s="94"/>
      <c r="AC11" s="94"/>
      <c r="AD11" s="109" t="s">
        <v>69</v>
      </c>
      <c r="AE11" s="109" t="s">
        <v>70</v>
      </c>
      <c r="AF11" s="110"/>
      <c r="AG11" s="106"/>
      <c r="AH11" s="106"/>
      <c r="AI11" s="106"/>
      <c r="AJ11" s="107"/>
      <c r="AK11" s="108"/>
      <c r="AL11" s="94"/>
      <c r="AM11" s="94"/>
      <c r="AN11" s="94"/>
      <c r="AO11" s="94"/>
      <c r="AP11" s="109" t="s">
        <v>69</v>
      </c>
      <c r="AQ11" s="109" t="s">
        <v>70</v>
      </c>
      <c r="AR11" s="110"/>
      <c r="AS11" s="106"/>
      <c r="AT11" s="106"/>
      <c r="AU11" s="106"/>
      <c r="AV11" s="107"/>
      <c r="AW11" s="108"/>
      <c r="AX11" s="94"/>
      <c r="AY11" s="94"/>
      <c r="AZ11" s="94"/>
      <c r="BA11" s="94"/>
      <c r="BB11" s="109" t="s">
        <v>69</v>
      </c>
      <c r="BC11" s="109" t="s">
        <v>70</v>
      </c>
      <c r="BD11" s="110"/>
      <c r="BE11" s="106"/>
      <c r="BF11" s="106"/>
      <c r="BG11" s="106"/>
      <c r="BH11" s="107"/>
      <c r="BI11" s="108"/>
      <c r="BJ11" s="94"/>
      <c r="BK11" s="94"/>
      <c r="BL11" s="94"/>
      <c r="BM11" s="94"/>
      <c r="BN11" s="109" t="s">
        <v>69</v>
      </c>
      <c r="BO11" s="109" t="s">
        <v>70</v>
      </c>
      <c r="BP11" s="110"/>
      <c r="BQ11" s="106"/>
      <c r="BR11" s="106"/>
      <c r="BS11" s="106"/>
      <c r="BT11" s="107"/>
      <c r="BU11" s="108"/>
      <c r="BV11" s="94"/>
      <c r="BW11" s="94"/>
      <c r="BX11" s="94"/>
      <c r="BY11" s="94"/>
      <c r="BZ11" s="109" t="s">
        <v>69</v>
      </c>
      <c r="CA11" s="109" t="s">
        <v>70</v>
      </c>
      <c r="CB11" s="110"/>
      <c r="CC11" s="106"/>
      <c r="CD11" s="106"/>
      <c r="CE11" s="106"/>
      <c r="CF11" s="107"/>
      <c r="CG11" s="108"/>
      <c r="CH11" s="94"/>
      <c r="CI11" s="94"/>
      <c r="CJ11" s="94"/>
      <c r="CK11" s="94"/>
      <c r="CL11" s="109" t="s">
        <v>69</v>
      </c>
      <c r="CM11" s="109" t="s">
        <v>70</v>
      </c>
      <c r="CN11" s="110"/>
      <c r="CO11" s="106"/>
      <c r="CP11" s="106"/>
      <c r="CQ11" s="106"/>
      <c r="CR11" s="107"/>
      <c r="CS11" s="108"/>
      <c r="CT11" s="94"/>
      <c r="CU11" s="94"/>
      <c r="CV11" s="94"/>
      <c r="CW11" s="94"/>
      <c r="CX11" s="109" t="s">
        <v>69</v>
      </c>
      <c r="CY11" s="109" t="s">
        <v>70</v>
      </c>
      <c r="CZ11" s="110"/>
      <c r="DA11" s="106"/>
      <c r="DB11" s="106"/>
      <c r="DC11" s="106"/>
      <c r="DD11" s="107"/>
      <c r="DE11" s="108"/>
      <c r="DF11" s="94"/>
      <c r="DG11" s="94"/>
      <c r="DH11" s="94"/>
      <c r="DI11" s="94"/>
      <c r="DJ11" s="109" t="s">
        <v>69</v>
      </c>
      <c r="DK11" s="109" t="s">
        <v>70</v>
      </c>
      <c r="DL11" s="110"/>
      <c r="DM11" s="106"/>
      <c r="DN11" s="106"/>
      <c r="DO11" s="106"/>
      <c r="DP11" s="107"/>
      <c r="DQ11" s="108"/>
      <c r="DR11" s="94"/>
      <c r="DS11" s="94"/>
      <c r="DT11" s="94"/>
      <c r="DU11" s="94"/>
      <c r="DV11" s="109" t="s">
        <v>69</v>
      </c>
      <c r="DW11" s="109" t="s">
        <v>70</v>
      </c>
      <c r="DX11" s="110"/>
      <c r="DY11" s="106"/>
      <c r="DZ11" s="106"/>
      <c r="EA11" s="106"/>
      <c r="EB11" s="107"/>
      <c r="EC11" s="108"/>
      <c r="ED11" s="94"/>
      <c r="EE11" s="94"/>
      <c r="EF11" s="94"/>
      <c r="EG11" s="94"/>
      <c r="EH11" s="109" t="s">
        <v>69</v>
      </c>
      <c r="EI11" s="109" t="s">
        <v>70</v>
      </c>
      <c r="EJ11" s="110"/>
      <c r="EK11" s="106"/>
      <c r="EL11" s="106"/>
      <c r="EM11" s="106"/>
      <c r="EN11" s="107"/>
      <c r="EO11" s="108"/>
      <c r="EP11" s="94"/>
      <c r="EQ11" s="94"/>
      <c r="ER11" s="94"/>
      <c r="ES11" s="94"/>
      <c r="ET11" s="109" t="s">
        <v>69</v>
      </c>
      <c r="EU11" s="109" t="s">
        <v>70</v>
      </c>
      <c r="EV11" s="110"/>
      <c r="EW11" s="106"/>
      <c r="EX11" s="106"/>
      <c r="EY11" s="106"/>
      <c r="EZ11" s="107"/>
      <c r="FA11" s="108"/>
      <c r="FB11" s="94"/>
      <c r="FC11" s="94"/>
      <c r="FD11" s="94"/>
      <c r="FE11" s="94"/>
      <c r="FF11" s="109" t="s">
        <v>69</v>
      </c>
      <c r="FG11" s="109" t="s">
        <v>70</v>
      </c>
      <c r="FH11" s="110"/>
      <c r="FI11" s="106"/>
      <c r="FJ11" s="106"/>
      <c r="FK11" s="106"/>
      <c r="FL11" s="107"/>
      <c r="FM11" s="108"/>
      <c r="FN11" s="94"/>
      <c r="FO11" s="94"/>
      <c r="FP11" s="94"/>
      <c r="FQ11" s="94"/>
      <c r="FR11" s="109" t="s">
        <v>69</v>
      </c>
      <c r="FS11" s="109" t="s">
        <v>70</v>
      </c>
      <c r="FT11" s="110"/>
      <c r="FU11" s="106"/>
      <c r="FV11" s="106"/>
      <c r="FW11" s="106"/>
      <c r="FX11" s="107"/>
      <c r="FY11" s="108"/>
      <c r="FZ11" s="94"/>
      <c r="GA11" s="94"/>
      <c r="GB11" s="94"/>
      <c r="GC11" s="94"/>
      <c r="GD11" s="109" t="s">
        <v>69</v>
      </c>
      <c r="GE11" s="109" t="s">
        <v>70</v>
      </c>
      <c r="GF11" s="110"/>
      <c r="GG11" s="106"/>
      <c r="GH11" s="106"/>
      <c r="GI11" s="106"/>
      <c r="GJ11" s="107"/>
      <c r="GK11" s="108"/>
      <c r="GL11" s="94"/>
      <c r="GM11" s="94"/>
      <c r="GN11" s="94"/>
      <c r="GO11" s="94"/>
      <c r="GP11" s="109" t="s">
        <v>69</v>
      </c>
      <c r="GQ11" s="109" t="s">
        <v>70</v>
      </c>
      <c r="GR11" s="110"/>
      <c r="GS11" s="106"/>
      <c r="GT11" s="106"/>
      <c r="GU11" s="106"/>
      <c r="GV11" s="107"/>
      <c r="GW11" s="108"/>
      <c r="GX11" s="94"/>
      <c r="GY11" s="94"/>
      <c r="GZ11" s="94"/>
      <c r="HA11" s="94"/>
      <c r="HB11" s="109" t="s">
        <v>69</v>
      </c>
      <c r="HC11" s="109" t="s">
        <v>70</v>
      </c>
      <c r="HD11" s="110"/>
      <c r="HE11" s="106"/>
      <c r="HF11" s="106"/>
      <c r="HG11" s="106"/>
      <c r="HH11" s="107"/>
      <c r="HI11" s="106"/>
    </row>
    <row r="12">
      <c r="A12" s="111">
        <v>-1.0</v>
      </c>
      <c r="B12" s="112">
        <v>-2.0</v>
      </c>
      <c r="C12" s="112">
        <v>-3.0</v>
      </c>
      <c r="D12" s="112">
        <v>-4.0</v>
      </c>
      <c r="E12" s="112">
        <v>-5.0</v>
      </c>
      <c r="F12" s="112">
        <v>-6.0</v>
      </c>
      <c r="G12" s="112">
        <v>-7.0</v>
      </c>
      <c r="H12" s="113">
        <v>-8.0</v>
      </c>
      <c r="I12" s="114"/>
      <c r="J12" s="114"/>
      <c r="K12" s="114"/>
      <c r="L12" s="115"/>
      <c r="M12" s="111">
        <v>-1.0</v>
      </c>
      <c r="N12" s="112">
        <v>-2.0</v>
      </c>
      <c r="O12" s="112">
        <v>-3.0</v>
      </c>
      <c r="P12" s="112">
        <v>-4.0</v>
      </c>
      <c r="Q12" s="112">
        <v>-5.0</v>
      </c>
      <c r="R12" s="112">
        <v>-6.0</v>
      </c>
      <c r="S12" s="112">
        <v>-7.0</v>
      </c>
      <c r="T12" s="113">
        <v>-8.0</v>
      </c>
      <c r="U12" s="114"/>
      <c r="V12" s="114"/>
      <c r="W12" s="114"/>
      <c r="X12" s="115"/>
      <c r="Y12" s="111">
        <v>-1.0</v>
      </c>
      <c r="Z12" s="112">
        <v>-2.0</v>
      </c>
      <c r="AA12" s="112">
        <v>-3.0</v>
      </c>
      <c r="AB12" s="112">
        <v>-4.0</v>
      </c>
      <c r="AC12" s="112">
        <v>-5.0</v>
      </c>
      <c r="AD12" s="112">
        <v>-6.0</v>
      </c>
      <c r="AE12" s="112">
        <v>-7.0</v>
      </c>
      <c r="AF12" s="113">
        <v>-8.0</v>
      </c>
      <c r="AG12" s="114"/>
      <c r="AH12" s="114"/>
      <c r="AI12" s="114"/>
      <c r="AJ12" s="115"/>
      <c r="AK12" s="111">
        <v>-1.0</v>
      </c>
      <c r="AL12" s="112">
        <v>-2.0</v>
      </c>
      <c r="AM12" s="112">
        <v>-3.0</v>
      </c>
      <c r="AN12" s="112">
        <v>-4.0</v>
      </c>
      <c r="AO12" s="112">
        <v>-5.0</v>
      </c>
      <c r="AP12" s="112">
        <v>-6.0</v>
      </c>
      <c r="AQ12" s="112">
        <v>-7.0</v>
      </c>
      <c r="AR12" s="113">
        <v>-8.0</v>
      </c>
      <c r="AS12" s="114"/>
      <c r="AT12" s="114"/>
      <c r="AU12" s="114"/>
      <c r="AV12" s="115"/>
      <c r="AW12" s="111">
        <v>-1.0</v>
      </c>
      <c r="AX12" s="112">
        <v>-2.0</v>
      </c>
      <c r="AY12" s="112">
        <v>-3.0</v>
      </c>
      <c r="AZ12" s="112">
        <v>-4.0</v>
      </c>
      <c r="BA12" s="112">
        <v>-5.0</v>
      </c>
      <c r="BB12" s="112">
        <v>-6.0</v>
      </c>
      <c r="BC12" s="112">
        <v>-7.0</v>
      </c>
      <c r="BD12" s="113">
        <v>-8.0</v>
      </c>
      <c r="BE12" s="114"/>
      <c r="BF12" s="114"/>
      <c r="BG12" s="114"/>
      <c r="BH12" s="115"/>
      <c r="BI12" s="111">
        <v>-1.0</v>
      </c>
      <c r="BJ12" s="112">
        <v>-2.0</v>
      </c>
      <c r="BK12" s="112">
        <v>-3.0</v>
      </c>
      <c r="BL12" s="112">
        <v>-4.0</v>
      </c>
      <c r="BM12" s="112">
        <v>-5.0</v>
      </c>
      <c r="BN12" s="112">
        <v>-6.0</v>
      </c>
      <c r="BO12" s="112">
        <v>-7.0</v>
      </c>
      <c r="BP12" s="113">
        <v>-8.0</v>
      </c>
      <c r="BQ12" s="114"/>
      <c r="BR12" s="114"/>
      <c r="BS12" s="114"/>
      <c r="BT12" s="115"/>
      <c r="BU12" s="111">
        <v>-1.0</v>
      </c>
      <c r="BV12" s="112">
        <v>-2.0</v>
      </c>
      <c r="BW12" s="112">
        <v>-3.0</v>
      </c>
      <c r="BX12" s="112">
        <v>-4.0</v>
      </c>
      <c r="BY12" s="112">
        <v>-5.0</v>
      </c>
      <c r="BZ12" s="112">
        <v>-6.0</v>
      </c>
      <c r="CA12" s="112">
        <v>-7.0</v>
      </c>
      <c r="CB12" s="113">
        <v>-8.0</v>
      </c>
      <c r="CC12" s="114"/>
      <c r="CD12" s="114"/>
      <c r="CE12" s="114"/>
      <c r="CF12" s="115"/>
      <c r="CG12" s="111">
        <v>-1.0</v>
      </c>
      <c r="CH12" s="112">
        <v>-2.0</v>
      </c>
      <c r="CI12" s="112">
        <v>-3.0</v>
      </c>
      <c r="CJ12" s="112">
        <v>-4.0</v>
      </c>
      <c r="CK12" s="112">
        <v>-5.0</v>
      </c>
      <c r="CL12" s="112">
        <v>-6.0</v>
      </c>
      <c r="CM12" s="112">
        <v>-7.0</v>
      </c>
      <c r="CN12" s="113">
        <v>-8.0</v>
      </c>
      <c r="CO12" s="114"/>
      <c r="CP12" s="114"/>
      <c r="CQ12" s="114"/>
      <c r="CR12" s="115"/>
      <c r="CS12" s="111">
        <v>-1.0</v>
      </c>
      <c r="CT12" s="112">
        <v>-2.0</v>
      </c>
      <c r="CU12" s="112">
        <v>-3.0</v>
      </c>
      <c r="CV12" s="112">
        <v>-4.0</v>
      </c>
      <c r="CW12" s="112">
        <v>-5.0</v>
      </c>
      <c r="CX12" s="112">
        <v>-6.0</v>
      </c>
      <c r="CY12" s="112">
        <v>-7.0</v>
      </c>
      <c r="CZ12" s="113">
        <v>-8.0</v>
      </c>
      <c r="DA12" s="114"/>
      <c r="DB12" s="114"/>
      <c r="DC12" s="114"/>
      <c r="DD12" s="115"/>
      <c r="DE12" s="111">
        <v>-1.0</v>
      </c>
      <c r="DF12" s="112">
        <v>-2.0</v>
      </c>
      <c r="DG12" s="112">
        <v>-3.0</v>
      </c>
      <c r="DH12" s="112">
        <v>-4.0</v>
      </c>
      <c r="DI12" s="112">
        <v>-5.0</v>
      </c>
      <c r="DJ12" s="112">
        <v>-6.0</v>
      </c>
      <c r="DK12" s="112">
        <v>-7.0</v>
      </c>
      <c r="DL12" s="113">
        <v>-8.0</v>
      </c>
      <c r="DM12" s="114"/>
      <c r="DN12" s="114"/>
      <c r="DO12" s="114"/>
      <c r="DP12" s="115"/>
      <c r="DQ12" s="111">
        <v>-1.0</v>
      </c>
      <c r="DR12" s="112">
        <v>-2.0</v>
      </c>
      <c r="DS12" s="112">
        <v>-3.0</v>
      </c>
      <c r="DT12" s="112">
        <v>-4.0</v>
      </c>
      <c r="DU12" s="112">
        <v>-5.0</v>
      </c>
      <c r="DV12" s="112">
        <v>-6.0</v>
      </c>
      <c r="DW12" s="112">
        <v>-7.0</v>
      </c>
      <c r="DX12" s="113">
        <v>-8.0</v>
      </c>
      <c r="DY12" s="114"/>
      <c r="DZ12" s="114"/>
      <c r="EA12" s="114"/>
      <c r="EB12" s="115"/>
      <c r="EC12" s="111">
        <v>-1.0</v>
      </c>
      <c r="ED12" s="112">
        <v>-2.0</v>
      </c>
      <c r="EE12" s="112">
        <v>-3.0</v>
      </c>
      <c r="EF12" s="112">
        <v>-4.0</v>
      </c>
      <c r="EG12" s="112">
        <v>-5.0</v>
      </c>
      <c r="EH12" s="112">
        <v>-6.0</v>
      </c>
      <c r="EI12" s="112">
        <v>-7.0</v>
      </c>
      <c r="EJ12" s="113">
        <v>-8.0</v>
      </c>
      <c r="EK12" s="114"/>
      <c r="EL12" s="114"/>
      <c r="EM12" s="114"/>
      <c r="EN12" s="115"/>
      <c r="EO12" s="111">
        <v>-1.0</v>
      </c>
      <c r="EP12" s="112">
        <v>-2.0</v>
      </c>
      <c r="EQ12" s="112">
        <v>-3.0</v>
      </c>
      <c r="ER12" s="112">
        <v>-4.0</v>
      </c>
      <c r="ES12" s="112">
        <v>-5.0</v>
      </c>
      <c r="ET12" s="112">
        <v>-6.0</v>
      </c>
      <c r="EU12" s="112">
        <v>-7.0</v>
      </c>
      <c r="EV12" s="113">
        <v>-8.0</v>
      </c>
      <c r="EW12" s="114"/>
      <c r="EX12" s="114"/>
      <c r="EY12" s="114"/>
      <c r="EZ12" s="115"/>
      <c r="FA12" s="111">
        <v>-1.0</v>
      </c>
      <c r="FB12" s="112">
        <v>-2.0</v>
      </c>
      <c r="FC12" s="112">
        <v>-3.0</v>
      </c>
      <c r="FD12" s="112">
        <v>-4.0</v>
      </c>
      <c r="FE12" s="112">
        <v>-5.0</v>
      </c>
      <c r="FF12" s="112">
        <v>-6.0</v>
      </c>
      <c r="FG12" s="112">
        <v>-7.0</v>
      </c>
      <c r="FH12" s="113">
        <v>-8.0</v>
      </c>
      <c r="FI12" s="114"/>
      <c r="FJ12" s="114"/>
      <c r="FK12" s="114"/>
      <c r="FL12" s="115"/>
      <c r="FM12" s="111">
        <v>-1.0</v>
      </c>
      <c r="FN12" s="112">
        <v>-2.0</v>
      </c>
      <c r="FO12" s="112">
        <v>-3.0</v>
      </c>
      <c r="FP12" s="112">
        <v>-4.0</v>
      </c>
      <c r="FQ12" s="112">
        <v>-5.0</v>
      </c>
      <c r="FR12" s="112">
        <v>-6.0</v>
      </c>
      <c r="FS12" s="112">
        <v>-7.0</v>
      </c>
      <c r="FT12" s="113">
        <v>-8.0</v>
      </c>
      <c r="FU12" s="114"/>
      <c r="FV12" s="114"/>
      <c r="FW12" s="114"/>
      <c r="FX12" s="115"/>
      <c r="FY12" s="111">
        <v>-1.0</v>
      </c>
      <c r="FZ12" s="112">
        <v>-2.0</v>
      </c>
      <c r="GA12" s="112">
        <v>-3.0</v>
      </c>
      <c r="GB12" s="112">
        <v>-4.0</v>
      </c>
      <c r="GC12" s="112">
        <v>-5.0</v>
      </c>
      <c r="GD12" s="112">
        <v>-6.0</v>
      </c>
      <c r="GE12" s="112">
        <v>-7.0</v>
      </c>
      <c r="GF12" s="113">
        <v>-8.0</v>
      </c>
      <c r="GG12" s="114"/>
      <c r="GH12" s="114"/>
      <c r="GI12" s="114"/>
      <c r="GJ12" s="115"/>
      <c r="GK12" s="111">
        <v>-1.0</v>
      </c>
      <c r="GL12" s="112">
        <v>-2.0</v>
      </c>
      <c r="GM12" s="112">
        <v>-3.0</v>
      </c>
      <c r="GN12" s="112">
        <v>-4.0</v>
      </c>
      <c r="GO12" s="112">
        <v>-5.0</v>
      </c>
      <c r="GP12" s="112">
        <v>-6.0</v>
      </c>
      <c r="GQ12" s="112">
        <v>-7.0</v>
      </c>
      <c r="GR12" s="113">
        <v>-8.0</v>
      </c>
      <c r="GS12" s="114"/>
      <c r="GT12" s="114"/>
      <c r="GU12" s="114"/>
      <c r="GV12" s="115"/>
      <c r="GW12" s="111">
        <v>-1.0</v>
      </c>
      <c r="GX12" s="112">
        <v>-2.0</v>
      </c>
      <c r="GY12" s="112">
        <v>-3.0</v>
      </c>
      <c r="GZ12" s="112">
        <v>-4.0</v>
      </c>
      <c r="HA12" s="112">
        <v>-5.0</v>
      </c>
      <c r="HB12" s="112">
        <v>-6.0</v>
      </c>
      <c r="HC12" s="112">
        <v>-7.0</v>
      </c>
      <c r="HD12" s="113">
        <v>-8.0</v>
      </c>
      <c r="HE12" s="114"/>
      <c r="HF12" s="114"/>
      <c r="HG12" s="114"/>
      <c r="HH12" s="115"/>
      <c r="HI12" s="114"/>
    </row>
    <row r="13">
      <c r="A13" s="116"/>
      <c r="B13" s="117"/>
      <c r="C13" s="118"/>
      <c r="D13" s="118"/>
      <c r="E13" s="118"/>
      <c r="F13" s="118"/>
      <c r="G13" s="118"/>
      <c r="H13" s="119"/>
      <c r="I13" s="75"/>
      <c r="J13" s="75"/>
      <c r="K13" s="75"/>
      <c r="L13" s="81"/>
      <c r="M13" s="116"/>
      <c r="N13" s="117"/>
      <c r="O13" s="118"/>
      <c r="P13" s="118"/>
      <c r="Q13" s="118"/>
      <c r="R13" s="118"/>
      <c r="S13" s="118"/>
      <c r="T13" s="119"/>
      <c r="U13" s="75"/>
      <c r="V13" s="75"/>
      <c r="W13" s="75"/>
      <c r="X13" s="81"/>
      <c r="Y13" s="116"/>
      <c r="Z13" s="117"/>
      <c r="AA13" s="118"/>
      <c r="AB13" s="118"/>
      <c r="AC13" s="118"/>
      <c r="AD13" s="118"/>
      <c r="AE13" s="118"/>
      <c r="AF13" s="119"/>
      <c r="AG13" s="75"/>
      <c r="AH13" s="75"/>
      <c r="AI13" s="75"/>
      <c r="AJ13" s="81"/>
      <c r="AK13" s="116"/>
      <c r="AL13" s="117"/>
      <c r="AM13" s="118"/>
      <c r="AN13" s="118"/>
      <c r="AO13" s="118"/>
      <c r="AP13" s="118"/>
      <c r="AQ13" s="118"/>
      <c r="AR13" s="119"/>
      <c r="AS13" s="75"/>
      <c r="AT13" s="75"/>
      <c r="AU13" s="75"/>
      <c r="AV13" s="81"/>
      <c r="AW13" s="116"/>
      <c r="AX13" s="117"/>
      <c r="AY13" s="118"/>
      <c r="AZ13" s="118"/>
      <c r="BA13" s="118"/>
      <c r="BB13" s="118"/>
      <c r="BC13" s="118"/>
      <c r="BD13" s="119"/>
      <c r="BE13" s="75"/>
      <c r="BF13" s="75"/>
      <c r="BG13" s="75"/>
      <c r="BH13" s="81"/>
      <c r="BI13" s="116"/>
      <c r="BJ13" s="117"/>
      <c r="BK13" s="118"/>
      <c r="BL13" s="118"/>
      <c r="BM13" s="118"/>
      <c r="BN13" s="118"/>
      <c r="BO13" s="118"/>
      <c r="BP13" s="119"/>
      <c r="BQ13" s="75"/>
      <c r="BR13" s="75"/>
      <c r="BS13" s="75"/>
      <c r="BT13" s="81"/>
      <c r="BU13" s="116"/>
      <c r="BV13" s="117"/>
      <c r="BW13" s="118"/>
      <c r="BX13" s="118"/>
      <c r="BY13" s="118"/>
      <c r="BZ13" s="118"/>
      <c r="CA13" s="118"/>
      <c r="CB13" s="119"/>
      <c r="CC13" s="75"/>
      <c r="CD13" s="75"/>
      <c r="CE13" s="75"/>
      <c r="CF13" s="81"/>
      <c r="CG13" s="116"/>
      <c r="CH13" s="117"/>
      <c r="CI13" s="118"/>
      <c r="CJ13" s="118"/>
      <c r="CK13" s="118"/>
      <c r="CL13" s="118"/>
      <c r="CM13" s="118"/>
      <c r="CN13" s="119"/>
      <c r="CO13" s="75"/>
      <c r="CP13" s="75"/>
      <c r="CQ13" s="75"/>
      <c r="CR13" s="81"/>
      <c r="CS13" s="116"/>
      <c r="CT13" s="117"/>
      <c r="CU13" s="118"/>
      <c r="CV13" s="118"/>
      <c r="CW13" s="118"/>
      <c r="CX13" s="118"/>
      <c r="CY13" s="118"/>
      <c r="CZ13" s="119"/>
      <c r="DA13" s="75"/>
      <c r="DB13" s="75"/>
      <c r="DC13" s="75"/>
      <c r="DD13" s="81"/>
      <c r="DE13" s="116"/>
      <c r="DF13" s="117"/>
      <c r="DG13" s="118"/>
      <c r="DH13" s="118"/>
      <c r="DI13" s="118"/>
      <c r="DJ13" s="118"/>
      <c r="DK13" s="118"/>
      <c r="DL13" s="119"/>
      <c r="DM13" s="75"/>
      <c r="DN13" s="75"/>
      <c r="DO13" s="75"/>
      <c r="DP13" s="81"/>
      <c r="DQ13" s="116"/>
      <c r="DR13" s="117"/>
      <c r="DS13" s="118"/>
      <c r="DT13" s="118"/>
      <c r="DU13" s="118"/>
      <c r="DV13" s="118"/>
      <c r="DW13" s="118"/>
      <c r="DX13" s="119"/>
      <c r="DY13" s="75"/>
      <c r="DZ13" s="75"/>
      <c r="EA13" s="75"/>
      <c r="EB13" s="81"/>
      <c r="EC13" s="116"/>
      <c r="ED13" s="117"/>
      <c r="EE13" s="118"/>
      <c r="EF13" s="118"/>
      <c r="EG13" s="118"/>
      <c r="EH13" s="118"/>
      <c r="EI13" s="118"/>
      <c r="EJ13" s="119"/>
      <c r="EK13" s="75"/>
      <c r="EL13" s="75"/>
      <c r="EM13" s="75"/>
      <c r="EN13" s="81"/>
      <c r="EO13" s="116"/>
      <c r="EP13" s="117"/>
      <c r="EQ13" s="118"/>
      <c r="ER13" s="118"/>
      <c r="ES13" s="118"/>
      <c r="ET13" s="118"/>
      <c r="EU13" s="118"/>
      <c r="EV13" s="119"/>
      <c r="EW13" s="75"/>
      <c r="EX13" s="75"/>
      <c r="EY13" s="75"/>
      <c r="EZ13" s="81"/>
      <c r="FA13" s="116"/>
      <c r="FB13" s="117"/>
      <c r="FC13" s="118"/>
      <c r="FD13" s="118"/>
      <c r="FE13" s="118"/>
      <c r="FF13" s="118"/>
      <c r="FG13" s="118"/>
      <c r="FH13" s="119"/>
      <c r="FI13" s="75"/>
      <c r="FJ13" s="75"/>
      <c r="FK13" s="75"/>
      <c r="FL13" s="81"/>
      <c r="FM13" s="116"/>
      <c r="FN13" s="117"/>
      <c r="FO13" s="118"/>
      <c r="FP13" s="118"/>
      <c r="FQ13" s="118"/>
      <c r="FR13" s="118"/>
      <c r="FS13" s="118"/>
      <c r="FT13" s="119"/>
      <c r="FU13" s="75"/>
      <c r="FV13" s="75"/>
      <c r="FW13" s="75"/>
      <c r="FX13" s="81"/>
      <c r="FY13" s="116"/>
      <c r="FZ13" s="117"/>
      <c r="GA13" s="118"/>
      <c r="GB13" s="118"/>
      <c r="GC13" s="118"/>
      <c r="GD13" s="118"/>
      <c r="GE13" s="118"/>
      <c r="GF13" s="119"/>
      <c r="GG13" s="75"/>
      <c r="GH13" s="75"/>
      <c r="GI13" s="75"/>
      <c r="GJ13" s="81"/>
      <c r="GK13" s="116"/>
      <c r="GL13" s="117"/>
      <c r="GM13" s="118"/>
      <c r="GN13" s="118"/>
      <c r="GO13" s="118"/>
      <c r="GP13" s="118"/>
      <c r="GQ13" s="118"/>
      <c r="GR13" s="119"/>
      <c r="GS13" s="75"/>
      <c r="GT13" s="75"/>
      <c r="GU13" s="75"/>
      <c r="GV13" s="81"/>
      <c r="GW13" s="116"/>
      <c r="GX13" s="117"/>
      <c r="GY13" s="118"/>
      <c r="GZ13" s="118"/>
      <c r="HA13" s="118"/>
      <c r="HB13" s="118"/>
      <c r="HC13" s="118"/>
      <c r="HD13" s="119"/>
      <c r="HE13" s="75"/>
      <c r="HF13" s="75"/>
      <c r="HG13" s="75"/>
      <c r="HH13" s="81"/>
      <c r="HI13" s="75"/>
    </row>
    <row r="14">
      <c r="A14" s="120">
        <v>1.0</v>
      </c>
      <c r="B14" s="121" t="s">
        <v>71</v>
      </c>
      <c r="C14" s="122"/>
      <c r="D14" s="123">
        <f t="shared" ref="D14:D19" si="1">1.16180660667508/100</f>
        <v>0.01161806607</v>
      </c>
      <c r="E14" s="122">
        <f t="shared" ref="E14:E19" si="2">IFERROR(+D14*C14,"0")</f>
        <v>0</v>
      </c>
      <c r="F14" s="123">
        <v>0.16716266605705102</v>
      </c>
      <c r="G14" s="122">
        <f t="shared" ref="G14:G19" si="3">IFERROR(+E14*F14,"")</f>
        <v>0</v>
      </c>
      <c r="H14" s="124">
        <f t="shared" ref="H14:H19" si="4">IFERROR(+(IF(E14="","0",E14))-(IF(G14="","0",G14)),"")</f>
        <v>0</v>
      </c>
      <c r="I14" s="75"/>
      <c r="J14" s="75"/>
      <c r="K14" s="75"/>
      <c r="L14" s="81"/>
      <c r="M14" s="120">
        <v>1.0</v>
      </c>
      <c r="N14" s="121" t="s">
        <v>71</v>
      </c>
      <c r="O14" s="122"/>
      <c r="P14" s="123">
        <f t="shared" ref="P14:P19" si="5">1.16180660667508/100</f>
        <v>0.01161806607</v>
      </c>
      <c r="Q14" s="122">
        <f t="shared" ref="Q14:Q19" si="6">IFERROR(+P14*O14,"0")</f>
        <v>0</v>
      </c>
      <c r="R14" s="123">
        <v>0.16716266605705102</v>
      </c>
      <c r="S14" s="122">
        <f t="shared" ref="S14:S19" si="7">IFERROR(+Q14*R14,"")</f>
        <v>0</v>
      </c>
      <c r="T14" s="124">
        <f t="shared" ref="T14:T19" si="8">IFERROR(+(IF(Q14="","0",Q14))-(IF(S14="","0",S14)),"")</f>
        <v>0</v>
      </c>
      <c r="U14" s="75"/>
      <c r="V14" s="75"/>
      <c r="W14" s="75"/>
      <c r="X14" s="81"/>
      <c r="Y14" s="120">
        <v>1.0</v>
      </c>
      <c r="Z14" s="121" t="s">
        <v>71</v>
      </c>
      <c r="AA14" s="122"/>
      <c r="AB14" s="123">
        <f t="shared" ref="AB14:AB19" si="9">1.16180660667508/100</f>
        <v>0.01161806607</v>
      </c>
      <c r="AC14" s="122">
        <f t="shared" ref="AC14:AC19" si="10">IFERROR(+AB14*AA14,"0")</f>
        <v>0</v>
      </c>
      <c r="AD14" s="123">
        <v>0.16716266605705102</v>
      </c>
      <c r="AE14" s="122">
        <f t="shared" ref="AE14:AE19" si="11">IFERROR(+AC14*AD14,"")</f>
        <v>0</v>
      </c>
      <c r="AF14" s="124">
        <f t="shared" ref="AF14:AF19" si="12">IFERROR(+(IF(AC14="","0",AC14))-(IF(AE14="","0",AE14)),"")</f>
        <v>0</v>
      </c>
      <c r="AG14" s="75"/>
      <c r="AH14" s="75"/>
      <c r="AI14" s="75"/>
      <c r="AJ14" s="81"/>
      <c r="AK14" s="120">
        <v>1.0</v>
      </c>
      <c r="AL14" s="121" t="s">
        <v>71</v>
      </c>
      <c r="AM14" s="122"/>
      <c r="AN14" s="123">
        <f t="shared" ref="AN14:AN19" si="13">1.16180660667508/100</f>
        <v>0.01161806607</v>
      </c>
      <c r="AO14" s="122">
        <f t="shared" ref="AO14:AO19" si="14">IFERROR(+AN14*AM14,"0")</f>
        <v>0</v>
      </c>
      <c r="AP14" s="123">
        <v>0.16716266605705102</v>
      </c>
      <c r="AQ14" s="122">
        <f t="shared" ref="AQ14:AQ19" si="15">IFERROR(+AO14*AP14,"")</f>
        <v>0</v>
      </c>
      <c r="AR14" s="124">
        <f t="shared" ref="AR14:AR19" si="16">IFERROR(+(IF(AO14="","0",AO14))-(IF(AQ14="","0",AQ14)),"")</f>
        <v>0</v>
      </c>
      <c r="AS14" s="75"/>
      <c r="AT14" s="75"/>
      <c r="AU14" s="75"/>
      <c r="AV14" s="81"/>
      <c r="AW14" s="120">
        <v>1.0</v>
      </c>
      <c r="AX14" s="121" t="s">
        <v>71</v>
      </c>
      <c r="AY14" s="122"/>
      <c r="AZ14" s="123">
        <f t="shared" ref="AZ14:AZ19" si="17">1.16180660667508/100</f>
        <v>0.01161806607</v>
      </c>
      <c r="BA14" s="122">
        <f t="shared" ref="BA14:BA19" si="18">IFERROR(+AZ14*AY14,"0")</f>
        <v>0</v>
      </c>
      <c r="BB14" s="123">
        <v>0.16716266605705102</v>
      </c>
      <c r="BC14" s="122">
        <f t="shared" ref="BC14:BC19" si="19">IFERROR(+BA14*BB14,"")</f>
        <v>0</v>
      </c>
      <c r="BD14" s="124">
        <f t="shared" ref="BD14:BD19" si="20">IFERROR(+(IF(BA14="","0",BA14))-(IF(BC14="","0",BC14)),"")</f>
        <v>0</v>
      </c>
      <c r="BE14" s="75"/>
      <c r="BF14" s="75"/>
      <c r="BG14" s="75"/>
      <c r="BH14" s="81"/>
      <c r="BI14" s="120">
        <v>1.0</v>
      </c>
      <c r="BJ14" s="121" t="s">
        <v>71</v>
      </c>
      <c r="BK14" s="122"/>
      <c r="BL14" s="123">
        <f t="shared" ref="BL14:BL19" si="21">1.16180660667508/100</f>
        <v>0.01161806607</v>
      </c>
      <c r="BM14" s="122">
        <f t="shared" ref="BM14:BM19" si="22">IFERROR(+BL14*BK14,"0")</f>
        <v>0</v>
      </c>
      <c r="BN14" s="123">
        <v>0.16716266605705102</v>
      </c>
      <c r="BO14" s="122">
        <f t="shared" ref="BO14:BO19" si="23">IFERROR(+BM14*BN14,"")</f>
        <v>0</v>
      </c>
      <c r="BP14" s="124">
        <f t="shared" ref="BP14:BP19" si="24">IFERROR(+(IF(BM14="","0",BM14))-(IF(BO14="","0",BO14)),"")</f>
        <v>0</v>
      </c>
      <c r="BQ14" s="75"/>
      <c r="BR14" s="75"/>
      <c r="BS14" s="75"/>
      <c r="BT14" s="81"/>
      <c r="BU14" s="120">
        <v>1.0</v>
      </c>
      <c r="BV14" s="121" t="s">
        <v>71</v>
      </c>
      <c r="BW14" s="122"/>
      <c r="BX14" s="123">
        <f t="shared" ref="BX14:BX19" si="25">1.16180660667508/100</f>
        <v>0.01161806607</v>
      </c>
      <c r="BY14" s="122">
        <f t="shared" ref="BY14:BY19" si="26">IFERROR(+BX14*BW14,"0")</f>
        <v>0</v>
      </c>
      <c r="BZ14" s="123">
        <v>0.16716266605705102</v>
      </c>
      <c r="CA14" s="122">
        <f t="shared" ref="CA14:CA19" si="27">IFERROR(+BY14*BZ14,"")</f>
        <v>0</v>
      </c>
      <c r="CB14" s="124">
        <f t="shared" ref="CB14:CB19" si="28">IFERROR(+(IF(BY14="","0",BY14))-(IF(CA14="","0",CA14)),"")</f>
        <v>0</v>
      </c>
      <c r="CC14" s="75"/>
      <c r="CD14" s="75"/>
      <c r="CE14" s="75"/>
      <c r="CF14" s="81"/>
      <c r="CG14" s="120">
        <v>1.0</v>
      </c>
      <c r="CH14" s="121" t="s">
        <v>71</v>
      </c>
      <c r="CI14" s="122"/>
      <c r="CJ14" s="123">
        <f t="shared" ref="CJ14:CJ19" si="29">1.16180660667508/100</f>
        <v>0.01161806607</v>
      </c>
      <c r="CK14" s="122">
        <f t="shared" ref="CK14:CK19" si="30">IFERROR(+CJ14*CI14,"0")</f>
        <v>0</v>
      </c>
      <c r="CL14" s="123">
        <v>0.16716266605705102</v>
      </c>
      <c r="CM14" s="122">
        <f t="shared" ref="CM14:CM19" si="31">IFERROR(+CK14*CL14,"")</f>
        <v>0</v>
      </c>
      <c r="CN14" s="124">
        <f t="shared" ref="CN14:CN19" si="32">IFERROR(+(IF(CK14="","0",CK14))-(IF(CM14="","0",CM14)),"")</f>
        <v>0</v>
      </c>
      <c r="CO14" s="75"/>
      <c r="CP14" s="75"/>
      <c r="CQ14" s="75"/>
      <c r="CR14" s="81"/>
      <c r="CS14" s="120">
        <v>1.0</v>
      </c>
      <c r="CT14" s="121" t="s">
        <v>71</v>
      </c>
      <c r="CU14" s="122"/>
      <c r="CV14" s="123">
        <f t="shared" ref="CV14:CV19" si="33">1.16180660667508/100</f>
        <v>0.01161806607</v>
      </c>
      <c r="CW14" s="122">
        <f t="shared" ref="CW14:CW19" si="34">IFERROR(+CV14*CU14,"0")</f>
        <v>0</v>
      </c>
      <c r="CX14" s="123">
        <v>0.16716266605705102</v>
      </c>
      <c r="CY14" s="122">
        <f t="shared" ref="CY14:CY19" si="35">IFERROR(+CW14*CX14,"")</f>
        <v>0</v>
      </c>
      <c r="CZ14" s="124">
        <f t="shared" ref="CZ14:CZ19" si="36">IFERROR(+(IF(CW14="","0",CW14))-(IF(CY14="","0",CY14)),"")</f>
        <v>0</v>
      </c>
      <c r="DA14" s="75"/>
      <c r="DB14" s="75"/>
      <c r="DC14" s="75"/>
      <c r="DD14" s="81"/>
      <c r="DE14" s="120">
        <v>1.0</v>
      </c>
      <c r="DF14" s="121" t="s">
        <v>71</v>
      </c>
      <c r="DG14" s="122"/>
      <c r="DH14" s="123">
        <f t="shared" ref="DH14:DH19" si="37">1.16180660667508/100</f>
        <v>0.01161806607</v>
      </c>
      <c r="DI14" s="122">
        <f t="shared" ref="DI14:DI19" si="38">IFERROR(+DH14*DG14,"0")</f>
        <v>0</v>
      </c>
      <c r="DJ14" s="123">
        <v>0.16716266605705102</v>
      </c>
      <c r="DK14" s="122">
        <f t="shared" ref="DK14:DK19" si="39">IFERROR(+DI14*DJ14,"")</f>
        <v>0</v>
      </c>
      <c r="DL14" s="124">
        <f t="shared" ref="DL14:DL19" si="40">IFERROR(+(IF(DI14="","0",DI14))-(IF(DK14="","0",DK14)),"")</f>
        <v>0</v>
      </c>
      <c r="DM14" s="75"/>
      <c r="DN14" s="75"/>
      <c r="DO14" s="75"/>
      <c r="DP14" s="81"/>
      <c r="DQ14" s="120">
        <v>1.0</v>
      </c>
      <c r="DR14" s="121" t="s">
        <v>71</v>
      </c>
      <c r="DS14" s="122"/>
      <c r="DT14" s="123">
        <f t="shared" ref="DT14:DT19" si="41">1.16180660667508/100</f>
        <v>0.01161806607</v>
      </c>
      <c r="DU14" s="122">
        <f t="shared" ref="DU14:DU19" si="42">IFERROR(+DT14*DS14,"0")</f>
        <v>0</v>
      </c>
      <c r="DV14" s="123">
        <v>0.16716266605705102</v>
      </c>
      <c r="DW14" s="122">
        <f t="shared" ref="DW14:DW19" si="43">IFERROR(+DU14*DV14,"")</f>
        <v>0</v>
      </c>
      <c r="DX14" s="124">
        <f t="shared" ref="DX14:DX19" si="44">IFERROR(+(IF(DU14="","0",DU14))-(IF(DW14="","0",DW14)),"")</f>
        <v>0</v>
      </c>
      <c r="DY14" s="75"/>
      <c r="DZ14" s="75"/>
      <c r="EA14" s="75"/>
      <c r="EB14" s="81"/>
      <c r="EC14" s="120">
        <v>1.0</v>
      </c>
      <c r="ED14" s="121" t="s">
        <v>71</v>
      </c>
      <c r="EE14" s="122"/>
      <c r="EF14" s="123">
        <f t="shared" ref="EF14:EF19" si="45">1.16180660667508/100</f>
        <v>0.01161806607</v>
      </c>
      <c r="EG14" s="122">
        <f t="shared" ref="EG14:EG19" si="46">IFERROR(+EF14*EE14,"0")</f>
        <v>0</v>
      </c>
      <c r="EH14" s="123">
        <v>0.16716266605705102</v>
      </c>
      <c r="EI14" s="122">
        <f t="shared" ref="EI14:EI19" si="47">IFERROR(+EG14*EH14,"")</f>
        <v>0</v>
      </c>
      <c r="EJ14" s="124">
        <f t="shared" ref="EJ14:EJ19" si="48">IFERROR(+(IF(EG14="","0",EG14))-(IF(EI14="","0",EI14)),"")</f>
        <v>0</v>
      </c>
      <c r="EK14" s="75"/>
      <c r="EL14" s="75"/>
      <c r="EM14" s="75"/>
      <c r="EN14" s="81"/>
      <c r="EO14" s="120">
        <v>1.0</v>
      </c>
      <c r="EP14" s="121" t="s">
        <v>71</v>
      </c>
      <c r="EQ14" s="122"/>
      <c r="ER14" s="123">
        <f t="shared" ref="ER14:ER19" si="49">1.16180660667508/100</f>
        <v>0.01161806607</v>
      </c>
      <c r="ES14" s="122">
        <f t="shared" ref="ES14:ES19" si="50">IFERROR(+ER14*EQ14,"0")</f>
        <v>0</v>
      </c>
      <c r="ET14" s="123">
        <v>0.16716266605705102</v>
      </c>
      <c r="EU14" s="122">
        <f t="shared" ref="EU14:EU19" si="51">IFERROR(+ES14*ET14,"")</f>
        <v>0</v>
      </c>
      <c r="EV14" s="124">
        <f t="shared" ref="EV14:EV19" si="52">IFERROR(+(IF(ES14="","0",ES14))-(IF(EU14="","0",EU14)),"")</f>
        <v>0</v>
      </c>
      <c r="EW14" s="75"/>
      <c r="EX14" s="75"/>
      <c r="EY14" s="75"/>
      <c r="EZ14" s="81"/>
      <c r="FA14" s="120">
        <v>1.0</v>
      </c>
      <c r="FB14" s="121" t="s">
        <v>71</v>
      </c>
      <c r="FC14" s="122"/>
      <c r="FD14" s="123">
        <f t="shared" ref="FD14:FD19" si="53">1.16180660667508/100</f>
        <v>0.01161806607</v>
      </c>
      <c r="FE14" s="122">
        <f t="shared" ref="FE14:FE19" si="54">IFERROR(+FD14*FC14,"0")</f>
        <v>0</v>
      </c>
      <c r="FF14" s="123">
        <v>0.16716266605705102</v>
      </c>
      <c r="FG14" s="122">
        <f t="shared" ref="FG14:FG19" si="55">IFERROR(+FE14*FF14,"")</f>
        <v>0</v>
      </c>
      <c r="FH14" s="124">
        <f t="shared" ref="FH14:FH19" si="56">IFERROR(+(IF(FE14="","0",FE14))-(IF(FG14="","0",FG14)),"")</f>
        <v>0</v>
      </c>
      <c r="FI14" s="75"/>
      <c r="FJ14" s="75"/>
      <c r="FK14" s="75"/>
      <c r="FL14" s="81"/>
      <c r="FM14" s="120">
        <v>1.0</v>
      </c>
      <c r="FN14" s="121" t="s">
        <v>71</v>
      </c>
      <c r="FO14" s="122"/>
      <c r="FP14" s="123">
        <f t="shared" ref="FP14:FP19" si="57">1.16180660667508/100</f>
        <v>0.01161806607</v>
      </c>
      <c r="FQ14" s="122">
        <f t="shared" ref="FQ14:FQ19" si="58">IFERROR(+FP14*FO14,"0")</f>
        <v>0</v>
      </c>
      <c r="FR14" s="123">
        <v>0.16716266605705102</v>
      </c>
      <c r="FS14" s="122">
        <f t="shared" ref="FS14:FS19" si="59">IFERROR(+FQ14*FR14,"")</f>
        <v>0</v>
      </c>
      <c r="FT14" s="124">
        <f t="shared" ref="FT14:FT19" si="60">IFERROR(+(IF(FQ14="","0",FQ14))-(IF(FS14="","0",FS14)),"")</f>
        <v>0</v>
      </c>
      <c r="FU14" s="75"/>
      <c r="FV14" s="75"/>
      <c r="FW14" s="75"/>
      <c r="FX14" s="81"/>
      <c r="FY14" s="120">
        <v>1.0</v>
      </c>
      <c r="FZ14" s="121" t="s">
        <v>71</v>
      </c>
      <c r="GA14" s="122"/>
      <c r="GB14" s="123">
        <f t="shared" ref="GB14:GB19" si="61">1.16180660667508/100</f>
        <v>0.01161806607</v>
      </c>
      <c r="GC14" s="122">
        <f t="shared" ref="GC14:GC19" si="62">IFERROR(+GB14*GA14,"0")</f>
        <v>0</v>
      </c>
      <c r="GD14" s="123">
        <v>0.16716266605705102</v>
      </c>
      <c r="GE14" s="122">
        <f t="shared" ref="GE14:GE19" si="63">IFERROR(+GC14*GD14,"")</f>
        <v>0</v>
      </c>
      <c r="GF14" s="124">
        <f t="shared" ref="GF14:GF19" si="64">IFERROR(+(IF(GC14="","0",GC14))-(IF(GE14="","0",GE14)),"")</f>
        <v>0</v>
      </c>
      <c r="GG14" s="75"/>
      <c r="GH14" s="75"/>
      <c r="GI14" s="75"/>
      <c r="GJ14" s="81"/>
      <c r="GK14" s="120">
        <v>1.0</v>
      </c>
      <c r="GL14" s="121" t="s">
        <v>71</v>
      </c>
      <c r="GM14" s="122"/>
      <c r="GN14" s="123">
        <f t="shared" ref="GN14:GN19" si="65">1.16180660667508/100</f>
        <v>0.01161806607</v>
      </c>
      <c r="GO14" s="122">
        <f t="shared" ref="GO14:GO19" si="66">IFERROR(+GN14*GM14,"0")</f>
        <v>0</v>
      </c>
      <c r="GP14" s="123">
        <v>0.16716266605705102</v>
      </c>
      <c r="GQ14" s="122">
        <f t="shared" ref="GQ14:GQ19" si="67">IFERROR(+GO14*GP14,"")</f>
        <v>0</v>
      </c>
      <c r="GR14" s="124">
        <f t="shared" ref="GR14:GR19" si="68">IFERROR(+(IF(GO14="","0",GO14))-(IF(GQ14="","0",GQ14)),"")</f>
        <v>0</v>
      </c>
      <c r="GS14" s="75"/>
      <c r="GT14" s="75"/>
      <c r="GU14" s="75"/>
      <c r="GV14" s="81"/>
      <c r="GW14" s="120">
        <v>1.0</v>
      </c>
      <c r="GX14" s="121" t="s">
        <v>71</v>
      </c>
      <c r="GY14" s="122"/>
      <c r="GZ14" s="123">
        <f t="shared" ref="GZ14:GZ19" si="69">1.16180660667508/100</f>
        <v>0.01161806607</v>
      </c>
      <c r="HA14" s="122">
        <f t="shared" ref="HA14:HA19" si="70">IFERROR(+GZ14*GY14,"0")</f>
        <v>0</v>
      </c>
      <c r="HB14" s="123">
        <v>0.16716266605705102</v>
      </c>
      <c r="HC14" s="122">
        <f t="shared" ref="HC14:HC19" si="71">IFERROR(+HA14*HB14,"")</f>
        <v>0</v>
      </c>
      <c r="HD14" s="124">
        <f t="shared" ref="HD14:HD19" si="72">IFERROR(+(IF(HA14="","0",HA14))-(IF(HC14="","0",HC14)),"")</f>
        <v>0</v>
      </c>
      <c r="HE14" s="75"/>
      <c r="HF14" s="75"/>
      <c r="HG14" s="75"/>
      <c r="HH14" s="81"/>
      <c r="HI14" s="75"/>
    </row>
    <row r="15">
      <c r="A15" s="120">
        <f t="shared" ref="A15:A19" si="73">A14+1</f>
        <v>2</v>
      </c>
      <c r="B15" s="121" t="s">
        <v>72</v>
      </c>
      <c r="C15" s="122"/>
      <c r="D15" s="123">
        <f t="shared" si="1"/>
        <v>0.01161806607</v>
      </c>
      <c r="E15" s="122">
        <f t="shared" si="2"/>
        <v>0</v>
      </c>
      <c r="F15" s="123">
        <v>0.16716266605705102</v>
      </c>
      <c r="G15" s="122">
        <f t="shared" si="3"/>
        <v>0</v>
      </c>
      <c r="H15" s="124">
        <f t="shared" si="4"/>
        <v>0</v>
      </c>
      <c r="I15" s="75"/>
      <c r="J15" s="75"/>
      <c r="K15" s="75"/>
      <c r="L15" s="81"/>
      <c r="M15" s="120">
        <f t="shared" ref="M15:M19" si="74">M14+1</f>
        <v>2</v>
      </c>
      <c r="N15" s="121" t="s">
        <v>72</v>
      </c>
      <c r="O15" s="122"/>
      <c r="P15" s="123">
        <f t="shared" si="5"/>
        <v>0.01161806607</v>
      </c>
      <c r="Q15" s="122">
        <f t="shared" si="6"/>
        <v>0</v>
      </c>
      <c r="R15" s="123">
        <v>0.16716266605705102</v>
      </c>
      <c r="S15" s="122">
        <f t="shared" si="7"/>
        <v>0</v>
      </c>
      <c r="T15" s="124">
        <f t="shared" si="8"/>
        <v>0</v>
      </c>
      <c r="U15" s="75"/>
      <c r="V15" s="75"/>
      <c r="W15" s="75"/>
      <c r="X15" s="81"/>
      <c r="Y15" s="120">
        <f t="shared" ref="Y15:Y19" si="75">Y14+1</f>
        <v>2</v>
      </c>
      <c r="Z15" s="121" t="s">
        <v>72</v>
      </c>
      <c r="AA15" s="122"/>
      <c r="AB15" s="123">
        <f t="shared" si="9"/>
        <v>0.01161806607</v>
      </c>
      <c r="AC15" s="122">
        <f t="shared" si="10"/>
        <v>0</v>
      </c>
      <c r="AD15" s="123">
        <v>0.16716266605705102</v>
      </c>
      <c r="AE15" s="122">
        <f t="shared" si="11"/>
        <v>0</v>
      </c>
      <c r="AF15" s="124">
        <f t="shared" si="12"/>
        <v>0</v>
      </c>
      <c r="AG15" s="75"/>
      <c r="AH15" s="75"/>
      <c r="AI15" s="75"/>
      <c r="AJ15" s="81"/>
      <c r="AK15" s="120">
        <f t="shared" ref="AK15:AK19" si="76">AK14+1</f>
        <v>2</v>
      </c>
      <c r="AL15" s="121" t="s">
        <v>72</v>
      </c>
      <c r="AM15" s="122"/>
      <c r="AN15" s="123">
        <f t="shared" si="13"/>
        <v>0.01161806607</v>
      </c>
      <c r="AO15" s="122">
        <f t="shared" si="14"/>
        <v>0</v>
      </c>
      <c r="AP15" s="123">
        <v>0.16716266605705102</v>
      </c>
      <c r="AQ15" s="122">
        <f t="shared" si="15"/>
        <v>0</v>
      </c>
      <c r="AR15" s="124">
        <f t="shared" si="16"/>
        <v>0</v>
      </c>
      <c r="AS15" s="75"/>
      <c r="AT15" s="75"/>
      <c r="AU15" s="75"/>
      <c r="AV15" s="81"/>
      <c r="AW15" s="120">
        <f t="shared" ref="AW15:AW19" si="77">AW14+1</f>
        <v>2</v>
      </c>
      <c r="AX15" s="121" t="s">
        <v>72</v>
      </c>
      <c r="AY15" s="122"/>
      <c r="AZ15" s="123">
        <f t="shared" si="17"/>
        <v>0.01161806607</v>
      </c>
      <c r="BA15" s="122">
        <f t="shared" si="18"/>
        <v>0</v>
      </c>
      <c r="BB15" s="123">
        <v>0.16716266605705102</v>
      </c>
      <c r="BC15" s="122">
        <f t="shared" si="19"/>
        <v>0</v>
      </c>
      <c r="BD15" s="124">
        <f t="shared" si="20"/>
        <v>0</v>
      </c>
      <c r="BE15" s="75"/>
      <c r="BF15" s="75"/>
      <c r="BG15" s="75"/>
      <c r="BH15" s="81"/>
      <c r="BI15" s="120">
        <f t="shared" ref="BI15:BI19" si="78">BI14+1</f>
        <v>2</v>
      </c>
      <c r="BJ15" s="121" t="s">
        <v>72</v>
      </c>
      <c r="BK15" s="122"/>
      <c r="BL15" s="123">
        <f t="shared" si="21"/>
        <v>0.01161806607</v>
      </c>
      <c r="BM15" s="122">
        <f t="shared" si="22"/>
        <v>0</v>
      </c>
      <c r="BN15" s="123">
        <v>0.16716266605705102</v>
      </c>
      <c r="BO15" s="122">
        <f t="shared" si="23"/>
        <v>0</v>
      </c>
      <c r="BP15" s="124">
        <f t="shared" si="24"/>
        <v>0</v>
      </c>
      <c r="BQ15" s="75"/>
      <c r="BR15" s="75"/>
      <c r="BS15" s="75"/>
      <c r="BT15" s="81"/>
      <c r="BU15" s="120">
        <f t="shared" ref="BU15:BU19" si="79">BU14+1</f>
        <v>2</v>
      </c>
      <c r="BV15" s="121" t="s">
        <v>72</v>
      </c>
      <c r="BW15" s="122"/>
      <c r="BX15" s="123">
        <f t="shared" si="25"/>
        <v>0.01161806607</v>
      </c>
      <c r="BY15" s="122">
        <f t="shared" si="26"/>
        <v>0</v>
      </c>
      <c r="BZ15" s="123">
        <v>0.16716266605705102</v>
      </c>
      <c r="CA15" s="122">
        <f t="shared" si="27"/>
        <v>0</v>
      </c>
      <c r="CB15" s="124">
        <f t="shared" si="28"/>
        <v>0</v>
      </c>
      <c r="CC15" s="75"/>
      <c r="CD15" s="75"/>
      <c r="CE15" s="75"/>
      <c r="CF15" s="81"/>
      <c r="CG15" s="120">
        <f t="shared" ref="CG15:CG19" si="80">CG14+1</f>
        <v>2</v>
      </c>
      <c r="CH15" s="121" t="s">
        <v>72</v>
      </c>
      <c r="CI15" s="122"/>
      <c r="CJ15" s="123">
        <f t="shared" si="29"/>
        <v>0.01161806607</v>
      </c>
      <c r="CK15" s="122">
        <f t="shared" si="30"/>
        <v>0</v>
      </c>
      <c r="CL15" s="123">
        <v>0.16716266605705102</v>
      </c>
      <c r="CM15" s="122">
        <f t="shared" si="31"/>
        <v>0</v>
      </c>
      <c r="CN15" s="124">
        <f t="shared" si="32"/>
        <v>0</v>
      </c>
      <c r="CO15" s="75"/>
      <c r="CP15" s="75"/>
      <c r="CQ15" s="75"/>
      <c r="CR15" s="81"/>
      <c r="CS15" s="120">
        <f t="shared" ref="CS15:CS19" si="81">CS14+1</f>
        <v>2</v>
      </c>
      <c r="CT15" s="121" t="s">
        <v>72</v>
      </c>
      <c r="CU15" s="122"/>
      <c r="CV15" s="123">
        <f t="shared" si="33"/>
        <v>0.01161806607</v>
      </c>
      <c r="CW15" s="122">
        <f t="shared" si="34"/>
        <v>0</v>
      </c>
      <c r="CX15" s="123">
        <v>0.16716266605705102</v>
      </c>
      <c r="CY15" s="122">
        <f t="shared" si="35"/>
        <v>0</v>
      </c>
      <c r="CZ15" s="124">
        <f t="shared" si="36"/>
        <v>0</v>
      </c>
      <c r="DA15" s="75"/>
      <c r="DB15" s="75"/>
      <c r="DC15" s="75"/>
      <c r="DD15" s="81"/>
      <c r="DE15" s="120">
        <f t="shared" ref="DE15:DE19" si="82">DE14+1</f>
        <v>2</v>
      </c>
      <c r="DF15" s="121" t="s">
        <v>72</v>
      </c>
      <c r="DG15" s="122"/>
      <c r="DH15" s="123">
        <f t="shared" si="37"/>
        <v>0.01161806607</v>
      </c>
      <c r="DI15" s="122">
        <f t="shared" si="38"/>
        <v>0</v>
      </c>
      <c r="DJ15" s="123">
        <v>0.16716266605705102</v>
      </c>
      <c r="DK15" s="122">
        <f t="shared" si="39"/>
        <v>0</v>
      </c>
      <c r="DL15" s="124">
        <f t="shared" si="40"/>
        <v>0</v>
      </c>
      <c r="DM15" s="75"/>
      <c r="DN15" s="75"/>
      <c r="DO15" s="75"/>
      <c r="DP15" s="81"/>
      <c r="DQ15" s="120">
        <f t="shared" ref="DQ15:DQ19" si="83">DQ14+1</f>
        <v>2</v>
      </c>
      <c r="DR15" s="121" t="s">
        <v>72</v>
      </c>
      <c r="DS15" s="122"/>
      <c r="DT15" s="123">
        <f t="shared" si="41"/>
        <v>0.01161806607</v>
      </c>
      <c r="DU15" s="122">
        <f t="shared" si="42"/>
        <v>0</v>
      </c>
      <c r="DV15" s="123">
        <v>0.16716266605705102</v>
      </c>
      <c r="DW15" s="122">
        <f t="shared" si="43"/>
        <v>0</v>
      </c>
      <c r="DX15" s="124">
        <f t="shared" si="44"/>
        <v>0</v>
      </c>
      <c r="DY15" s="75"/>
      <c r="DZ15" s="75"/>
      <c r="EA15" s="75"/>
      <c r="EB15" s="81"/>
      <c r="EC15" s="120">
        <f t="shared" ref="EC15:EC19" si="84">EC14+1</f>
        <v>2</v>
      </c>
      <c r="ED15" s="121" t="s">
        <v>72</v>
      </c>
      <c r="EE15" s="122"/>
      <c r="EF15" s="123">
        <f t="shared" si="45"/>
        <v>0.01161806607</v>
      </c>
      <c r="EG15" s="122">
        <f t="shared" si="46"/>
        <v>0</v>
      </c>
      <c r="EH15" s="123">
        <v>0.16716266605705102</v>
      </c>
      <c r="EI15" s="122">
        <f t="shared" si="47"/>
        <v>0</v>
      </c>
      <c r="EJ15" s="124">
        <f t="shared" si="48"/>
        <v>0</v>
      </c>
      <c r="EK15" s="75"/>
      <c r="EL15" s="75"/>
      <c r="EM15" s="75"/>
      <c r="EN15" s="81"/>
      <c r="EO15" s="120">
        <f t="shared" ref="EO15:EO19" si="85">EO14+1</f>
        <v>2</v>
      </c>
      <c r="EP15" s="121" t="s">
        <v>72</v>
      </c>
      <c r="EQ15" s="122"/>
      <c r="ER15" s="123">
        <f t="shared" si="49"/>
        <v>0.01161806607</v>
      </c>
      <c r="ES15" s="122">
        <f t="shared" si="50"/>
        <v>0</v>
      </c>
      <c r="ET15" s="123">
        <v>0.16716266605705102</v>
      </c>
      <c r="EU15" s="122">
        <f t="shared" si="51"/>
        <v>0</v>
      </c>
      <c r="EV15" s="124">
        <f t="shared" si="52"/>
        <v>0</v>
      </c>
      <c r="EW15" s="75"/>
      <c r="EX15" s="75"/>
      <c r="EY15" s="75"/>
      <c r="EZ15" s="81"/>
      <c r="FA15" s="120">
        <f t="shared" ref="FA15:FA19" si="86">FA14+1</f>
        <v>2</v>
      </c>
      <c r="FB15" s="121" t="s">
        <v>72</v>
      </c>
      <c r="FC15" s="122"/>
      <c r="FD15" s="123">
        <f t="shared" si="53"/>
        <v>0.01161806607</v>
      </c>
      <c r="FE15" s="122">
        <f t="shared" si="54"/>
        <v>0</v>
      </c>
      <c r="FF15" s="123">
        <v>0.16716266605705102</v>
      </c>
      <c r="FG15" s="122">
        <f t="shared" si="55"/>
        <v>0</v>
      </c>
      <c r="FH15" s="124">
        <f t="shared" si="56"/>
        <v>0</v>
      </c>
      <c r="FI15" s="75"/>
      <c r="FJ15" s="75"/>
      <c r="FK15" s="75"/>
      <c r="FL15" s="81"/>
      <c r="FM15" s="120">
        <f t="shared" ref="FM15:FM19" si="87">FM14+1</f>
        <v>2</v>
      </c>
      <c r="FN15" s="121" t="s">
        <v>72</v>
      </c>
      <c r="FO15" s="122"/>
      <c r="FP15" s="123">
        <f t="shared" si="57"/>
        <v>0.01161806607</v>
      </c>
      <c r="FQ15" s="122">
        <f t="shared" si="58"/>
        <v>0</v>
      </c>
      <c r="FR15" s="123">
        <v>0.16716266605705102</v>
      </c>
      <c r="FS15" s="122">
        <f t="shared" si="59"/>
        <v>0</v>
      </c>
      <c r="FT15" s="124">
        <f t="shared" si="60"/>
        <v>0</v>
      </c>
      <c r="FU15" s="75"/>
      <c r="FV15" s="75"/>
      <c r="FW15" s="75"/>
      <c r="FX15" s="81"/>
      <c r="FY15" s="120">
        <f t="shared" ref="FY15:FY19" si="88">FY14+1</f>
        <v>2</v>
      </c>
      <c r="FZ15" s="121" t="s">
        <v>72</v>
      </c>
      <c r="GA15" s="122"/>
      <c r="GB15" s="123">
        <f t="shared" si="61"/>
        <v>0.01161806607</v>
      </c>
      <c r="GC15" s="122">
        <f t="shared" si="62"/>
        <v>0</v>
      </c>
      <c r="GD15" s="123">
        <v>0.16716266605705102</v>
      </c>
      <c r="GE15" s="122">
        <f t="shared" si="63"/>
        <v>0</v>
      </c>
      <c r="GF15" s="124">
        <f t="shared" si="64"/>
        <v>0</v>
      </c>
      <c r="GG15" s="75"/>
      <c r="GH15" s="75"/>
      <c r="GI15" s="75"/>
      <c r="GJ15" s="81"/>
      <c r="GK15" s="120">
        <f t="shared" ref="GK15:GK19" si="89">GK14+1</f>
        <v>2</v>
      </c>
      <c r="GL15" s="121" t="s">
        <v>72</v>
      </c>
      <c r="GM15" s="122"/>
      <c r="GN15" s="123">
        <f t="shared" si="65"/>
        <v>0.01161806607</v>
      </c>
      <c r="GO15" s="122">
        <f t="shared" si="66"/>
        <v>0</v>
      </c>
      <c r="GP15" s="123">
        <v>0.16716266605705102</v>
      </c>
      <c r="GQ15" s="122">
        <f t="shared" si="67"/>
        <v>0</v>
      </c>
      <c r="GR15" s="124">
        <f t="shared" si="68"/>
        <v>0</v>
      </c>
      <c r="GS15" s="75"/>
      <c r="GT15" s="75"/>
      <c r="GU15" s="75"/>
      <c r="GV15" s="81"/>
      <c r="GW15" s="120">
        <f t="shared" ref="GW15:GW19" si="90">GW14+1</f>
        <v>2</v>
      </c>
      <c r="GX15" s="121" t="s">
        <v>72</v>
      </c>
      <c r="GY15" s="122"/>
      <c r="GZ15" s="123">
        <f t="shared" si="69"/>
        <v>0.01161806607</v>
      </c>
      <c r="HA15" s="122">
        <f t="shared" si="70"/>
        <v>0</v>
      </c>
      <c r="HB15" s="123">
        <v>0.16716266605705102</v>
      </c>
      <c r="HC15" s="122">
        <f t="shared" si="71"/>
        <v>0</v>
      </c>
      <c r="HD15" s="124">
        <f t="shared" si="72"/>
        <v>0</v>
      </c>
      <c r="HE15" s="75"/>
      <c r="HF15" s="75"/>
      <c r="HG15" s="75"/>
      <c r="HH15" s="81"/>
      <c r="HI15" s="75"/>
    </row>
    <row r="16">
      <c r="A16" s="120">
        <f t="shared" si="73"/>
        <v>3</v>
      </c>
      <c r="B16" s="121" t="s">
        <v>73</v>
      </c>
      <c r="C16" s="122"/>
      <c r="D16" s="123">
        <f t="shared" si="1"/>
        <v>0.01161806607</v>
      </c>
      <c r="E16" s="122">
        <f t="shared" si="2"/>
        <v>0</v>
      </c>
      <c r="F16" s="123">
        <v>0.16716266605705102</v>
      </c>
      <c r="G16" s="122">
        <f t="shared" si="3"/>
        <v>0</v>
      </c>
      <c r="H16" s="124">
        <f t="shared" si="4"/>
        <v>0</v>
      </c>
      <c r="I16" s="75"/>
      <c r="J16" s="75"/>
      <c r="K16" s="75"/>
      <c r="L16" s="81"/>
      <c r="M16" s="120">
        <f t="shared" si="74"/>
        <v>3</v>
      </c>
      <c r="N16" s="121" t="s">
        <v>73</v>
      </c>
      <c r="O16" s="122"/>
      <c r="P16" s="123">
        <f t="shared" si="5"/>
        <v>0.01161806607</v>
      </c>
      <c r="Q16" s="122">
        <f t="shared" si="6"/>
        <v>0</v>
      </c>
      <c r="R16" s="123">
        <v>0.16716266605705102</v>
      </c>
      <c r="S16" s="122">
        <f t="shared" si="7"/>
        <v>0</v>
      </c>
      <c r="T16" s="124">
        <f t="shared" si="8"/>
        <v>0</v>
      </c>
      <c r="U16" s="75"/>
      <c r="V16" s="75"/>
      <c r="W16" s="75"/>
      <c r="X16" s="81"/>
      <c r="Y16" s="120">
        <f t="shared" si="75"/>
        <v>3</v>
      </c>
      <c r="Z16" s="121" t="s">
        <v>73</v>
      </c>
      <c r="AA16" s="122"/>
      <c r="AB16" s="123">
        <f t="shared" si="9"/>
        <v>0.01161806607</v>
      </c>
      <c r="AC16" s="122">
        <f t="shared" si="10"/>
        <v>0</v>
      </c>
      <c r="AD16" s="123">
        <v>0.16716266605705102</v>
      </c>
      <c r="AE16" s="122">
        <f t="shared" si="11"/>
        <v>0</v>
      </c>
      <c r="AF16" s="124">
        <f t="shared" si="12"/>
        <v>0</v>
      </c>
      <c r="AG16" s="75"/>
      <c r="AH16" s="75"/>
      <c r="AI16" s="75"/>
      <c r="AJ16" s="81"/>
      <c r="AK16" s="120">
        <f t="shared" si="76"/>
        <v>3</v>
      </c>
      <c r="AL16" s="121" t="s">
        <v>73</v>
      </c>
      <c r="AM16" s="122"/>
      <c r="AN16" s="123">
        <f t="shared" si="13"/>
        <v>0.01161806607</v>
      </c>
      <c r="AO16" s="122">
        <f t="shared" si="14"/>
        <v>0</v>
      </c>
      <c r="AP16" s="123">
        <v>0.16716266605705102</v>
      </c>
      <c r="AQ16" s="122">
        <f t="shared" si="15"/>
        <v>0</v>
      </c>
      <c r="AR16" s="124">
        <f t="shared" si="16"/>
        <v>0</v>
      </c>
      <c r="AS16" s="75"/>
      <c r="AT16" s="75"/>
      <c r="AU16" s="75"/>
      <c r="AV16" s="81"/>
      <c r="AW16" s="120">
        <f t="shared" si="77"/>
        <v>3</v>
      </c>
      <c r="AX16" s="121" t="s">
        <v>73</v>
      </c>
      <c r="AY16" s="122"/>
      <c r="AZ16" s="123">
        <f t="shared" si="17"/>
        <v>0.01161806607</v>
      </c>
      <c r="BA16" s="122">
        <f t="shared" si="18"/>
        <v>0</v>
      </c>
      <c r="BB16" s="123">
        <v>0.16716266605705102</v>
      </c>
      <c r="BC16" s="122">
        <f t="shared" si="19"/>
        <v>0</v>
      </c>
      <c r="BD16" s="124">
        <f t="shared" si="20"/>
        <v>0</v>
      </c>
      <c r="BE16" s="75"/>
      <c r="BF16" s="75"/>
      <c r="BG16" s="75"/>
      <c r="BH16" s="81"/>
      <c r="BI16" s="120">
        <f t="shared" si="78"/>
        <v>3</v>
      </c>
      <c r="BJ16" s="121" t="s">
        <v>73</v>
      </c>
      <c r="BK16" s="122"/>
      <c r="BL16" s="123">
        <f t="shared" si="21"/>
        <v>0.01161806607</v>
      </c>
      <c r="BM16" s="122">
        <f t="shared" si="22"/>
        <v>0</v>
      </c>
      <c r="BN16" s="123">
        <v>0.16716266605705102</v>
      </c>
      <c r="BO16" s="122">
        <f t="shared" si="23"/>
        <v>0</v>
      </c>
      <c r="BP16" s="124">
        <f t="shared" si="24"/>
        <v>0</v>
      </c>
      <c r="BQ16" s="75"/>
      <c r="BR16" s="75"/>
      <c r="BS16" s="75"/>
      <c r="BT16" s="81"/>
      <c r="BU16" s="120">
        <f t="shared" si="79"/>
        <v>3</v>
      </c>
      <c r="BV16" s="121" t="s">
        <v>73</v>
      </c>
      <c r="BW16" s="122"/>
      <c r="BX16" s="123">
        <f t="shared" si="25"/>
        <v>0.01161806607</v>
      </c>
      <c r="BY16" s="122">
        <f t="shared" si="26"/>
        <v>0</v>
      </c>
      <c r="BZ16" s="123">
        <v>0.16716266605705102</v>
      </c>
      <c r="CA16" s="122">
        <f t="shared" si="27"/>
        <v>0</v>
      </c>
      <c r="CB16" s="124">
        <f t="shared" si="28"/>
        <v>0</v>
      </c>
      <c r="CC16" s="75"/>
      <c r="CD16" s="75"/>
      <c r="CE16" s="75"/>
      <c r="CF16" s="81"/>
      <c r="CG16" s="120">
        <f t="shared" si="80"/>
        <v>3</v>
      </c>
      <c r="CH16" s="121" t="s">
        <v>73</v>
      </c>
      <c r="CI16" s="122"/>
      <c r="CJ16" s="123">
        <f t="shared" si="29"/>
        <v>0.01161806607</v>
      </c>
      <c r="CK16" s="122">
        <f t="shared" si="30"/>
        <v>0</v>
      </c>
      <c r="CL16" s="123">
        <v>0.16716266605705102</v>
      </c>
      <c r="CM16" s="122">
        <f t="shared" si="31"/>
        <v>0</v>
      </c>
      <c r="CN16" s="124">
        <f t="shared" si="32"/>
        <v>0</v>
      </c>
      <c r="CO16" s="75"/>
      <c r="CP16" s="75"/>
      <c r="CQ16" s="75"/>
      <c r="CR16" s="81"/>
      <c r="CS16" s="120">
        <f t="shared" si="81"/>
        <v>3</v>
      </c>
      <c r="CT16" s="121" t="s">
        <v>73</v>
      </c>
      <c r="CU16" s="122"/>
      <c r="CV16" s="123">
        <f t="shared" si="33"/>
        <v>0.01161806607</v>
      </c>
      <c r="CW16" s="122">
        <f t="shared" si="34"/>
        <v>0</v>
      </c>
      <c r="CX16" s="123">
        <v>0.16716266605705102</v>
      </c>
      <c r="CY16" s="122">
        <f t="shared" si="35"/>
        <v>0</v>
      </c>
      <c r="CZ16" s="124">
        <f t="shared" si="36"/>
        <v>0</v>
      </c>
      <c r="DA16" s="75"/>
      <c r="DB16" s="75"/>
      <c r="DC16" s="75"/>
      <c r="DD16" s="81"/>
      <c r="DE16" s="120">
        <f t="shared" si="82"/>
        <v>3</v>
      </c>
      <c r="DF16" s="121" t="s">
        <v>73</v>
      </c>
      <c r="DG16" s="122"/>
      <c r="DH16" s="123">
        <f t="shared" si="37"/>
        <v>0.01161806607</v>
      </c>
      <c r="DI16" s="122">
        <f t="shared" si="38"/>
        <v>0</v>
      </c>
      <c r="DJ16" s="123">
        <v>0.16716266605705102</v>
      </c>
      <c r="DK16" s="122">
        <f t="shared" si="39"/>
        <v>0</v>
      </c>
      <c r="DL16" s="124">
        <f t="shared" si="40"/>
        <v>0</v>
      </c>
      <c r="DM16" s="75"/>
      <c r="DN16" s="75"/>
      <c r="DO16" s="75"/>
      <c r="DP16" s="81"/>
      <c r="DQ16" s="120">
        <f t="shared" si="83"/>
        <v>3</v>
      </c>
      <c r="DR16" s="121" t="s">
        <v>73</v>
      </c>
      <c r="DS16" s="122"/>
      <c r="DT16" s="123">
        <f t="shared" si="41"/>
        <v>0.01161806607</v>
      </c>
      <c r="DU16" s="122">
        <f t="shared" si="42"/>
        <v>0</v>
      </c>
      <c r="DV16" s="123">
        <v>0.16716266605705102</v>
      </c>
      <c r="DW16" s="122">
        <f t="shared" si="43"/>
        <v>0</v>
      </c>
      <c r="DX16" s="124">
        <f t="shared" si="44"/>
        <v>0</v>
      </c>
      <c r="DY16" s="75"/>
      <c r="DZ16" s="75"/>
      <c r="EA16" s="75"/>
      <c r="EB16" s="81"/>
      <c r="EC16" s="120">
        <f t="shared" si="84"/>
        <v>3</v>
      </c>
      <c r="ED16" s="121" t="s">
        <v>73</v>
      </c>
      <c r="EE16" s="122"/>
      <c r="EF16" s="123">
        <f t="shared" si="45"/>
        <v>0.01161806607</v>
      </c>
      <c r="EG16" s="122">
        <f t="shared" si="46"/>
        <v>0</v>
      </c>
      <c r="EH16" s="123">
        <v>0.16716266605705102</v>
      </c>
      <c r="EI16" s="122">
        <f t="shared" si="47"/>
        <v>0</v>
      </c>
      <c r="EJ16" s="124">
        <f t="shared" si="48"/>
        <v>0</v>
      </c>
      <c r="EK16" s="75"/>
      <c r="EL16" s="75"/>
      <c r="EM16" s="75"/>
      <c r="EN16" s="81"/>
      <c r="EO16" s="120">
        <f t="shared" si="85"/>
        <v>3</v>
      </c>
      <c r="EP16" s="121" t="s">
        <v>73</v>
      </c>
      <c r="EQ16" s="122"/>
      <c r="ER16" s="123">
        <f t="shared" si="49"/>
        <v>0.01161806607</v>
      </c>
      <c r="ES16" s="122">
        <f t="shared" si="50"/>
        <v>0</v>
      </c>
      <c r="ET16" s="123">
        <v>0.16716266605705102</v>
      </c>
      <c r="EU16" s="122">
        <f t="shared" si="51"/>
        <v>0</v>
      </c>
      <c r="EV16" s="124">
        <f t="shared" si="52"/>
        <v>0</v>
      </c>
      <c r="EW16" s="75"/>
      <c r="EX16" s="75"/>
      <c r="EY16" s="75"/>
      <c r="EZ16" s="81"/>
      <c r="FA16" s="120">
        <f t="shared" si="86"/>
        <v>3</v>
      </c>
      <c r="FB16" s="121" t="s">
        <v>73</v>
      </c>
      <c r="FC16" s="122"/>
      <c r="FD16" s="123">
        <f t="shared" si="53"/>
        <v>0.01161806607</v>
      </c>
      <c r="FE16" s="122">
        <f t="shared" si="54"/>
        <v>0</v>
      </c>
      <c r="FF16" s="123">
        <v>0.16716266605705102</v>
      </c>
      <c r="FG16" s="122">
        <f t="shared" si="55"/>
        <v>0</v>
      </c>
      <c r="FH16" s="124">
        <f t="shared" si="56"/>
        <v>0</v>
      </c>
      <c r="FI16" s="75"/>
      <c r="FJ16" s="75"/>
      <c r="FK16" s="75"/>
      <c r="FL16" s="81"/>
      <c r="FM16" s="120">
        <f t="shared" si="87"/>
        <v>3</v>
      </c>
      <c r="FN16" s="121" t="s">
        <v>73</v>
      </c>
      <c r="FO16" s="122"/>
      <c r="FP16" s="123">
        <f t="shared" si="57"/>
        <v>0.01161806607</v>
      </c>
      <c r="FQ16" s="122">
        <f t="shared" si="58"/>
        <v>0</v>
      </c>
      <c r="FR16" s="123">
        <v>0.16716266605705102</v>
      </c>
      <c r="FS16" s="122">
        <f t="shared" si="59"/>
        <v>0</v>
      </c>
      <c r="FT16" s="124">
        <f t="shared" si="60"/>
        <v>0</v>
      </c>
      <c r="FU16" s="75"/>
      <c r="FV16" s="75"/>
      <c r="FW16" s="75"/>
      <c r="FX16" s="81"/>
      <c r="FY16" s="120">
        <f t="shared" si="88"/>
        <v>3</v>
      </c>
      <c r="FZ16" s="121" t="s">
        <v>73</v>
      </c>
      <c r="GA16" s="122"/>
      <c r="GB16" s="123">
        <f t="shared" si="61"/>
        <v>0.01161806607</v>
      </c>
      <c r="GC16" s="122">
        <f t="shared" si="62"/>
        <v>0</v>
      </c>
      <c r="GD16" s="123">
        <v>0.16716266605705102</v>
      </c>
      <c r="GE16" s="122">
        <f t="shared" si="63"/>
        <v>0</v>
      </c>
      <c r="GF16" s="124">
        <f t="shared" si="64"/>
        <v>0</v>
      </c>
      <c r="GG16" s="75"/>
      <c r="GH16" s="75"/>
      <c r="GI16" s="75"/>
      <c r="GJ16" s="81"/>
      <c r="GK16" s="120">
        <f t="shared" si="89"/>
        <v>3</v>
      </c>
      <c r="GL16" s="121" t="s">
        <v>73</v>
      </c>
      <c r="GM16" s="122"/>
      <c r="GN16" s="123">
        <f t="shared" si="65"/>
        <v>0.01161806607</v>
      </c>
      <c r="GO16" s="122">
        <f t="shared" si="66"/>
        <v>0</v>
      </c>
      <c r="GP16" s="123">
        <v>0.16716266605705102</v>
      </c>
      <c r="GQ16" s="122">
        <f t="shared" si="67"/>
        <v>0</v>
      </c>
      <c r="GR16" s="124">
        <f t="shared" si="68"/>
        <v>0</v>
      </c>
      <c r="GS16" s="75"/>
      <c r="GT16" s="75"/>
      <c r="GU16" s="75"/>
      <c r="GV16" s="81"/>
      <c r="GW16" s="120">
        <f t="shared" si="90"/>
        <v>3</v>
      </c>
      <c r="GX16" s="121" t="s">
        <v>73</v>
      </c>
      <c r="GY16" s="122"/>
      <c r="GZ16" s="123">
        <f t="shared" si="69"/>
        <v>0.01161806607</v>
      </c>
      <c r="HA16" s="122">
        <f t="shared" si="70"/>
        <v>0</v>
      </c>
      <c r="HB16" s="123">
        <v>0.16716266605705102</v>
      </c>
      <c r="HC16" s="122">
        <f t="shared" si="71"/>
        <v>0</v>
      </c>
      <c r="HD16" s="124">
        <f t="shared" si="72"/>
        <v>0</v>
      </c>
      <c r="HE16" s="75"/>
      <c r="HF16" s="75"/>
      <c r="HG16" s="75"/>
      <c r="HH16" s="81"/>
      <c r="HI16" s="75"/>
    </row>
    <row r="17">
      <c r="A17" s="120">
        <f t="shared" si="73"/>
        <v>4</v>
      </c>
      <c r="B17" s="121" t="s">
        <v>74</v>
      </c>
      <c r="C17" s="122"/>
      <c r="D17" s="123">
        <f t="shared" si="1"/>
        <v>0.01161806607</v>
      </c>
      <c r="E17" s="122">
        <f t="shared" si="2"/>
        <v>0</v>
      </c>
      <c r="F17" s="123">
        <v>0.16716266605705102</v>
      </c>
      <c r="G17" s="122">
        <f t="shared" si="3"/>
        <v>0</v>
      </c>
      <c r="H17" s="124">
        <f t="shared" si="4"/>
        <v>0</v>
      </c>
      <c r="I17" s="75"/>
      <c r="J17" s="75"/>
      <c r="K17" s="75"/>
      <c r="L17" s="81"/>
      <c r="M17" s="120">
        <f t="shared" si="74"/>
        <v>4</v>
      </c>
      <c r="N17" s="121" t="s">
        <v>74</v>
      </c>
      <c r="O17" s="122"/>
      <c r="P17" s="123">
        <f t="shared" si="5"/>
        <v>0.01161806607</v>
      </c>
      <c r="Q17" s="122">
        <f t="shared" si="6"/>
        <v>0</v>
      </c>
      <c r="R17" s="123">
        <v>0.16716266605705102</v>
      </c>
      <c r="S17" s="122">
        <f t="shared" si="7"/>
        <v>0</v>
      </c>
      <c r="T17" s="124">
        <f t="shared" si="8"/>
        <v>0</v>
      </c>
      <c r="U17" s="75"/>
      <c r="V17" s="75"/>
      <c r="W17" s="75"/>
      <c r="X17" s="81"/>
      <c r="Y17" s="120">
        <f t="shared" si="75"/>
        <v>4</v>
      </c>
      <c r="Z17" s="121" t="s">
        <v>74</v>
      </c>
      <c r="AA17" s="122"/>
      <c r="AB17" s="123">
        <f t="shared" si="9"/>
        <v>0.01161806607</v>
      </c>
      <c r="AC17" s="122">
        <f t="shared" si="10"/>
        <v>0</v>
      </c>
      <c r="AD17" s="123">
        <v>0.16716266605705102</v>
      </c>
      <c r="AE17" s="122">
        <f t="shared" si="11"/>
        <v>0</v>
      </c>
      <c r="AF17" s="124">
        <f t="shared" si="12"/>
        <v>0</v>
      </c>
      <c r="AG17" s="75"/>
      <c r="AH17" s="75"/>
      <c r="AI17" s="75"/>
      <c r="AJ17" s="81"/>
      <c r="AK17" s="120">
        <f t="shared" si="76"/>
        <v>4</v>
      </c>
      <c r="AL17" s="121" t="s">
        <v>74</v>
      </c>
      <c r="AM17" s="122"/>
      <c r="AN17" s="123">
        <f t="shared" si="13"/>
        <v>0.01161806607</v>
      </c>
      <c r="AO17" s="122">
        <f t="shared" si="14"/>
        <v>0</v>
      </c>
      <c r="AP17" s="123">
        <v>0.16716266605705102</v>
      </c>
      <c r="AQ17" s="122">
        <f t="shared" si="15"/>
        <v>0</v>
      </c>
      <c r="AR17" s="124">
        <f t="shared" si="16"/>
        <v>0</v>
      </c>
      <c r="AS17" s="75"/>
      <c r="AT17" s="75"/>
      <c r="AU17" s="75"/>
      <c r="AV17" s="81"/>
      <c r="AW17" s="120">
        <f t="shared" si="77"/>
        <v>4</v>
      </c>
      <c r="AX17" s="121" t="s">
        <v>74</v>
      </c>
      <c r="AY17" s="122"/>
      <c r="AZ17" s="123">
        <f t="shared" si="17"/>
        <v>0.01161806607</v>
      </c>
      <c r="BA17" s="122">
        <f t="shared" si="18"/>
        <v>0</v>
      </c>
      <c r="BB17" s="123">
        <v>0.16716266605705102</v>
      </c>
      <c r="BC17" s="122">
        <f t="shared" si="19"/>
        <v>0</v>
      </c>
      <c r="BD17" s="124">
        <f t="shared" si="20"/>
        <v>0</v>
      </c>
      <c r="BE17" s="75"/>
      <c r="BF17" s="75"/>
      <c r="BG17" s="75"/>
      <c r="BH17" s="81"/>
      <c r="BI17" s="120">
        <f t="shared" si="78"/>
        <v>4</v>
      </c>
      <c r="BJ17" s="121" t="s">
        <v>74</v>
      </c>
      <c r="BK17" s="122"/>
      <c r="BL17" s="123">
        <f t="shared" si="21"/>
        <v>0.01161806607</v>
      </c>
      <c r="BM17" s="122">
        <f t="shared" si="22"/>
        <v>0</v>
      </c>
      <c r="BN17" s="123">
        <v>0.16716266605705102</v>
      </c>
      <c r="BO17" s="122">
        <f t="shared" si="23"/>
        <v>0</v>
      </c>
      <c r="BP17" s="124">
        <f t="shared" si="24"/>
        <v>0</v>
      </c>
      <c r="BQ17" s="75"/>
      <c r="BR17" s="75"/>
      <c r="BS17" s="75"/>
      <c r="BT17" s="81"/>
      <c r="BU17" s="120">
        <f t="shared" si="79"/>
        <v>4</v>
      </c>
      <c r="BV17" s="121" t="s">
        <v>74</v>
      </c>
      <c r="BW17" s="122"/>
      <c r="BX17" s="123">
        <f t="shared" si="25"/>
        <v>0.01161806607</v>
      </c>
      <c r="BY17" s="122">
        <f t="shared" si="26"/>
        <v>0</v>
      </c>
      <c r="BZ17" s="123">
        <v>0.16716266605705102</v>
      </c>
      <c r="CA17" s="122">
        <f t="shared" si="27"/>
        <v>0</v>
      </c>
      <c r="CB17" s="124">
        <f t="shared" si="28"/>
        <v>0</v>
      </c>
      <c r="CC17" s="75"/>
      <c r="CD17" s="75"/>
      <c r="CE17" s="75"/>
      <c r="CF17" s="81"/>
      <c r="CG17" s="120">
        <f t="shared" si="80"/>
        <v>4</v>
      </c>
      <c r="CH17" s="121" t="s">
        <v>74</v>
      </c>
      <c r="CI17" s="122"/>
      <c r="CJ17" s="123">
        <f t="shared" si="29"/>
        <v>0.01161806607</v>
      </c>
      <c r="CK17" s="122">
        <f t="shared" si="30"/>
        <v>0</v>
      </c>
      <c r="CL17" s="123">
        <v>0.16716266605705102</v>
      </c>
      <c r="CM17" s="122">
        <f t="shared" si="31"/>
        <v>0</v>
      </c>
      <c r="CN17" s="124">
        <f t="shared" si="32"/>
        <v>0</v>
      </c>
      <c r="CO17" s="75"/>
      <c r="CP17" s="75"/>
      <c r="CQ17" s="75"/>
      <c r="CR17" s="81"/>
      <c r="CS17" s="120">
        <f t="shared" si="81"/>
        <v>4</v>
      </c>
      <c r="CT17" s="121" t="s">
        <v>74</v>
      </c>
      <c r="CU17" s="122"/>
      <c r="CV17" s="123">
        <f t="shared" si="33"/>
        <v>0.01161806607</v>
      </c>
      <c r="CW17" s="122">
        <f t="shared" si="34"/>
        <v>0</v>
      </c>
      <c r="CX17" s="123">
        <v>0.16716266605705102</v>
      </c>
      <c r="CY17" s="122">
        <f t="shared" si="35"/>
        <v>0</v>
      </c>
      <c r="CZ17" s="124">
        <f t="shared" si="36"/>
        <v>0</v>
      </c>
      <c r="DA17" s="75"/>
      <c r="DB17" s="75"/>
      <c r="DC17" s="75"/>
      <c r="DD17" s="81"/>
      <c r="DE17" s="120">
        <f t="shared" si="82"/>
        <v>4</v>
      </c>
      <c r="DF17" s="121" t="s">
        <v>74</v>
      </c>
      <c r="DG17" s="122"/>
      <c r="DH17" s="123">
        <f t="shared" si="37"/>
        <v>0.01161806607</v>
      </c>
      <c r="DI17" s="122">
        <f t="shared" si="38"/>
        <v>0</v>
      </c>
      <c r="DJ17" s="123">
        <v>0.16716266605705102</v>
      </c>
      <c r="DK17" s="122">
        <f t="shared" si="39"/>
        <v>0</v>
      </c>
      <c r="DL17" s="124">
        <f t="shared" si="40"/>
        <v>0</v>
      </c>
      <c r="DM17" s="75"/>
      <c r="DN17" s="75"/>
      <c r="DO17" s="75"/>
      <c r="DP17" s="81"/>
      <c r="DQ17" s="120">
        <f t="shared" si="83"/>
        <v>4</v>
      </c>
      <c r="DR17" s="121" t="s">
        <v>74</v>
      </c>
      <c r="DS17" s="122"/>
      <c r="DT17" s="123">
        <f t="shared" si="41"/>
        <v>0.01161806607</v>
      </c>
      <c r="DU17" s="122">
        <f t="shared" si="42"/>
        <v>0</v>
      </c>
      <c r="DV17" s="123">
        <v>0.16716266605705102</v>
      </c>
      <c r="DW17" s="122">
        <f t="shared" si="43"/>
        <v>0</v>
      </c>
      <c r="DX17" s="124">
        <f t="shared" si="44"/>
        <v>0</v>
      </c>
      <c r="DY17" s="75"/>
      <c r="DZ17" s="75"/>
      <c r="EA17" s="75"/>
      <c r="EB17" s="81"/>
      <c r="EC17" s="120">
        <f t="shared" si="84"/>
        <v>4</v>
      </c>
      <c r="ED17" s="121" t="s">
        <v>74</v>
      </c>
      <c r="EE17" s="122"/>
      <c r="EF17" s="123">
        <f t="shared" si="45"/>
        <v>0.01161806607</v>
      </c>
      <c r="EG17" s="122">
        <f t="shared" si="46"/>
        <v>0</v>
      </c>
      <c r="EH17" s="123">
        <v>0.16716266605705102</v>
      </c>
      <c r="EI17" s="122">
        <f t="shared" si="47"/>
        <v>0</v>
      </c>
      <c r="EJ17" s="124">
        <f t="shared" si="48"/>
        <v>0</v>
      </c>
      <c r="EK17" s="75"/>
      <c r="EL17" s="75"/>
      <c r="EM17" s="75"/>
      <c r="EN17" s="81"/>
      <c r="EO17" s="120">
        <f t="shared" si="85"/>
        <v>4</v>
      </c>
      <c r="EP17" s="121" t="s">
        <v>74</v>
      </c>
      <c r="EQ17" s="122"/>
      <c r="ER17" s="123">
        <f t="shared" si="49"/>
        <v>0.01161806607</v>
      </c>
      <c r="ES17" s="122">
        <f t="shared" si="50"/>
        <v>0</v>
      </c>
      <c r="ET17" s="123">
        <v>0.16716266605705102</v>
      </c>
      <c r="EU17" s="122">
        <f t="shared" si="51"/>
        <v>0</v>
      </c>
      <c r="EV17" s="124">
        <f t="shared" si="52"/>
        <v>0</v>
      </c>
      <c r="EW17" s="75"/>
      <c r="EX17" s="75"/>
      <c r="EY17" s="75"/>
      <c r="EZ17" s="81"/>
      <c r="FA17" s="120">
        <f t="shared" si="86"/>
        <v>4</v>
      </c>
      <c r="FB17" s="121" t="s">
        <v>74</v>
      </c>
      <c r="FC17" s="122"/>
      <c r="FD17" s="123">
        <f t="shared" si="53"/>
        <v>0.01161806607</v>
      </c>
      <c r="FE17" s="122">
        <f t="shared" si="54"/>
        <v>0</v>
      </c>
      <c r="FF17" s="123">
        <v>0.16716266605705102</v>
      </c>
      <c r="FG17" s="122">
        <f t="shared" si="55"/>
        <v>0</v>
      </c>
      <c r="FH17" s="124">
        <f t="shared" si="56"/>
        <v>0</v>
      </c>
      <c r="FI17" s="75"/>
      <c r="FJ17" s="75"/>
      <c r="FK17" s="75"/>
      <c r="FL17" s="81"/>
      <c r="FM17" s="120">
        <f t="shared" si="87"/>
        <v>4</v>
      </c>
      <c r="FN17" s="121" t="s">
        <v>74</v>
      </c>
      <c r="FO17" s="122"/>
      <c r="FP17" s="123">
        <f t="shared" si="57"/>
        <v>0.01161806607</v>
      </c>
      <c r="FQ17" s="122">
        <f t="shared" si="58"/>
        <v>0</v>
      </c>
      <c r="FR17" s="123">
        <v>0.16716266605705102</v>
      </c>
      <c r="FS17" s="122">
        <f t="shared" si="59"/>
        <v>0</v>
      </c>
      <c r="FT17" s="124">
        <f t="shared" si="60"/>
        <v>0</v>
      </c>
      <c r="FU17" s="75"/>
      <c r="FV17" s="75"/>
      <c r="FW17" s="75"/>
      <c r="FX17" s="81"/>
      <c r="FY17" s="120">
        <f t="shared" si="88"/>
        <v>4</v>
      </c>
      <c r="FZ17" s="121" t="s">
        <v>74</v>
      </c>
      <c r="GA17" s="122"/>
      <c r="GB17" s="123">
        <f t="shared" si="61"/>
        <v>0.01161806607</v>
      </c>
      <c r="GC17" s="122">
        <f t="shared" si="62"/>
        <v>0</v>
      </c>
      <c r="GD17" s="123">
        <v>0.16716266605705102</v>
      </c>
      <c r="GE17" s="122">
        <f t="shared" si="63"/>
        <v>0</v>
      </c>
      <c r="GF17" s="124">
        <f t="shared" si="64"/>
        <v>0</v>
      </c>
      <c r="GG17" s="75"/>
      <c r="GH17" s="75"/>
      <c r="GI17" s="75"/>
      <c r="GJ17" s="81"/>
      <c r="GK17" s="120">
        <f t="shared" si="89"/>
        <v>4</v>
      </c>
      <c r="GL17" s="121" t="s">
        <v>74</v>
      </c>
      <c r="GM17" s="122"/>
      <c r="GN17" s="123">
        <f t="shared" si="65"/>
        <v>0.01161806607</v>
      </c>
      <c r="GO17" s="122">
        <f t="shared" si="66"/>
        <v>0</v>
      </c>
      <c r="GP17" s="123">
        <v>0.16716266605705102</v>
      </c>
      <c r="GQ17" s="122">
        <f t="shared" si="67"/>
        <v>0</v>
      </c>
      <c r="GR17" s="124">
        <f t="shared" si="68"/>
        <v>0</v>
      </c>
      <c r="GS17" s="75"/>
      <c r="GT17" s="75"/>
      <c r="GU17" s="75"/>
      <c r="GV17" s="81"/>
      <c r="GW17" s="120">
        <f t="shared" si="90"/>
        <v>4</v>
      </c>
      <c r="GX17" s="121" t="s">
        <v>74</v>
      </c>
      <c r="GY17" s="122"/>
      <c r="GZ17" s="123">
        <f t="shared" si="69"/>
        <v>0.01161806607</v>
      </c>
      <c r="HA17" s="122">
        <f t="shared" si="70"/>
        <v>0</v>
      </c>
      <c r="HB17" s="123">
        <v>0.16716266605705102</v>
      </c>
      <c r="HC17" s="122">
        <f t="shared" si="71"/>
        <v>0</v>
      </c>
      <c r="HD17" s="124">
        <f t="shared" si="72"/>
        <v>0</v>
      </c>
      <c r="HE17" s="75"/>
      <c r="HF17" s="75"/>
      <c r="HG17" s="75"/>
      <c r="HH17" s="81"/>
      <c r="HI17" s="75"/>
    </row>
    <row r="18">
      <c r="A18" s="120">
        <f t="shared" si="73"/>
        <v>5</v>
      </c>
      <c r="B18" s="121" t="s">
        <v>75</v>
      </c>
      <c r="C18" s="122"/>
      <c r="D18" s="123">
        <f t="shared" si="1"/>
        <v>0.01161806607</v>
      </c>
      <c r="E18" s="122">
        <f t="shared" si="2"/>
        <v>0</v>
      </c>
      <c r="F18" s="123">
        <v>0.16716266605705102</v>
      </c>
      <c r="G18" s="122">
        <f t="shared" si="3"/>
        <v>0</v>
      </c>
      <c r="H18" s="124">
        <f t="shared" si="4"/>
        <v>0</v>
      </c>
      <c r="I18" s="75"/>
      <c r="J18" s="75"/>
      <c r="K18" s="75"/>
      <c r="L18" s="81"/>
      <c r="M18" s="120">
        <f t="shared" si="74"/>
        <v>5</v>
      </c>
      <c r="N18" s="121" t="s">
        <v>75</v>
      </c>
      <c r="O18" s="122"/>
      <c r="P18" s="123">
        <f t="shared" si="5"/>
        <v>0.01161806607</v>
      </c>
      <c r="Q18" s="122">
        <f t="shared" si="6"/>
        <v>0</v>
      </c>
      <c r="R18" s="123">
        <v>0.16716266605705102</v>
      </c>
      <c r="S18" s="122">
        <f t="shared" si="7"/>
        <v>0</v>
      </c>
      <c r="T18" s="124">
        <f t="shared" si="8"/>
        <v>0</v>
      </c>
      <c r="U18" s="75"/>
      <c r="V18" s="75"/>
      <c r="W18" s="75"/>
      <c r="X18" s="81"/>
      <c r="Y18" s="120">
        <f t="shared" si="75"/>
        <v>5</v>
      </c>
      <c r="Z18" s="121" t="s">
        <v>75</v>
      </c>
      <c r="AA18" s="122"/>
      <c r="AB18" s="123">
        <f t="shared" si="9"/>
        <v>0.01161806607</v>
      </c>
      <c r="AC18" s="122">
        <f t="shared" si="10"/>
        <v>0</v>
      </c>
      <c r="AD18" s="123">
        <v>0.16716266605705102</v>
      </c>
      <c r="AE18" s="122">
        <f t="shared" si="11"/>
        <v>0</v>
      </c>
      <c r="AF18" s="124">
        <f t="shared" si="12"/>
        <v>0</v>
      </c>
      <c r="AG18" s="75"/>
      <c r="AH18" s="75"/>
      <c r="AI18" s="75"/>
      <c r="AJ18" s="81"/>
      <c r="AK18" s="120">
        <f t="shared" si="76"/>
        <v>5</v>
      </c>
      <c r="AL18" s="121" t="s">
        <v>75</v>
      </c>
      <c r="AM18" s="122"/>
      <c r="AN18" s="123">
        <f t="shared" si="13"/>
        <v>0.01161806607</v>
      </c>
      <c r="AO18" s="122">
        <f t="shared" si="14"/>
        <v>0</v>
      </c>
      <c r="AP18" s="123">
        <v>0.16716266605705102</v>
      </c>
      <c r="AQ18" s="122">
        <f t="shared" si="15"/>
        <v>0</v>
      </c>
      <c r="AR18" s="124">
        <f t="shared" si="16"/>
        <v>0</v>
      </c>
      <c r="AS18" s="75"/>
      <c r="AT18" s="75"/>
      <c r="AU18" s="75"/>
      <c r="AV18" s="81"/>
      <c r="AW18" s="120">
        <f t="shared" si="77"/>
        <v>5</v>
      </c>
      <c r="AX18" s="121" t="s">
        <v>75</v>
      </c>
      <c r="AY18" s="122"/>
      <c r="AZ18" s="123">
        <f t="shared" si="17"/>
        <v>0.01161806607</v>
      </c>
      <c r="BA18" s="122">
        <f t="shared" si="18"/>
        <v>0</v>
      </c>
      <c r="BB18" s="123">
        <v>0.16716266605705102</v>
      </c>
      <c r="BC18" s="122">
        <f t="shared" si="19"/>
        <v>0</v>
      </c>
      <c r="BD18" s="124">
        <f t="shared" si="20"/>
        <v>0</v>
      </c>
      <c r="BE18" s="75"/>
      <c r="BF18" s="75"/>
      <c r="BG18" s="75"/>
      <c r="BH18" s="81"/>
      <c r="BI18" s="120">
        <f t="shared" si="78"/>
        <v>5</v>
      </c>
      <c r="BJ18" s="121" t="s">
        <v>75</v>
      </c>
      <c r="BK18" s="122"/>
      <c r="BL18" s="123">
        <f t="shared" si="21"/>
        <v>0.01161806607</v>
      </c>
      <c r="BM18" s="122">
        <f t="shared" si="22"/>
        <v>0</v>
      </c>
      <c r="BN18" s="123">
        <v>0.16716266605705102</v>
      </c>
      <c r="BO18" s="122">
        <f t="shared" si="23"/>
        <v>0</v>
      </c>
      <c r="BP18" s="124">
        <f t="shared" si="24"/>
        <v>0</v>
      </c>
      <c r="BQ18" s="75"/>
      <c r="BR18" s="75"/>
      <c r="BS18" s="75"/>
      <c r="BT18" s="81"/>
      <c r="BU18" s="120">
        <f t="shared" si="79"/>
        <v>5</v>
      </c>
      <c r="BV18" s="121" t="s">
        <v>75</v>
      </c>
      <c r="BW18" s="122"/>
      <c r="BX18" s="123">
        <f t="shared" si="25"/>
        <v>0.01161806607</v>
      </c>
      <c r="BY18" s="122">
        <f t="shared" si="26"/>
        <v>0</v>
      </c>
      <c r="BZ18" s="123">
        <v>0.16716266605705102</v>
      </c>
      <c r="CA18" s="122">
        <f t="shared" si="27"/>
        <v>0</v>
      </c>
      <c r="CB18" s="124">
        <f t="shared" si="28"/>
        <v>0</v>
      </c>
      <c r="CC18" s="75"/>
      <c r="CD18" s="75"/>
      <c r="CE18" s="75"/>
      <c r="CF18" s="81"/>
      <c r="CG18" s="120">
        <f t="shared" si="80"/>
        <v>5</v>
      </c>
      <c r="CH18" s="121" t="s">
        <v>75</v>
      </c>
      <c r="CI18" s="122"/>
      <c r="CJ18" s="123">
        <f t="shared" si="29"/>
        <v>0.01161806607</v>
      </c>
      <c r="CK18" s="122">
        <f t="shared" si="30"/>
        <v>0</v>
      </c>
      <c r="CL18" s="123">
        <v>0.16716266605705102</v>
      </c>
      <c r="CM18" s="122">
        <f t="shared" si="31"/>
        <v>0</v>
      </c>
      <c r="CN18" s="124">
        <f t="shared" si="32"/>
        <v>0</v>
      </c>
      <c r="CO18" s="75"/>
      <c r="CP18" s="75"/>
      <c r="CQ18" s="75"/>
      <c r="CR18" s="81"/>
      <c r="CS18" s="120">
        <f t="shared" si="81"/>
        <v>5</v>
      </c>
      <c r="CT18" s="121" t="s">
        <v>75</v>
      </c>
      <c r="CU18" s="122"/>
      <c r="CV18" s="123">
        <f t="shared" si="33"/>
        <v>0.01161806607</v>
      </c>
      <c r="CW18" s="122">
        <f t="shared" si="34"/>
        <v>0</v>
      </c>
      <c r="CX18" s="123">
        <v>0.16716266605705102</v>
      </c>
      <c r="CY18" s="122">
        <f t="shared" si="35"/>
        <v>0</v>
      </c>
      <c r="CZ18" s="124">
        <f t="shared" si="36"/>
        <v>0</v>
      </c>
      <c r="DA18" s="75"/>
      <c r="DB18" s="75"/>
      <c r="DC18" s="75"/>
      <c r="DD18" s="81"/>
      <c r="DE18" s="120">
        <f t="shared" si="82"/>
        <v>5</v>
      </c>
      <c r="DF18" s="121" t="s">
        <v>75</v>
      </c>
      <c r="DG18" s="122"/>
      <c r="DH18" s="123">
        <f t="shared" si="37"/>
        <v>0.01161806607</v>
      </c>
      <c r="DI18" s="122">
        <f t="shared" si="38"/>
        <v>0</v>
      </c>
      <c r="DJ18" s="123">
        <v>0.16716266605705102</v>
      </c>
      <c r="DK18" s="122">
        <f t="shared" si="39"/>
        <v>0</v>
      </c>
      <c r="DL18" s="124">
        <f t="shared" si="40"/>
        <v>0</v>
      </c>
      <c r="DM18" s="75"/>
      <c r="DN18" s="75"/>
      <c r="DO18" s="75"/>
      <c r="DP18" s="81"/>
      <c r="DQ18" s="120">
        <f t="shared" si="83"/>
        <v>5</v>
      </c>
      <c r="DR18" s="121" t="s">
        <v>75</v>
      </c>
      <c r="DS18" s="122"/>
      <c r="DT18" s="123">
        <f t="shared" si="41"/>
        <v>0.01161806607</v>
      </c>
      <c r="DU18" s="122">
        <f t="shared" si="42"/>
        <v>0</v>
      </c>
      <c r="DV18" s="123">
        <v>0.16716266605705102</v>
      </c>
      <c r="DW18" s="122">
        <f t="shared" si="43"/>
        <v>0</v>
      </c>
      <c r="DX18" s="124">
        <f t="shared" si="44"/>
        <v>0</v>
      </c>
      <c r="DY18" s="75"/>
      <c r="DZ18" s="75"/>
      <c r="EA18" s="75"/>
      <c r="EB18" s="81"/>
      <c r="EC18" s="120">
        <f t="shared" si="84"/>
        <v>5</v>
      </c>
      <c r="ED18" s="121" t="s">
        <v>75</v>
      </c>
      <c r="EE18" s="122"/>
      <c r="EF18" s="123">
        <f t="shared" si="45"/>
        <v>0.01161806607</v>
      </c>
      <c r="EG18" s="122">
        <f t="shared" si="46"/>
        <v>0</v>
      </c>
      <c r="EH18" s="123">
        <v>0.16716266605705102</v>
      </c>
      <c r="EI18" s="122">
        <f t="shared" si="47"/>
        <v>0</v>
      </c>
      <c r="EJ18" s="124">
        <f t="shared" si="48"/>
        <v>0</v>
      </c>
      <c r="EK18" s="75"/>
      <c r="EL18" s="75"/>
      <c r="EM18" s="75"/>
      <c r="EN18" s="81"/>
      <c r="EO18" s="120">
        <f t="shared" si="85"/>
        <v>5</v>
      </c>
      <c r="EP18" s="121" t="s">
        <v>75</v>
      </c>
      <c r="EQ18" s="122"/>
      <c r="ER18" s="123">
        <f t="shared" si="49"/>
        <v>0.01161806607</v>
      </c>
      <c r="ES18" s="122">
        <f t="shared" si="50"/>
        <v>0</v>
      </c>
      <c r="ET18" s="123">
        <v>0.16716266605705102</v>
      </c>
      <c r="EU18" s="122">
        <f t="shared" si="51"/>
        <v>0</v>
      </c>
      <c r="EV18" s="124">
        <f t="shared" si="52"/>
        <v>0</v>
      </c>
      <c r="EW18" s="75"/>
      <c r="EX18" s="75"/>
      <c r="EY18" s="75"/>
      <c r="EZ18" s="81"/>
      <c r="FA18" s="120">
        <f t="shared" si="86"/>
        <v>5</v>
      </c>
      <c r="FB18" s="121" t="s">
        <v>75</v>
      </c>
      <c r="FC18" s="122"/>
      <c r="FD18" s="123">
        <f t="shared" si="53"/>
        <v>0.01161806607</v>
      </c>
      <c r="FE18" s="122">
        <f t="shared" si="54"/>
        <v>0</v>
      </c>
      <c r="FF18" s="123">
        <v>0.16716266605705102</v>
      </c>
      <c r="FG18" s="122">
        <f t="shared" si="55"/>
        <v>0</v>
      </c>
      <c r="FH18" s="124">
        <f t="shared" si="56"/>
        <v>0</v>
      </c>
      <c r="FI18" s="75"/>
      <c r="FJ18" s="75"/>
      <c r="FK18" s="75"/>
      <c r="FL18" s="81"/>
      <c r="FM18" s="120">
        <f t="shared" si="87"/>
        <v>5</v>
      </c>
      <c r="FN18" s="121" t="s">
        <v>75</v>
      </c>
      <c r="FO18" s="122"/>
      <c r="FP18" s="123">
        <f t="shared" si="57"/>
        <v>0.01161806607</v>
      </c>
      <c r="FQ18" s="122">
        <f t="shared" si="58"/>
        <v>0</v>
      </c>
      <c r="FR18" s="123">
        <v>0.16716266605705102</v>
      </c>
      <c r="FS18" s="122">
        <f t="shared" si="59"/>
        <v>0</v>
      </c>
      <c r="FT18" s="124">
        <f t="shared" si="60"/>
        <v>0</v>
      </c>
      <c r="FU18" s="75"/>
      <c r="FV18" s="75"/>
      <c r="FW18" s="75"/>
      <c r="FX18" s="81"/>
      <c r="FY18" s="120">
        <f t="shared" si="88"/>
        <v>5</v>
      </c>
      <c r="FZ18" s="121" t="s">
        <v>75</v>
      </c>
      <c r="GA18" s="122"/>
      <c r="GB18" s="123">
        <f t="shared" si="61"/>
        <v>0.01161806607</v>
      </c>
      <c r="GC18" s="122">
        <f t="shared" si="62"/>
        <v>0</v>
      </c>
      <c r="GD18" s="123">
        <v>0.16716266605705102</v>
      </c>
      <c r="GE18" s="122">
        <f t="shared" si="63"/>
        <v>0</v>
      </c>
      <c r="GF18" s="124">
        <f t="shared" si="64"/>
        <v>0</v>
      </c>
      <c r="GG18" s="75"/>
      <c r="GH18" s="75"/>
      <c r="GI18" s="75"/>
      <c r="GJ18" s="81"/>
      <c r="GK18" s="120">
        <f t="shared" si="89"/>
        <v>5</v>
      </c>
      <c r="GL18" s="121" t="s">
        <v>75</v>
      </c>
      <c r="GM18" s="122"/>
      <c r="GN18" s="123">
        <f t="shared" si="65"/>
        <v>0.01161806607</v>
      </c>
      <c r="GO18" s="122">
        <f t="shared" si="66"/>
        <v>0</v>
      </c>
      <c r="GP18" s="123">
        <v>0.16716266605705102</v>
      </c>
      <c r="GQ18" s="122">
        <f t="shared" si="67"/>
        <v>0</v>
      </c>
      <c r="GR18" s="124">
        <f t="shared" si="68"/>
        <v>0</v>
      </c>
      <c r="GS18" s="75"/>
      <c r="GT18" s="75"/>
      <c r="GU18" s="75"/>
      <c r="GV18" s="81"/>
      <c r="GW18" s="120">
        <f t="shared" si="90"/>
        <v>5</v>
      </c>
      <c r="GX18" s="121" t="s">
        <v>75</v>
      </c>
      <c r="GY18" s="122"/>
      <c r="GZ18" s="123">
        <f t="shared" si="69"/>
        <v>0.01161806607</v>
      </c>
      <c r="HA18" s="122">
        <f t="shared" si="70"/>
        <v>0</v>
      </c>
      <c r="HB18" s="123">
        <v>0.16716266605705102</v>
      </c>
      <c r="HC18" s="122">
        <f t="shared" si="71"/>
        <v>0</v>
      </c>
      <c r="HD18" s="124">
        <f t="shared" si="72"/>
        <v>0</v>
      </c>
      <c r="HE18" s="75"/>
      <c r="HF18" s="75"/>
      <c r="HG18" s="75"/>
      <c r="HH18" s="81"/>
      <c r="HI18" s="75"/>
    </row>
    <row r="19">
      <c r="A19" s="120">
        <f t="shared" si="73"/>
        <v>6</v>
      </c>
      <c r="B19" s="121" t="s">
        <v>76</v>
      </c>
      <c r="C19" s="122"/>
      <c r="D19" s="123">
        <f t="shared" si="1"/>
        <v>0.01161806607</v>
      </c>
      <c r="E19" s="122">
        <f t="shared" si="2"/>
        <v>0</v>
      </c>
      <c r="F19" s="123">
        <v>0.16716266605705102</v>
      </c>
      <c r="G19" s="122">
        <f t="shared" si="3"/>
        <v>0</v>
      </c>
      <c r="H19" s="124">
        <f t="shared" si="4"/>
        <v>0</v>
      </c>
      <c r="I19" s="75"/>
      <c r="J19" s="75"/>
      <c r="K19" s="75"/>
      <c r="L19" s="81"/>
      <c r="M19" s="120">
        <f t="shared" si="74"/>
        <v>6</v>
      </c>
      <c r="N19" s="121" t="s">
        <v>76</v>
      </c>
      <c r="O19" s="122"/>
      <c r="P19" s="123">
        <f t="shared" si="5"/>
        <v>0.01161806607</v>
      </c>
      <c r="Q19" s="122">
        <f t="shared" si="6"/>
        <v>0</v>
      </c>
      <c r="R19" s="123">
        <v>0.16716266605705102</v>
      </c>
      <c r="S19" s="122">
        <f t="shared" si="7"/>
        <v>0</v>
      </c>
      <c r="T19" s="124">
        <f t="shared" si="8"/>
        <v>0</v>
      </c>
      <c r="U19" s="75"/>
      <c r="V19" s="75"/>
      <c r="W19" s="75"/>
      <c r="X19" s="81"/>
      <c r="Y19" s="120">
        <f t="shared" si="75"/>
        <v>6</v>
      </c>
      <c r="Z19" s="121" t="s">
        <v>76</v>
      </c>
      <c r="AA19" s="122"/>
      <c r="AB19" s="123">
        <f t="shared" si="9"/>
        <v>0.01161806607</v>
      </c>
      <c r="AC19" s="122">
        <f t="shared" si="10"/>
        <v>0</v>
      </c>
      <c r="AD19" s="123">
        <v>0.16716266605705102</v>
      </c>
      <c r="AE19" s="122">
        <f t="shared" si="11"/>
        <v>0</v>
      </c>
      <c r="AF19" s="124">
        <f t="shared" si="12"/>
        <v>0</v>
      </c>
      <c r="AG19" s="75"/>
      <c r="AH19" s="75"/>
      <c r="AI19" s="75"/>
      <c r="AJ19" s="81"/>
      <c r="AK19" s="120">
        <f t="shared" si="76"/>
        <v>6</v>
      </c>
      <c r="AL19" s="121" t="s">
        <v>76</v>
      </c>
      <c r="AM19" s="122"/>
      <c r="AN19" s="123">
        <f t="shared" si="13"/>
        <v>0.01161806607</v>
      </c>
      <c r="AO19" s="122">
        <f t="shared" si="14"/>
        <v>0</v>
      </c>
      <c r="AP19" s="123">
        <v>0.16716266605705102</v>
      </c>
      <c r="AQ19" s="122">
        <f t="shared" si="15"/>
        <v>0</v>
      </c>
      <c r="AR19" s="124">
        <f t="shared" si="16"/>
        <v>0</v>
      </c>
      <c r="AS19" s="75"/>
      <c r="AT19" s="75"/>
      <c r="AU19" s="75"/>
      <c r="AV19" s="81"/>
      <c r="AW19" s="120">
        <f t="shared" si="77"/>
        <v>6</v>
      </c>
      <c r="AX19" s="121" t="s">
        <v>76</v>
      </c>
      <c r="AY19" s="122"/>
      <c r="AZ19" s="123">
        <f t="shared" si="17"/>
        <v>0.01161806607</v>
      </c>
      <c r="BA19" s="122">
        <f t="shared" si="18"/>
        <v>0</v>
      </c>
      <c r="BB19" s="123">
        <v>0.16716266605705102</v>
      </c>
      <c r="BC19" s="122">
        <f t="shared" si="19"/>
        <v>0</v>
      </c>
      <c r="BD19" s="124">
        <f t="shared" si="20"/>
        <v>0</v>
      </c>
      <c r="BE19" s="75"/>
      <c r="BF19" s="75"/>
      <c r="BG19" s="75"/>
      <c r="BH19" s="81"/>
      <c r="BI19" s="120">
        <f t="shared" si="78"/>
        <v>6</v>
      </c>
      <c r="BJ19" s="121" t="s">
        <v>76</v>
      </c>
      <c r="BK19" s="122"/>
      <c r="BL19" s="123">
        <f t="shared" si="21"/>
        <v>0.01161806607</v>
      </c>
      <c r="BM19" s="122">
        <f t="shared" si="22"/>
        <v>0</v>
      </c>
      <c r="BN19" s="123">
        <v>0.16716266605705102</v>
      </c>
      <c r="BO19" s="122">
        <f t="shared" si="23"/>
        <v>0</v>
      </c>
      <c r="BP19" s="124">
        <f t="shared" si="24"/>
        <v>0</v>
      </c>
      <c r="BQ19" s="75"/>
      <c r="BR19" s="75"/>
      <c r="BS19" s="75"/>
      <c r="BT19" s="81"/>
      <c r="BU19" s="120">
        <f t="shared" si="79"/>
        <v>6</v>
      </c>
      <c r="BV19" s="121" t="s">
        <v>76</v>
      </c>
      <c r="BW19" s="122"/>
      <c r="BX19" s="123">
        <f t="shared" si="25"/>
        <v>0.01161806607</v>
      </c>
      <c r="BY19" s="122">
        <f t="shared" si="26"/>
        <v>0</v>
      </c>
      <c r="BZ19" s="123">
        <v>0.16716266605705102</v>
      </c>
      <c r="CA19" s="122">
        <f t="shared" si="27"/>
        <v>0</v>
      </c>
      <c r="CB19" s="124">
        <f t="shared" si="28"/>
        <v>0</v>
      </c>
      <c r="CC19" s="75"/>
      <c r="CD19" s="75"/>
      <c r="CE19" s="75"/>
      <c r="CF19" s="81"/>
      <c r="CG19" s="120">
        <f t="shared" si="80"/>
        <v>6</v>
      </c>
      <c r="CH19" s="121" t="s">
        <v>76</v>
      </c>
      <c r="CI19" s="122"/>
      <c r="CJ19" s="123">
        <f t="shared" si="29"/>
        <v>0.01161806607</v>
      </c>
      <c r="CK19" s="122">
        <f t="shared" si="30"/>
        <v>0</v>
      </c>
      <c r="CL19" s="123">
        <v>0.16716266605705102</v>
      </c>
      <c r="CM19" s="122">
        <f t="shared" si="31"/>
        <v>0</v>
      </c>
      <c r="CN19" s="124">
        <f t="shared" si="32"/>
        <v>0</v>
      </c>
      <c r="CO19" s="75"/>
      <c r="CP19" s="75"/>
      <c r="CQ19" s="75"/>
      <c r="CR19" s="81"/>
      <c r="CS19" s="120">
        <f t="shared" si="81"/>
        <v>6</v>
      </c>
      <c r="CT19" s="121" t="s">
        <v>76</v>
      </c>
      <c r="CU19" s="122"/>
      <c r="CV19" s="123">
        <f t="shared" si="33"/>
        <v>0.01161806607</v>
      </c>
      <c r="CW19" s="122">
        <f t="shared" si="34"/>
        <v>0</v>
      </c>
      <c r="CX19" s="123">
        <v>0.16716266605705102</v>
      </c>
      <c r="CY19" s="122">
        <f t="shared" si="35"/>
        <v>0</v>
      </c>
      <c r="CZ19" s="124">
        <f t="shared" si="36"/>
        <v>0</v>
      </c>
      <c r="DA19" s="75"/>
      <c r="DB19" s="75"/>
      <c r="DC19" s="75"/>
      <c r="DD19" s="81"/>
      <c r="DE19" s="120">
        <f t="shared" si="82"/>
        <v>6</v>
      </c>
      <c r="DF19" s="121" t="s">
        <v>76</v>
      </c>
      <c r="DG19" s="122"/>
      <c r="DH19" s="123">
        <f t="shared" si="37"/>
        <v>0.01161806607</v>
      </c>
      <c r="DI19" s="122">
        <f t="shared" si="38"/>
        <v>0</v>
      </c>
      <c r="DJ19" s="123">
        <v>0.16716266605705102</v>
      </c>
      <c r="DK19" s="122">
        <f t="shared" si="39"/>
        <v>0</v>
      </c>
      <c r="DL19" s="124">
        <f t="shared" si="40"/>
        <v>0</v>
      </c>
      <c r="DM19" s="75"/>
      <c r="DN19" s="75"/>
      <c r="DO19" s="75"/>
      <c r="DP19" s="81"/>
      <c r="DQ19" s="120">
        <f t="shared" si="83"/>
        <v>6</v>
      </c>
      <c r="DR19" s="121" t="s">
        <v>76</v>
      </c>
      <c r="DS19" s="122"/>
      <c r="DT19" s="123">
        <f t="shared" si="41"/>
        <v>0.01161806607</v>
      </c>
      <c r="DU19" s="122">
        <f t="shared" si="42"/>
        <v>0</v>
      </c>
      <c r="DV19" s="123">
        <v>0.16716266605705102</v>
      </c>
      <c r="DW19" s="122">
        <f t="shared" si="43"/>
        <v>0</v>
      </c>
      <c r="DX19" s="124">
        <f t="shared" si="44"/>
        <v>0</v>
      </c>
      <c r="DY19" s="75"/>
      <c r="DZ19" s="75"/>
      <c r="EA19" s="75"/>
      <c r="EB19" s="81"/>
      <c r="EC19" s="120">
        <f t="shared" si="84"/>
        <v>6</v>
      </c>
      <c r="ED19" s="121" t="s">
        <v>76</v>
      </c>
      <c r="EE19" s="122"/>
      <c r="EF19" s="123">
        <f t="shared" si="45"/>
        <v>0.01161806607</v>
      </c>
      <c r="EG19" s="122">
        <f t="shared" si="46"/>
        <v>0</v>
      </c>
      <c r="EH19" s="123">
        <v>0.16716266605705102</v>
      </c>
      <c r="EI19" s="122">
        <f t="shared" si="47"/>
        <v>0</v>
      </c>
      <c r="EJ19" s="124">
        <f t="shared" si="48"/>
        <v>0</v>
      </c>
      <c r="EK19" s="75"/>
      <c r="EL19" s="75"/>
      <c r="EM19" s="75"/>
      <c r="EN19" s="81"/>
      <c r="EO19" s="120">
        <f t="shared" si="85"/>
        <v>6</v>
      </c>
      <c r="EP19" s="121" t="s">
        <v>76</v>
      </c>
      <c r="EQ19" s="122"/>
      <c r="ER19" s="123">
        <f t="shared" si="49"/>
        <v>0.01161806607</v>
      </c>
      <c r="ES19" s="122">
        <f t="shared" si="50"/>
        <v>0</v>
      </c>
      <c r="ET19" s="123">
        <v>0.16716266605705102</v>
      </c>
      <c r="EU19" s="122">
        <f t="shared" si="51"/>
        <v>0</v>
      </c>
      <c r="EV19" s="124">
        <f t="shared" si="52"/>
        <v>0</v>
      </c>
      <c r="EW19" s="75"/>
      <c r="EX19" s="75"/>
      <c r="EY19" s="75"/>
      <c r="EZ19" s="81"/>
      <c r="FA19" s="120">
        <f t="shared" si="86"/>
        <v>6</v>
      </c>
      <c r="FB19" s="121" t="s">
        <v>76</v>
      </c>
      <c r="FC19" s="122"/>
      <c r="FD19" s="123">
        <f t="shared" si="53"/>
        <v>0.01161806607</v>
      </c>
      <c r="FE19" s="122">
        <f t="shared" si="54"/>
        <v>0</v>
      </c>
      <c r="FF19" s="123">
        <v>0.16716266605705102</v>
      </c>
      <c r="FG19" s="122">
        <f t="shared" si="55"/>
        <v>0</v>
      </c>
      <c r="FH19" s="124">
        <f t="shared" si="56"/>
        <v>0</v>
      </c>
      <c r="FI19" s="75"/>
      <c r="FJ19" s="75"/>
      <c r="FK19" s="75"/>
      <c r="FL19" s="81"/>
      <c r="FM19" s="120">
        <f t="shared" si="87"/>
        <v>6</v>
      </c>
      <c r="FN19" s="121" t="s">
        <v>76</v>
      </c>
      <c r="FO19" s="122"/>
      <c r="FP19" s="123">
        <f t="shared" si="57"/>
        <v>0.01161806607</v>
      </c>
      <c r="FQ19" s="122">
        <f t="shared" si="58"/>
        <v>0</v>
      </c>
      <c r="FR19" s="123">
        <v>0.16716266605705102</v>
      </c>
      <c r="FS19" s="122">
        <f t="shared" si="59"/>
        <v>0</v>
      </c>
      <c r="FT19" s="124">
        <f t="shared" si="60"/>
        <v>0</v>
      </c>
      <c r="FU19" s="75"/>
      <c r="FV19" s="75"/>
      <c r="FW19" s="75"/>
      <c r="FX19" s="81"/>
      <c r="FY19" s="120">
        <f t="shared" si="88"/>
        <v>6</v>
      </c>
      <c r="FZ19" s="121" t="s">
        <v>76</v>
      </c>
      <c r="GA19" s="122"/>
      <c r="GB19" s="123">
        <f t="shared" si="61"/>
        <v>0.01161806607</v>
      </c>
      <c r="GC19" s="122">
        <f t="shared" si="62"/>
        <v>0</v>
      </c>
      <c r="GD19" s="123">
        <v>0.16716266605705102</v>
      </c>
      <c r="GE19" s="122">
        <f t="shared" si="63"/>
        <v>0</v>
      </c>
      <c r="GF19" s="124">
        <f t="shared" si="64"/>
        <v>0</v>
      </c>
      <c r="GG19" s="75"/>
      <c r="GH19" s="75"/>
      <c r="GI19" s="75"/>
      <c r="GJ19" s="81"/>
      <c r="GK19" s="120">
        <f t="shared" si="89"/>
        <v>6</v>
      </c>
      <c r="GL19" s="121" t="s">
        <v>76</v>
      </c>
      <c r="GM19" s="122"/>
      <c r="GN19" s="123">
        <f t="shared" si="65"/>
        <v>0.01161806607</v>
      </c>
      <c r="GO19" s="122">
        <f t="shared" si="66"/>
        <v>0</v>
      </c>
      <c r="GP19" s="123">
        <v>0.16716266605705102</v>
      </c>
      <c r="GQ19" s="122">
        <f t="shared" si="67"/>
        <v>0</v>
      </c>
      <c r="GR19" s="124">
        <f t="shared" si="68"/>
        <v>0</v>
      </c>
      <c r="GS19" s="75"/>
      <c r="GT19" s="75"/>
      <c r="GU19" s="75"/>
      <c r="GV19" s="81"/>
      <c r="GW19" s="120">
        <f t="shared" si="90"/>
        <v>6</v>
      </c>
      <c r="GX19" s="121" t="s">
        <v>76</v>
      </c>
      <c r="GY19" s="122"/>
      <c r="GZ19" s="123">
        <f t="shared" si="69"/>
        <v>0.01161806607</v>
      </c>
      <c r="HA19" s="122">
        <f t="shared" si="70"/>
        <v>0</v>
      </c>
      <c r="HB19" s="123">
        <v>0.16716266605705102</v>
      </c>
      <c r="HC19" s="122">
        <f t="shared" si="71"/>
        <v>0</v>
      </c>
      <c r="HD19" s="124">
        <f t="shared" si="72"/>
        <v>0</v>
      </c>
      <c r="HE19" s="75"/>
      <c r="HF19" s="75"/>
      <c r="HG19" s="75"/>
      <c r="HH19" s="81"/>
      <c r="HI19" s="75"/>
    </row>
    <row r="20">
      <c r="A20" s="120"/>
      <c r="B20" s="125"/>
      <c r="C20" s="122"/>
      <c r="D20" s="122"/>
      <c r="E20" s="122"/>
      <c r="F20" s="122"/>
      <c r="G20" s="122"/>
      <c r="H20" s="124"/>
      <c r="I20" s="75"/>
      <c r="J20" s="75"/>
      <c r="K20" s="75"/>
      <c r="L20" s="81"/>
      <c r="M20" s="120"/>
      <c r="N20" s="125"/>
      <c r="O20" s="122"/>
      <c r="P20" s="122"/>
      <c r="Q20" s="122"/>
      <c r="R20" s="122"/>
      <c r="S20" s="122"/>
      <c r="T20" s="124"/>
      <c r="U20" s="75"/>
      <c r="V20" s="75"/>
      <c r="W20" s="75"/>
      <c r="X20" s="81"/>
      <c r="Y20" s="120"/>
      <c r="Z20" s="125"/>
      <c r="AA20" s="122"/>
      <c r="AB20" s="122"/>
      <c r="AC20" s="122"/>
      <c r="AD20" s="122"/>
      <c r="AE20" s="122"/>
      <c r="AF20" s="124"/>
      <c r="AG20" s="75"/>
      <c r="AH20" s="75"/>
      <c r="AI20" s="75"/>
      <c r="AJ20" s="81"/>
      <c r="AK20" s="120"/>
      <c r="AL20" s="125"/>
      <c r="AM20" s="122"/>
      <c r="AN20" s="122"/>
      <c r="AO20" s="122"/>
      <c r="AP20" s="122"/>
      <c r="AQ20" s="122"/>
      <c r="AR20" s="124"/>
      <c r="AS20" s="75"/>
      <c r="AT20" s="75"/>
      <c r="AU20" s="75"/>
      <c r="AV20" s="81"/>
      <c r="AW20" s="120"/>
      <c r="AX20" s="125"/>
      <c r="AY20" s="122"/>
      <c r="AZ20" s="122"/>
      <c r="BA20" s="122"/>
      <c r="BB20" s="122"/>
      <c r="BC20" s="122"/>
      <c r="BD20" s="124"/>
      <c r="BE20" s="75"/>
      <c r="BF20" s="75"/>
      <c r="BG20" s="75"/>
      <c r="BH20" s="81"/>
      <c r="BI20" s="120"/>
      <c r="BJ20" s="125"/>
      <c r="BK20" s="122"/>
      <c r="BL20" s="122"/>
      <c r="BM20" s="122"/>
      <c r="BN20" s="122"/>
      <c r="BO20" s="122"/>
      <c r="BP20" s="124"/>
      <c r="BQ20" s="75"/>
      <c r="BR20" s="75"/>
      <c r="BS20" s="75"/>
      <c r="BT20" s="81"/>
      <c r="BU20" s="120"/>
      <c r="BV20" s="125"/>
      <c r="BW20" s="122"/>
      <c r="BX20" s="122"/>
      <c r="BY20" s="122"/>
      <c r="BZ20" s="122"/>
      <c r="CA20" s="122"/>
      <c r="CB20" s="124"/>
      <c r="CC20" s="75"/>
      <c r="CD20" s="75"/>
      <c r="CE20" s="75"/>
      <c r="CF20" s="81"/>
      <c r="CG20" s="120"/>
      <c r="CH20" s="125"/>
      <c r="CI20" s="122"/>
      <c r="CJ20" s="122"/>
      <c r="CK20" s="122"/>
      <c r="CL20" s="122"/>
      <c r="CM20" s="122"/>
      <c r="CN20" s="124"/>
      <c r="CO20" s="75"/>
      <c r="CP20" s="75"/>
      <c r="CQ20" s="75"/>
      <c r="CR20" s="81"/>
      <c r="CS20" s="120"/>
      <c r="CT20" s="125"/>
      <c r="CU20" s="122"/>
      <c r="CV20" s="122"/>
      <c r="CW20" s="122"/>
      <c r="CX20" s="122"/>
      <c r="CY20" s="122"/>
      <c r="CZ20" s="124"/>
      <c r="DA20" s="75"/>
      <c r="DB20" s="75"/>
      <c r="DC20" s="75"/>
      <c r="DD20" s="81"/>
      <c r="DE20" s="120"/>
      <c r="DF20" s="125"/>
      <c r="DG20" s="122"/>
      <c r="DH20" s="122"/>
      <c r="DI20" s="122"/>
      <c r="DJ20" s="122"/>
      <c r="DK20" s="122"/>
      <c r="DL20" s="124"/>
      <c r="DM20" s="75"/>
      <c r="DN20" s="75"/>
      <c r="DO20" s="75"/>
      <c r="DP20" s="81"/>
      <c r="DQ20" s="120"/>
      <c r="DR20" s="125"/>
      <c r="DS20" s="122"/>
      <c r="DT20" s="122"/>
      <c r="DU20" s="122"/>
      <c r="DV20" s="122"/>
      <c r="DW20" s="122"/>
      <c r="DX20" s="124"/>
      <c r="DY20" s="75"/>
      <c r="DZ20" s="75"/>
      <c r="EA20" s="75"/>
      <c r="EB20" s="81"/>
      <c r="EC20" s="120"/>
      <c r="ED20" s="125"/>
      <c r="EE20" s="122"/>
      <c r="EF20" s="122"/>
      <c r="EG20" s="122"/>
      <c r="EH20" s="122"/>
      <c r="EI20" s="122"/>
      <c r="EJ20" s="124"/>
      <c r="EK20" s="75"/>
      <c r="EL20" s="75"/>
      <c r="EM20" s="75"/>
      <c r="EN20" s="81"/>
      <c r="EO20" s="120"/>
      <c r="EP20" s="125"/>
      <c r="EQ20" s="122"/>
      <c r="ER20" s="122"/>
      <c r="ES20" s="122"/>
      <c r="ET20" s="122"/>
      <c r="EU20" s="122"/>
      <c r="EV20" s="124"/>
      <c r="EW20" s="75"/>
      <c r="EX20" s="75"/>
      <c r="EY20" s="75"/>
      <c r="EZ20" s="81"/>
      <c r="FA20" s="120"/>
      <c r="FB20" s="125"/>
      <c r="FC20" s="122"/>
      <c r="FD20" s="122"/>
      <c r="FE20" s="122"/>
      <c r="FF20" s="122"/>
      <c r="FG20" s="122"/>
      <c r="FH20" s="124"/>
      <c r="FI20" s="75"/>
      <c r="FJ20" s="75"/>
      <c r="FK20" s="75"/>
      <c r="FL20" s="81"/>
      <c r="FM20" s="120"/>
      <c r="FN20" s="125"/>
      <c r="FO20" s="122"/>
      <c r="FP20" s="122"/>
      <c r="FQ20" s="122"/>
      <c r="FR20" s="122"/>
      <c r="FS20" s="122"/>
      <c r="FT20" s="124"/>
      <c r="FU20" s="75"/>
      <c r="FV20" s="75"/>
      <c r="FW20" s="75"/>
      <c r="FX20" s="81"/>
      <c r="FY20" s="120"/>
      <c r="FZ20" s="125"/>
      <c r="GA20" s="122"/>
      <c r="GB20" s="122"/>
      <c r="GC20" s="122"/>
      <c r="GD20" s="122"/>
      <c r="GE20" s="122"/>
      <c r="GF20" s="124"/>
      <c r="GG20" s="75"/>
      <c r="GH20" s="75"/>
      <c r="GI20" s="75"/>
      <c r="GJ20" s="81"/>
      <c r="GK20" s="120"/>
      <c r="GL20" s="125"/>
      <c r="GM20" s="122"/>
      <c r="GN20" s="122"/>
      <c r="GO20" s="122"/>
      <c r="GP20" s="122"/>
      <c r="GQ20" s="122"/>
      <c r="GR20" s="124"/>
      <c r="GS20" s="75"/>
      <c r="GT20" s="75"/>
      <c r="GU20" s="75"/>
      <c r="GV20" s="81"/>
      <c r="GW20" s="120"/>
      <c r="GX20" s="125"/>
      <c r="GY20" s="122"/>
      <c r="GZ20" s="122"/>
      <c r="HA20" s="122"/>
      <c r="HB20" s="122"/>
      <c r="HC20" s="122"/>
      <c r="HD20" s="124"/>
      <c r="HE20" s="75"/>
      <c r="HF20" s="75"/>
      <c r="HG20" s="75"/>
      <c r="HH20" s="81"/>
      <c r="HI20" s="75"/>
    </row>
    <row r="21" ht="15.75" customHeight="1">
      <c r="A21" s="126" t="s">
        <v>77</v>
      </c>
      <c r="B21" s="127"/>
      <c r="C21" s="128">
        <f>SUM(C14:C20)</f>
        <v>0</v>
      </c>
      <c r="D21" s="129"/>
      <c r="E21" s="128">
        <f>SUM(E14:E20)</f>
        <v>0</v>
      </c>
      <c r="F21" s="130"/>
      <c r="G21" s="128">
        <f t="shared" ref="G21:H21" si="91">SUM(G14:G20)</f>
        <v>0</v>
      </c>
      <c r="H21" s="131">
        <f t="shared" si="91"/>
        <v>0</v>
      </c>
      <c r="I21" s="132"/>
      <c r="J21" s="132"/>
      <c r="K21" s="132"/>
      <c r="L21" s="133"/>
      <c r="M21" s="126" t="s">
        <v>77</v>
      </c>
      <c r="N21" s="127"/>
      <c r="O21" s="128">
        <f>SUM(O14:O20)</f>
        <v>0</v>
      </c>
      <c r="P21" s="129"/>
      <c r="Q21" s="128">
        <f>SUM(Q14:Q20)</f>
        <v>0</v>
      </c>
      <c r="R21" s="130"/>
      <c r="S21" s="128">
        <f t="shared" ref="S21:T21" si="92">SUM(S14:S20)</f>
        <v>0</v>
      </c>
      <c r="T21" s="131">
        <f t="shared" si="92"/>
        <v>0</v>
      </c>
      <c r="U21" s="132"/>
      <c r="V21" s="132"/>
      <c r="W21" s="132"/>
      <c r="X21" s="133"/>
      <c r="Y21" s="126" t="s">
        <v>77</v>
      </c>
      <c r="Z21" s="127"/>
      <c r="AA21" s="128">
        <f>SUM(AA14:AA20)</f>
        <v>0</v>
      </c>
      <c r="AB21" s="129"/>
      <c r="AC21" s="128">
        <f>SUM(AC14:AC20)</f>
        <v>0</v>
      </c>
      <c r="AD21" s="130"/>
      <c r="AE21" s="128">
        <f t="shared" ref="AE21:AF21" si="93">SUM(AE14:AE20)</f>
        <v>0</v>
      </c>
      <c r="AF21" s="131">
        <f t="shared" si="93"/>
        <v>0</v>
      </c>
      <c r="AG21" s="132"/>
      <c r="AH21" s="132"/>
      <c r="AI21" s="132"/>
      <c r="AJ21" s="133"/>
      <c r="AK21" s="126" t="s">
        <v>77</v>
      </c>
      <c r="AL21" s="127"/>
      <c r="AM21" s="128">
        <f>SUM(AM14:AM20)</f>
        <v>0</v>
      </c>
      <c r="AN21" s="129"/>
      <c r="AO21" s="128">
        <f>SUM(AO14:AO20)</f>
        <v>0</v>
      </c>
      <c r="AP21" s="130"/>
      <c r="AQ21" s="128">
        <f t="shared" ref="AQ21:AR21" si="94">SUM(AQ14:AQ20)</f>
        <v>0</v>
      </c>
      <c r="AR21" s="131">
        <f t="shared" si="94"/>
        <v>0</v>
      </c>
      <c r="AS21" s="132"/>
      <c r="AT21" s="132"/>
      <c r="AU21" s="132"/>
      <c r="AV21" s="133"/>
      <c r="AW21" s="126" t="s">
        <v>77</v>
      </c>
      <c r="AX21" s="127"/>
      <c r="AY21" s="128">
        <f>SUM(AY14:AY20)</f>
        <v>0</v>
      </c>
      <c r="AZ21" s="129"/>
      <c r="BA21" s="128">
        <f>SUM(BA14:BA20)</f>
        <v>0</v>
      </c>
      <c r="BB21" s="130"/>
      <c r="BC21" s="128">
        <f t="shared" ref="BC21:BD21" si="95">SUM(BC14:BC20)</f>
        <v>0</v>
      </c>
      <c r="BD21" s="131">
        <f t="shared" si="95"/>
        <v>0</v>
      </c>
      <c r="BE21" s="132"/>
      <c r="BF21" s="132"/>
      <c r="BG21" s="132"/>
      <c r="BH21" s="133"/>
      <c r="BI21" s="126" t="s">
        <v>77</v>
      </c>
      <c r="BJ21" s="127"/>
      <c r="BK21" s="128">
        <f>SUM(BK14:BK20)</f>
        <v>0</v>
      </c>
      <c r="BL21" s="129"/>
      <c r="BM21" s="128">
        <f>SUM(BM14:BM20)</f>
        <v>0</v>
      </c>
      <c r="BN21" s="130"/>
      <c r="BO21" s="128">
        <f t="shared" ref="BO21:BP21" si="96">SUM(BO14:BO20)</f>
        <v>0</v>
      </c>
      <c r="BP21" s="131">
        <f t="shared" si="96"/>
        <v>0</v>
      </c>
      <c r="BQ21" s="132"/>
      <c r="BR21" s="132"/>
      <c r="BS21" s="132"/>
      <c r="BT21" s="133"/>
      <c r="BU21" s="126" t="s">
        <v>77</v>
      </c>
      <c r="BV21" s="127"/>
      <c r="BW21" s="128">
        <f>SUM(BW14:BW20)</f>
        <v>0</v>
      </c>
      <c r="BX21" s="129"/>
      <c r="BY21" s="128">
        <f>SUM(BY14:BY20)</f>
        <v>0</v>
      </c>
      <c r="BZ21" s="130"/>
      <c r="CA21" s="128">
        <f t="shared" ref="CA21:CB21" si="97">SUM(CA14:CA20)</f>
        <v>0</v>
      </c>
      <c r="CB21" s="131">
        <f t="shared" si="97"/>
        <v>0</v>
      </c>
      <c r="CC21" s="132"/>
      <c r="CD21" s="132"/>
      <c r="CE21" s="132"/>
      <c r="CF21" s="133"/>
      <c r="CG21" s="126" t="s">
        <v>77</v>
      </c>
      <c r="CH21" s="127"/>
      <c r="CI21" s="128">
        <f>SUM(CI14:CI20)</f>
        <v>0</v>
      </c>
      <c r="CJ21" s="129"/>
      <c r="CK21" s="128">
        <f>SUM(CK14:CK20)</f>
        <v>0</v>
      </c>
      <c r="CL21" s="130"/>
      <c r="CM21" s="128">
        <f t="shared" ref="CM21:CN21" si="98">SUM(CM14:CM20)</f>
        <v>0</v>
      </c>
      <c r="CN21" s="131">
        <f t="shared" si="98"/>
        <v>0</v>
      </c>
      <c r="CO21" s="132"/>
      <c r="CP21" s="132"/>
      <c r="CQ21" s="132"/>
      <c r="CR21" s="133"/>
      <c r="CS21" s="126" t="s">
        <v>77</v>
      </c>
      <c r="CT21" s="127"/>
      <c r="CU21" s="128">
        <f>SUM(CU14:CU20)</f>
        <v>0</v>
      </c>
      <c r="CV21" s="129"/>
      <c r="CW21" s="128">
        <f>SUM(CW14:CW20)</f>
        <v>0</v>
      </c>
      <c r="CX21" s="130"/>
      <c r="CY21" s="128">
        <f t="shared" ref="CY21:CZ21" si="99">SUM(CY14:CY20)</f>
        <v>0</v>
      </c>
      <c r="CZ21" s="131">
        <f t="shared" si="99"/>
        <v>0</v>
      </c>
      <c r="DA21" s="132"/>
      <c r="DB21" s="132"/>
      <c r="DC21" s="132"/>
      <c r="DD21" s="133"/>
      <c r="DE21" s="126" t="s">
        <v>77</v>
      </c>
      <c r="DF21" s="127"/>
      <c r="DG21" s="128">
        <f>SUM(DG14:DG20)</f>
        <v>0</v>
      </c>
      <c r="DH21" s="129"/>
      <c r="DI21" s="128">
        <f>SUM(DI14:DI20)</f>
        <v>0</v>
      </c>
      <c r="DJ21" s="130"/>
      <c r="DK21" s="128">
        <f t="shared" ref="DK21:DL21" si="100">SUM(DK14:DK20)</f>
        <v>0</v>
      </c>
      <c r="DL21" s="131">
        <f t="shared" si="100"/>
        <v>0</v>
      </c>
      <c r="DM21" s="132"/>
      <c r="DN21" s="132"/>
      <c r="DO21" s="132"/>
      <c r="DP21" s="133"/>
      <c r="DQ21" s="126" t="s">
        <v>77</v>
      </c>
      <c r="DR21" s="127"/>
      <c r="DS21" s="128">
        <f>SUM(DS14:DS20)</f>
        <v>0</v>
      </c>
      <c r="DT21" s="129"/>
      <c r="DU21" s="128">
        <f>SUM(DU14:DU20)</f>
        <v>0</v>
      </c>
      <c r="DV21" s="130"/>
      <c r="DW21" s="128">
        <f t="shared" ref="DW21:DX21" si="101">SUM(DW14:DW20)</f>
        <v>0</v>
      </c>
      <c r="DX21" s="131">
        <f t="shared" si="101"/>
        <v>0</v>
      </c>
      <c r="DY21" s="132"/>
      <c r="DZ21" s="132"/>
      <c r="EA21" s="132"/>
      <c r="EB21" s="133"/>
      <c r="EC21" s="126" t="s">
        <v>77</v>
      </c>
      <c r="ED21" s="127"/>
      <c r="EE21" s="128">
        <f>SUM(EE14:EE20)</f>
        <v>0</v>
      </c>
      <c r="EF21" s="129"/>
      <c r="EG21" s="128">
        <f>SUM(EG14:EG20)</f>
        <v>0</v>
      </c>
      <c r="EH21" s="130"/>
      <c r="EI21" s="128">
        <f t="shared" ref="EI21:EJ21" si="102">SUM(EI14:EI20)</f>
        <v>0</v>
      </c>
      <c r="EJ21" s="131">
        <f t="shared" si="102"/>
        <v>0</v>
      </c>
      <c r="EK21" s="132"/>
      <c r="EL21" s="132"/>
      <c r="EM21" s="132"/>
      <c r="EN21" s="133"/>
      <c r="EO21" s="126" t="s">
        <v>77</v>
      </c>
      <c r="EP21" s="127"/>
      <c r="EQ21" s="128">
        <f>SUM(EQ14:EQ20)</f>
        <v>0</v>
      </c>
      <c r="ER21" s="129"/>
      <c r="ES21" s="128">
        <f>SUM(ES14:ES20)</f>
        <v>0</v>
      </c>
      <c r="ET21" s="130"/>
      <c r="EU21" s="128">
        <f t="shared" ref="EU21:EV21" si="103">SUM(EU14:EU20)</f>
        <v>0</v>
      </c>
      <c r="EV21" s="131">
        <f t="shared" si="103"/>
        <v>0</v>
      </c>
      <c r="EW21" s="132"/>
      <c r="EX21" s="132"/>
      <c r="EY21" s="132"/>
      <c r="EZ21" s="133"/>
      <c r="FA21" s="126" t="s">
        <v>77</v>
      </c>
      <c r="FB21" s="127"/>
      <c r="FC21" s="128">
        <f>SUM(FC14:FC20)</f>
        <v>0</v>
      </c>
      <c r="FD21" s="129"/>
      <c r="FE21" s="128">
        <f>SUM(FE14:FE20)</f>
        <v>0</v>
      </c>
      <c r="FF21" s="130"/>
      <c r="FG21" s="128">
        <f t="shared" ref="FG21:FH21" si="104">SUM(FG14:FG20)</f>
        <v>0</v>
      </c>
      <c r="FH21" s="131">
        <f t="shared" si="104"/>
        <v>0</v>
      </c>
      <c r="FI21" s="132"/>
      <c r="FJ21" s="132"/>
      <c r="FK21" s="132"/>
      <c r="FL21" s="133"/>
      <c r="FM21" s="126" t="s">
        <v>77</v>
      </c>
      <c r="FN21" s="127"/>
      <c r="FO21" s="128">
        <f>SUM(FO14:FO20)</f>
        <v>0</v>
      </c>
      <c r="FP21" s="129"/>
      <c r="FQ21" s="128">
        <f>SUM(FQ14:FQ20)</f>
        <v>0</v>
      </c>
      <c r="FR21" s="130"/>
      <c r="FS21" s="128">
        <f t="shared" ref="FS21:FT21" si="105">SUM(FS14:FS20)</f>
        <v>0</v>
      </c>
      <c r="FT21" s="131">
        <f t="shared" si="105"/>
        <v>0</v>
      </c>
      <c r="FU21" s="132"/>
      <c r="FV21" s="132"/>
      <c r="FW21" s="132"/>
      <c r="FX21" s="133"/>
      <c r="FY21" s="126" t="s">
        <v>77</v>
      </c>
      <c r="FZ21" s="127"/>
      <c r="GA21" s="128">
        <f>SUM(GA14:GA20)</f>
        <v>0</v>
      </c>
      <c r="GB21" s="129"/>
      <c r="GC21" s="128">
        <f>SUM(GC14:GC20)</f>
        <v>0</v>
      </c>
      <c r="GD21" s="130"/>
      <c r="GE21" s="128">
        <f t="shared" ref="GE21:GF21" si="106">SUM(GE14:GE20)</f>
        <v>0</v>
      </c>
      <c r="GF21" s="131">
        <f t="shared" si="106"/>
        <v>0</v>
      </c>
      <c r="GG21" s="132"/>
      <c r="GH21" s="132"/>
      <c r="GI21" s="132"/>
      <c r="GJ21" s="133"/>
      <c r="GK21" s="126" t="s">
        <v>77</v>
      </c>
      <c r="GL21" s="127"/>
      <c r="GM21" s="128">
        <f>SUM(GM14:GM20)</f>
        <v>0</v>
      </c>
      <c r="GN21" s="129"/>
      <c r="GO21" s="128">
        <f>SUM(GO14:GO20)</f>
        <v>0</v>
      </c>
      <c r="GP21" s="130"/>
      <c r="GQ21" s="128">
        <f t="shared" ref="GQ21:GR21" si="107">SUM(GQ14:GQ20)</f>
        <v>0</v>
      </c>
      <c r="GR21" s="131">
        <f t="shared" si="107"/>
        <v>0</v>
      </c>
      <c r="GS21" s="132"/>
      <c r="GT21" s="132"/>
      <c r="GU21" s="132"/>
      <c r="GV21" s="133"/>
      <c r="GW21" s="126" t="s">
        <v>77</v>
      </c>
      <c r="GX21" s="127"/>
      <c r="GY21" s="128">
        <f>SUM(GY14:GY20)</f>
        <v>0</v>
      </c>
      <c r="GZ21" s="129"/>
      <c r="HA21" s="128">
        <f>SUM(HA14:HA20)</f>
        <v>0</v>
      </c>
      <c r="HB21" s="130"/>
      <c r="HC21" s="128">
        <f t="shared" ref="HC21:HD21" si="108">SUM(HC14:HC20)</f>
        <v>0</v>
      </c>
      <c r="HD21" s="131">
        <f t="shared" si="108"/>
        <v>0</v>
      </c>
      <c r="HE21" s="132"/>
      <c r="HF21" s="132"/>
      <c r="HG21" s="132"/>
      <c r="HH21" s="133"/>
      <c r="HI21" s="132"/>
    </row>
    <row r="22" ht="15.75" customHeight="1">
      <c r="A22" s="120"/>
      <c r="B22" s="121"/>
      <c r="C22" s="121"/>
      <c r="D22" s="121"/>
      <c r="E22" s="122"/>
      <c r="F22" s="122"/>
      <c r="G22" s="122"/>
      <c r="H22" s="134"/>
      <c r="I22" s="135"/>
      <c r="J22" s="135"/>
      <c r="K22" s="135"/>
      <c r="L22" s="136"/>
      <c r="M22" s="120"/>
      <c r="N22" s="121"/>
      <c r="O22" s="121"/>
      <c r="P22" s="121"/>
      <c r="Q22" s="122"/>
      <c r="R22" s="122"/>
      <c r="S22" s="122"/>
      <c r="T22" s="134"/>
      <c r="U22" s="135"/>
      <c r="V22" s="135"/>
      <c r="W22" s="135"/>
      <c r="X22" s="136"/>
      <c r="Y22" s="120"/>
      <c r="Z22" s="121"/>
      <c r="AA22" s="121"/>
      <c r="AB22" s="121"/>
      <c r="AC22" s="122"/>
      <c r="AD22" s="122"/>
      <c r="AE22" s="122"/>
      <c r="AF22" s="134"/>
      <c r="AG22" s="135"/>
      <c r="AH22" s="135"/>
      <c r="AI22" s="135"/>
      <c r="AJ22" s="136"/>
      <c r="AK22" s="120"/>
      <c r="AL22" s="121"/>
      <c r="AM22" s="121"/>
      <c r="AN22" s="121"/>
      <c r="AO22" s="122"/>
      <c r="AP22" s="122"/>
      <c r="AQ22" s="122"/>
      <c r="AR22" s="134"/>
      <c r="AS22" s="135"/>
      <c r="AT22" s="135"/>
      <c r="AU22" s="135"/>
      <c r="AV22" s="136"/>
      <c r="AW22" s="120"/>
      <c r="AX22" s="121"/>
      <c r="AY22" s="121"/>
      <c r="AZ22" s="121"/>
      <c r="BA22" s="122"/>
      <c r="BB22" s="122"/>
      <c r="BC22" s="122"/>
      <c r="BD22" s="134"/>
      <c r="BE22" s="135"/>
      <c r="BF22" s="135"/>
      <c r="BG22" s="135"/>
      <c r="BH22" s="136"/>
      <c r="BI22" s="120"/>
      <c r="BJ22" s="121"/>
      <c r="BK22" s="121"/>
      <c r="BL22" s="121"/>
      <c r="BM22" s="122"/>
      <c r="BN22" s="122"/>
      <c r="BO22" s="122"/>
      <c r="BP22" s="134"/>
      <c r="BQ22" s="135"/>
      <c r="BR22" s="135"/>
      <c r="BS22" s="135"/>
      <c r="BT22" s="136"/>
      <c r="BU22" s="120"/>
      <c r="BV22" s="121"/>
      <c r="BW22" s="121"/>
      <c r="BX22" s="121"/>
      <c r="BY22" s="122"/>
      <c r="BZ22" s="122"/>
      <c r="CA22" s="122"/>
      <c r="CB22" s="134"/>
      <c r="CC22" s="135"/>
      <c r="CD22" s="135"/>
      <c r="CE22" s="135"/>
      <c r="CF22" s="136"/>
      <c r="CG22" s="120"/>
      <c r="CH22" s="121"/>
      <c r="CI22" s="121"/>
      <c r="CJ22" s="121"/>
      <c r="CK22" s="122"/>
      <c r="CL22" s="122"/>
      <c r="CM22" s="122"/>
      <c r="CN22" s="134"/>
      <c r="CO22" s="135"/>
      <c r="CP22" s="135"/>
      <c r="CQ22" s="135"/>
      <c r="CR22" s="136"/>
      <c r="CS22" s="120"/>
      <c r="CT22" s="121"/>
      <c r="CU22" s="121"/>
      <c r="CV22" s="121"/>
      <c r="CW22" s="122"/>
      <c r="CX22" s="122"/>
      <c r="CY22" s="122"/>
      <c r="CZ22" s="134"/>
      <c r="DA22" s="135"/>
      <c r="DB22" s="135"/>
      <c r="DC22" s="135"/>
      <c r="DD22" s="136"/>
      <c r="DE22" s="120"/>
      <c r="DF22" s="121"/>
      <c r="DG22" s="121"/>
      <c r="DH22" s="121"/>
      <c r="DI22" s="122"/>
      <c r="DJ22" s="122"/>
      <c r="DK22" s="122"/>
      <c r="DL22" s="134"/>
      <c r="DM22" s="135"/>
      <c r="DN22" s="135"/>
      <c r="DO22" s="135"/>
      <c r="DP22" s="136"/>
      <c r="DQ22" s="120"/>
      <c r="DR22" s="121"/>
      <c r="DS22" s="121"/>
      <c r="DT22" s="121"/>
      <c r="DU22" s="122"/>
      <c r="DV22" s="122"/>
      <c r="DW22" s="122"/>
      <c r="DX22" s="134"/>
      <c r="DY22" s="135"/>
      <c r="DZ22" s="135"/>
      <c r="EA22" s="135"/>
      <c r="EB22" s="136"/>
      <c r="EC22" s="120"/>
      <c r="ED22" s="121"/>
      <c r="EE22" s="121"/>
      <c r="EF22" s="121"/>
      <c r="EG22" s="122"/>
      <c r="EH22" s="122"/>
      <c r="EI22" s="122"/>
      <c r="EJ22" s="134"/>
      <c r="EK22" s="135"/>
      <c r="EL22" s="135"/>
      <c r="EM22" s="135"/>
      <c r="EN22" s="136"/>
      <c r="EO22" s="120"/>
      <c r="EP22" s="121"/>
      <c r="EQ22" s="121"/>
      <c r="ER22" s="121"/>
      <c r="ES22" s="122"/>
      <c r="ET22" s="122"/>
      <c r="EU22" s="122"/>
      <c r="EV22" s="134"/>
      <c r="EW22" s="135"/>
      <c r="EX22" s="135"/>
      <c r="EY22" s="135"/>
      <c r="EZ22" s="136"/>
      <c r="FA22" s="120"/>
      <c r="FB22" s="121"/>
      <c r="FC22" s="121"/>
      <c r="FD22" s="121"/>
      <c r="FE22" s="122"/>
      <c r="FF22" s="122"/>
      <c r="FG22" s="122"/>
      <c r="FH22" s="134"/>
      <c r="FI22" s="135"/>
      <c r="FJ22" s="135"/>
      <c r="FK22" s="135"/>
      <c r="FL22" s="136"/>
      <c r="FM22" s="120"/>
      <c r="FN22" s="121"/>
      <c r="FO22" s="121"/>
      <c r="FP22" s="121"/>
      <c r="FQ22" s="122"/>
      <c r="FR22" s="122"/>
      <c r="FS22" s="122"/>
      <c r="FT22" s="134"/>
      <c r="FU22" s="135"/>
      <c r="FV22" s="135"/>
      <c r="FW22" s="135"/>
      <c r="FX22" s="136"/>
      <c r="FY22" s="120"/>
      <c r="FZ22" s="121"/>
      <c r="GA22" s="121"/>
      <c r="GB22" s="121"/>
      <c r="GC22" s="122"/>
      <c r="GD22" s="122"/>
      <c r="GE22" s="122"/>
      <c r="GF22" s="134"/>
      <c r="GG22" s="135"/>
      <c r="GH22" s="135"/>
      <c r="GI22" s="135"/>
      <c r="GJ22" s="136"/>
      <c r="GK22" s="120"/>
      <c r="GL22" s="121"/>
      <c r="GM22" s="121"/>
      <c r="GN22" s="121"/>
      <c r="GO22" s="122"/>
      <c r="GP22" s="122"/>
      <c r="GQ22" s="122"/>
      <c r="GR22" s="134"/>
      <c r="GS22" s="135"/>
      <c r="GT22" s="135"/>
      <c r="GU22" s="135"/>
      <c r="GV22" s="136"/>
      <c r="GW22" s="120"/>
      <c r="GX22" s="121"/>
      <c r="GY22" s="121"/>
      <c r="GZ22" s="121"/>
      <c r="HA22" s="122"/>
      <c r="HB22" s="122"/>
      <c r="HC22" s="122"/>
      <c r="HD22" s="134"/>
      <c r="HE22" s="135"/>
      <c r="HF22" s="135"/>
      <c r="HG22" s="135"/>
      <c r="HH22" s="136"/>
      <c r="HI22" s="135"/>
    </row>
    <row r="23" ht="15.75" customHeight="1">
      <c r="A23" s="120"/>
      <c r="B23" s="137" t="str">
        <f>"Adjusment "&amp;" %"</f>
        <v>Adjusment  %</v>
      </c>
      <c r="C23" s="138"/>
      <c r="D23" s="138"/>
      <c r="E23" s="139">
        <f>E48+E73+E97+E122</f>
        <v>0</v>
      </c>
      <c r="F23" s="140"/>
      <c r="G23" s="122">
        <f>IFERROR(+E23-H23,"")</f>
        <v>0</v>
      </c>
      <c r="H23" s="139">
        <f>H48+H73+H97+H122</f>
        <v>0</v>
      </c>
      <c r="I23" s="75"/>
      <c r="J23" s="75"/>
      <c r="K23" s="75"/>
      <c r="L23" s="81"/>
      <c r="M23" s="120"/>
      <c r="N23" s="137" t="str">
        <f>"Adjusment "&amp;" %"</f>
        <v>Adjusment  %</v>
      </c>
      <c r="O23" s="138"/>
      <c r="P23" s="138"/>
      <c r="Q23" s="139">
        <f>Q48+Q73+Q97+Q122</f>
        <v>0</v>
      </c>
      <c r="R23" s="140"/>
      <c r="S23" s="122">
        <f>IFERROR(+Q23-T23,"")</f>
        <v>0</v>
      </c>
      <c r="T23" s="139">
        <f>T48+T73+T97+T122</f>
        <v>0</v>
      </c>
      <c r="U23" s="75"/>
      <c r="V23" s="75"/>
      <c r="W23" s="75"/>
      <c r="X23" s="81"/>
      <c r="Y23" s="120"/>
      <c r="Z23" s="137" t="str">
        <f>"Adjusment "&amp;" %"</f>
        <v>Adjusment  %</v>
      </c>
      <c r="AA23" s="138"/>
      <c r="AB23" s="138"/>
      <c r="AC23" s="139">
        <f>AC48+AC73+AC97+AC122</f>
        <v>0</v>
      </c>
      <c r="AD23" s="140"/>
      <c r="AE23" s="122">
        <f>IFERROR(+AC23-AF23,"")</f>
        <v>0</v>
      </c>
      <c r="AF23" s="139">
        <f>AF48+AF73+AF97+AF122</f>
        <v>0</v>
      </c>
      <c r="AG23" s="75"/>
      <c r="AH23" s="75"/>
      <c r="AI23" s="75"/>
      <c r="AJ23" s="81"/>
      <c r="AK23" s="120"/>
      <c r="AL23" s="137" t="str">
        <f>"Adjusment "&amp;" %"</f>
        <v>Adjusment  %</v>
      </c>
      <c r="AM23" s="138"/>
      <c r="AN23" s="138"/>
      <c r="AO23" s="139">
        <f>AO48+AO73+AO97+AO122</f>
        <v>0</v>
      </c>
      <c r="AP23" s="140"/>
      <c r="AQ23" s="122">
        <f>IFERROR(+AO23-AR23,"")</f>
        <v>0</v>
      </c>
      <c r="AR23" s="139">
        <f>AR48+AR73+AR97+AR122</f>
        <v>0</v>
      </c>
      <c r="AS23" s="75"/>
      <c r="AT23" s="75"/>
      <c r="AU23" s="75"/>
      <c r="AV23" s="81"/>
      <c r="AW23" s="120"/>
      <c r="AX23" s="137" t="str">
        <f>"Adjusment "&amp;" %"</f>
        <v>Adjusment  %</v>
      </c>
      <c r="AY23" s="138"/>
      <c r="AZ23" s="138"/>
      <c r="BA23" s="139">
        <f>BA48+BA73+BA97+BA122</f>
        <v>0</v>
      </c>
      <c r="BB23" s="140"/>
      <c r="BC23" s="122">
        <f>IFERROR(+BA23-BD23,"")</f>
        <v>0</v>
      </c>
      <c r="BD23" s="139">
        <f>BD48+BD73+BD97+BD122</f>
        <v>0</v>
      </c>
      <c r="BE23" s="75"/>
      <c r="BF23" s="75"/>
      <c r="BG23" s="75"/>
      <c r="BH23" s="81"/>
      <c r="BI23" s="120"/>
      <c r="BJ23" s="137" t="str">
        <f>"Adjusment "&amp;" %"</f>
        <v>Adjusment  %</v>
      </c>
      <c r="BK23" s="138"/>
      <c r="BL23" s="138"/>
      <c r="BM23" s="139">
        <f>BM48+BM73+BM97+BM122</f>
        <v>0</v>
      </c>
      <c r="BN23" s="140"/>
      <c r="BO23" s="122">
        <f>IFERROR(+BM23-BP23,"")</f>
        <v>0</v>
      </c>
      <c r="BP23" s="139">
        <f>BP48+BP73+BP97+BP122</f>
        <v>0</v>
      </c>
      <c r="BQ23" s="75"/>
      <c r="BR23" s="75"/>
      <c r="BS23" s="75"/>
      <c r="BT23" s="81"/>
      <c r="BU23" s="120"/>
      <c r="BV23" s="137" t="str">
        <f>"Adjusment "&amp;" %"</f>
        <v>Adjusment  %</v>
      </c>
      <c r="BW23" s="138"/>
      <c r="BX23" s="138"/>
      <c r="BY23" s="139">
        <f>BY48+BY73+BY97+BY122</f>
        <v>0</v>
      </c>
      <c r="BZ23" s="140"/>
      <c r="CA23" s="122">
        <f>IFERROR(+BY23-CB23,"")</f>
        <v>0</v>
      </c>
      <c r="CB23" s="139">
        <f>CB48+CB73+CB97+CB122</f>
        <v>0</v>
      </c>
      <c r="CC23" s="75"/>
      <c r="CD23" s="75"/>
      <c r="CE23" s="75"/>
      <c r="CF23" s="81"/>
      <c r="CG23" s="120"/>
      <c r="CH23" s="137" t="str">
        <f>"Adjusment "&amp;" %"</f>
        <v>Adjusment  %</v>
      </c>
      <c r="CI23" s="138"/>
      <c r="CJ23" s="138"/>
      <c r="CK23" s="139">
        <f>CK48+CK73+CK97+CK122</f>
        <v>0</v>
      </c>
      <c r="CL23" s="140"/>
      <c r="CM23" s="122">
        <f>IFERROR(+CK23-CN23,"")</f>
        <v>0</v>
      </c>
      <c r="CN23" s="139">
        <f>CN48+CN73+CN97+CN122</f>
        <v>0</v>
      </c>
      <c r="CO23" s="75"/>
      <c r="CP23" s="75"/>
      <c r="CQ23" s="75"/>
      <c r="CR23" s="81"/>
      <c r="CS23" s="120"/>
      <c r="CT23" s="137" t="str">
        <f>"Adjusment "&amp;" %"</f>
        <v>Adjusment  %</v>
      </c>
      <c r="CU23" s="138"/>
      <c r="CV23" s="138"/>
      <c r="CW23" s="139">
        <f>CW48+CW73+CW97+CW122</f>
        <v>0</v>
      </c>
      <c r="CX23" s="140"/>
      <c r="CY23" s="122">
        <f>IFERROR(+CW23-CZ23,"")</f>
        <v>0</v>
      </c>
      <c r="CZ23" s="139">
        <f>CZ48+CZ73+CZ97+CZ122</f>
        <v>0</v>
      </c>
      <c r="DA23" s="75"/>
      <c r="DB23" s="75"/>
      <c r="DC23" s="75"/>
      <c r="DD23" s="81"/>
      <c r="DE23" s="120"/>
      <c r="DF23" s="137" t="str">
        <f>"Adjusment "&amp;" %"</f>
        <v>Adjusment  %</v>
      </c>
      <c r="DG23" s="138"/>
      <c r="DH23" s="138"/>
      <c r="DI23" s="139">
        <f>DI48+DI73+DI97+DI122</f>
        <v>0</v>
      </c>
      <c r="DJ23" s="140"/>
      <c r="DK23" s="122">
        <f>IFERROR(+DI23-DL23,"")</f>
        <v>0</v>
      </c>
      <c r="DL23" s="139">
        <f>DL48+DL73+DL97+DL122</f>
        <v>0</v>
      </c>
      <c r="DM23" s="75"/>
      <c r="DN23" s="75"/>
      <c r="DO23" s="75"/>
      <c r="DP23" s="81"/>
      <c r="DQ23" s="120"/>
      <c r="DR23" s="137" t="str">
        <f>"Adjusment "&amp;" %"</f>
        <v>Adjusment  %</v>
      </c>
      <c r="DS23" s="141"/>
      <c r="DT23" s="138"/>
      <c r="DU23" s="139">
        <f>DS23/100*DU21</f>
        <v>0</v>
      </c>
      <c r="DV23" s="140"/>
      <c r="DW23" s="122">
        <f>IFERROR(+DU23-DX23,"")</f>
        <v>0</v>
      </c>
      <c r="DX23" s="142">
        <f>DS23/100*DX21</f>
        <v>0</v>
      </c>
      <c r="DY23" s="75"/>
      <c r="DZ23" s="75"/>
      <c r="EA23" s="75"/>
      <c r="EB23" s="81"/>
      <c r="EC23" s="120"/>
      <c r="ED23" s="137" t="str">
        <f>"Adjusment "&amp;" %"</f>
        <v>Adjusment  %</v>
      </c>
      <c r="EE23" s="138"/>
      <c r="EF23" s="138"/>
      <c r="EG23" s="139">
        <f>EG48+EG73+EG97+EG122</f>
        <v>0</v>
      </c>
      <c r="EH23" s="140"/>
      <c r="EI23" s="122">
        <f>IFERROR(+EG23-EJ23,"")</f>
        <v>0</v>
      </c>
      <c r="EJ23" s="139">
        <f>EJ48+EJ73+EJ97+EJ122</f>
        <v>0</v>
      </c>
      <c r="EK23" s="75"/>
      <c r="EL23" s="75"/>
      <c r="EM23" s="75"/>
      <c r="EN23" s="81"/>
      <c r="EO23" s="120"/>
      <c r="EP23" s="137" t="str">
        <f>"Adjusment "&amp;" %"</f>
        <v>Adjusment  %</v>
      </c>
      <c r="EQ23" s="138"/>
      <c r="ER23" s="138"/>
      <c r="ES23" s="139">
        <f>ES48+ES73+ES97+ES122</f>
        <v>0</v>
      </c>
      <c r="ET23" s="140"/>
      <c r="EU23" s="122">
        <f>IFERROR(+ES23-EV23,"")</f>
        <v>0</v>
      </c>
      <c r="EV23" s="139">
        <f>EV48+EV73+EV97+EV122</f>
        <v>0</v>
      </c>
      <c r="EW23" s="75"/>
      <c r="EX23" s="75"/>
      <c r="EY23" s="75"/>
      <c r="EZ23" s="81"/>
      <c r="FA23" s="120"/>
      <c r="FB23" s="137" t="str">
        <f>"Adjusment "&amp;" %"</f>
        <v>Adjusment  %</v>
      </c>
      <c r="FC23" s="138"/>
      <c r="FD23" s="138"/>
      <c r="FE23" s="139">
        <f>FE48+FE73+FE97+FE122</f>
        <v>0</v>
      </c>
      <c r="FF23" s="140"/>
      <c r="FG23" s="122">
        <f>IFERROR(+FE23-FH23,"")</f>
        <v>0</v>
      </c>
      <c r="FH23" s="139">
        <f>FH48+FH73+FH97+FH122</f>
        <v>0</v>
      </c>
      <c r="FI23" s="75"/>
      <c r="FJ23" s="75"/>
      <c r="FK23" s="75"/>
      <c r="FL23" s="81"/>
      <c r="FM23" s="120"/>
      <c r="FN23" s="137" t="str">
        <f>"Adjusment "&amp;" %"</f>
        <v>Adjusment  %</v>
      </c>
      <c r="FO23" s="138"/>
      <c r="FP23" s="138"/>
      <c r="FQ23" s="139">
        <f>FQ48+FQ73+FQ97+FQ122</f>
        <v>0</v>
      </c>
      <c r="FR23" s="140"/>
      <c r="FS23" s="122">
        <f>IFERROR(+FQ23-FT23,"")</f>
        <v>0</v>
      </c>
      <c r="FT23" s="139">
        <f>FT48+FT73+FT97+FT122</f>
        <v>0</v>
      </c>
      <c r="FU23" s="75"/>
      <c r="FV23" s="75"/>
      <c r="FW23" s="75"/>
      <c r="FX23" s="81"/>
      <c r="FY23" s="120"/>
      <c r="FZ23" s="137" t="str">
        <f>"Adjusment "&amp;" %"</f>
        <v>Adjusment  %</v>
      </c>
      <c r="GA23" s="138"/>
      <c r="GB23" s="138"/>
      <c r="GC23" s="139">
        <f>GC48+GC73+GC97+GC122</f>
        <v>0</v>
      </c>
      <c r="GD23" s="140"/>
      <c r="GE23" s="122">
        <f>IFERROR(+GC23-GF23,"")</f>
        <v>0</v>
      </c>
      <c r="GF23" s="139">
        <f>GF48+GF73+GF97+GF122</f>
        <v>0</v>
      </c>
      <c r="GG23" s="75"/>
      <c r="GH23" s="75"/>
      <c r="GI23" s="75"/>
      <c r="GJ23" s="81"/>
      <c r="GK23" s="120"/>
      <c r="GL23" s="137" t="str">
        <f>"Adjusment "&amp;" %"</f>
        <v>Adjusment  %</v>
      </c>
      <c r="GM23" s="138"/>
      <c r="GN23" s="138"/>
      <c r="GO23" s="139">
        <f>GO48+GO73+GO97+GO122</f>
        <v>0</v>
      </c>
      <c r="GP23" s="140"/>
      <c r="GQ23" s="122">
        <f>IFERROR(+GO23-GR23,"")</f>
        <v>0</v>
      </c>
      <c r="GR23" s="139">
        <f>GR48+GR73+GR97+GR122</f>
        <v>0</v>
      </c>
      <c r="GS23" s="75"/>
      <c r="GT23" s="75"/>
      <c r="GU23" s="75"/>
      <c r="GV23" s="81"/>
      <c r="GW23" s="120"/>
      <c r="GX23" s="137" t="str">
        <f>"Adjusment "&amp;" %"</f>
        <v>Adjusment  %</v>
      </c>
      <c r="GY23" s="138"/>
      <c r="GZ23" s="138"/>
      <c r="HA23" s="139">
        <f>HA48+HA73+HA97+HA122</f>
        <v>0</v>
      </c>
      <c r="HB23" s="140"/>
      <c r="HC23" s="122">
        <f>IFERROR(+HA23-HD23,"")</f>
        <v>0</v>
      </c>
      <c r="HD23" s="139">
        <f>HD48+HD73+HD97+HD122</f>
        <v>0</v>
      </c>
      <c r="HE23" s="75"/>
      <c r="HF23" s="75"/>
      <c r="HG23" s="75"/>
      <c r="HH23" s="81"/>
      <c r="HI23" s="75"/>
    </row>
    <row r="24" ht="15.75" customHeight="1">
      <c r="A24" s="120"/>
      <c r="B24" s="125"/>
      <c r="C24" s="122"/>
      <c r="D24" s="122"/>
      <c r="E24" s="122"/>
      <c r="F24" s="122"/>
      <c r="G24" s="122"/>
      <c r="H24" s="124"/>
      <c r="I24" s="75"/>
      <c r="J24" s="75"/>
      <c r="K24" s="75"/>
      <c r="L24" s="81"/>
      <c r="M24" s="120"/>
      <c r="N24" s="125"/>
      <c r="O24" s="122"/>
      <c r="P24" s="122"/>
      <c r="Q24" s="122"/>
      <c r="R24" s="122"/>
      <c r="S24" s="122"/>
      <c r="T24" s="124"/>
      <c r="U24" s="75"/>
      <c r="V24" s="75"/>
      <c r="W24" s="75"/>
      <c r="X24" s="81"/>
      <c r="Y24" s="120"/>
      <c r="Z24" s="125"/>
      <c r="AA24" s="122"/>
      <c r="AB24" s="122"/>
      <c r="AC24" s="122"/>
      <c r="AD24" s="122"/>
      <c r="AE24" s="122"/>
      <c r="AF24" s="124"/>
      <c r="AG24" s="75"/>
      <c r="AH24" s="75"/>
      <c r="AI24" s="75"/>
      <c r="AJ24" s="81"/>
      <c r="AK24" s="120"/>
      <c r="AL24" s="125"/>
      <c r="AM24" s="122"/>
      <c r="AN24" s="122"/>
      <c r="AO24" s="122"/>
      <c r="AP24" s="122"/>
      <c r="AQ24" s="122"/>
      <c r="AR24" s="124"/>
      <c r="AS24" s="75"/>
      <c r="AT24" s="75"/>
      <c r="AU24" s="75"/>
      <c r="AV24" s="81"/>
      <c r="AW24" s="120"/>
      <c r="AX24" s="125"/>
      <c r="AY24" s="122"/>
      <c r="AZ24" s="122"/>
      <c r="BA24" s="122"/>
      <c r="BB24" s="122"/>
      <c r="BC24" s="122"/>
      <c r="BD24" s="124"/>
      <c r="BE24" s="75"/>
      <c r="BF24" s="75"/>
      <c r="BG24" s="75"/>
      <c r="BH24" s="81"/>
      <c r="BI24" s="120"/>
      <c r="BJ24" s="125"/>
      <c r="BK24" s="122"/>
      <c r="BL24" s="122"/>
      <c r="BM24" s="122"/>
      <c r="BN24" s="122"/>
      <c r="BO24" s="122"/>
      <c r="BP24" s="124"/>
      <c r="BQ24" s="75"/>
      <c r="BR24" s="75"/>
      <c r="BS24" s="75"/>
      <c r="BT24" s="81"/>
      <c r="BU24" s="120"/>
      <c r="BV24" s="125"/>
      <c r="BW24" s="122"/>
      <c r="BX24" s="122"/>
      <c r="BY24" s="122"/>
      <c r="BZ24" s="122"/>
      <c r="CA24" s="122"/>
      <c r="CB24" s="124"/>
      <c r="CC24" s="75"/>
      <c r="CD24" s="75"/>
      <c r="CE24" s="75"/>
      <c r="CF24" s="81"/>
      <c r="CG24" s="120"/>
      <c r="CH24" s="125"/>
      <c r="CI24" s="122"/>
      <c r="CJ24" s="122"/>
      <c r="CK24" s="122"/>
      <c r="CL24" s="122"/>
      <c r="CM24" s="122"/>
      <c r="CN24" s="124"/>
      <c r="CO24" s="75"/>
      <c r="CP24" s="75"/>
      <c r="CQ24" s="75"/>
      <c r="CR24" s="81"/>
      <c r="CS24" s="120"/>
      <c r="CT24" s="125"/>
      <c r="CU24" s="122"/>
      <c r="CV24" s="122"/>
      <c r="CW24" s="122"/>
      <c r="CX24" s="122"/>
      <c r="CY24" s="122"/>
      <c r="CZ24" s="124"/>
      <c r="DA24" s="75"/>
      <c r="DB24" s="75"/>
      <c r="DC24" s="75"/>
      <c r="DD24" s="81"/>
      <c r="DE24" s="120"/>
      <c r="DF24" s="125"/>
      <c r="DG24" s="122"/>
      <c r="DH24" s="122"/>
      <c r="DI24" s="122"/>
      <c r="DJ24" s="122"/>
      <c r="DK24" s="122"/>
      <c r="DL24" s="124"/>
      <c r="DM24" s="75"/>
      <c r="DN24" s="75"/>
      <c r="DO24" s="75"/>
      <c r="DP24" s="81"/>
      <c r="DQ24" s="120"/>
      <c r="DR24" s="125"/>
      <c r="DS24" s="122"/>
      <c r="DT24" s="122"/>
      <c r="DU24" s="122"/>
      <c r="DV24" s="122"/>
      <c r="DW24" s="122"/>
      <c r="DX24" s="124"/>
      <c r="DY24" s="75"/>
      <c r="DZ24" s="75"/>
      <c r="EA24" s="75"/>
      <c r="EB24" s="81"/>
      <c r="EC24" s="120"/>
      <c r="ED24" s="125"/>
      <c r="EE24" s="122"/>
      <c r="EF24" s="122"/>
      <c r="EG24" s="122"/>
      <c r="EH24" s="122"/>
      <c r="EI24" s="122"/>
      <c r="EJ24" s="124"/>
      <c r="EK24" s="75"/>
      <c r="EL24" s="75"/>
      <c r="EM24" s="75"/>
      <c r="EN24" s="81"/>
      <c r="EO24" s="120"/>
      <c r="EP24" s="125"/>
      <c r="EQ24" s="122"/>
      <c r="ER24" s="122"/>
      <c r="ES24" s="122"/>
      <c r="ET24" s="122"/>
      <c r="EU24" s="122"/>
      <c r="EV24" s="124"/>
      <c r="EW24" s="75"/>
      <c r="EX24" s="75"/>
      <c r="EY24" s="75"/>
      <c r="EZ24" s="81"/>
      <c r="FA24" s="120"/>
      <c r="FB24" s="125"/>
      <c r="FC24" s="122"/>
      <c r="FD24" s="122"/>
      <c r="FE24" s="122"/>
      <c r="FF24" s="122"/>
      <c r="FG24" s="122"/>
      <c r="FH24" s="124"/>
      <c r="FI24" s="75"/>
      <c r="FJ24" s="75"/>
      <c r="FK24" s="75"/>
      <c r="FL24" s="81"/>
      <c r="FM24" s="120"/>
      <c r="FN24" s="125"/>
      <c r="FO24" s="122"/>
      <c r="FP24" s="122"/>
      <c r="FQ24" s="122"/>
      <c r="FR24" s="122"/>
      <c r="FS24" s="122"/>
      <c r="FT24" s="124"/>
      <c r="FU24" s="75"/>
      <c r="FV24" s="75"/>
      <c r="FW24" s="75"/>
      <c r="FX24" s="81"/>
      <c r="FY24" s="120"/>
      <c r="FZ24" s="125"/>
      <c r="GA24" s="122"/>
      <c r="GB24" s="122"/>
      <c r="GC24" s="122"/>
      <c r="GD24" s="122"/>
      <c r="GE24" s="122"/>
      <c r="GF24" s="124"/>
      <c r="GG24" s="75"/>
      <c r="GH24" s="75"/>
      <c r="GI24" s="75"/>
      <c r="GJ24" s="81"/>
      <c r="GK24" s="120"/>
      <c r="GL24" s="125"/>
      <c r="GM24" s="122"/>
      <c r="GN24" s="122"/>
      <c r="GO24" s="122"/>
      <c r="GP24" s="122"/>
      <c r="GQ24" s="122"/>
      <c r="GR24" s="124"/>
      <c r="GS24" s="75"/>
      <c r="GT24" s="75"/>
      <c r="GU24" s="75"/>
      <c r="GV24" s="81"/>
      <c r="GW24" s="120"/>
      <c r="GX24" s="125"/>
      <c r="GY24" s="122"/>
      <c r="GZ24" s="122"/>
      <c r="HA24" s="122"/>
      <c r="HB24" s="122"/>
      <c r="HC24" s="122"/>
      <c r="HD24" s="124"/>
      <c r="HE24" s="75"/>
      <c r="HF24" s="75"/>
      <c r="HG24" s="75"/>
      <c r="HH24" s="81"/>
      <c r="HI24" s="75"/>
    </row>
    <row r="25" ht="24.0" customHeight="1">
      <c r="A25" s="143" t="s">
        <v>78</v>
      </c>
      <c r="B25" s="144"/>
      <c r="C25" s="145">
        <f>SUM(C21:C24)</f>
        <v>0</v>
      </c>
      <c r="D25" s="146"/>
      <c r="E25" s="145">
        <f>SUM(E21:E24)</f>
        <v>0</v>
      </c>
      <c r="F25" s="146"/>
      <c r="G25" s="145">
        <f t="shared" ref="G25:H25" si="109">SUM(G21:G24)</f>
        <v>0</v>
      </c>
      <c r="H25" s="147">
        <f t="shared" si="109"/>
        <v>0</v>
      </c>
      <c r="I25" s="75"/>
      <c r="J25" s="75"/>
      <c r="K25" s="75"/>
      <c r="L25" s="81"/>
      <c r="M25" s="143" t="s">
        <v>78</v>
      </c>
      <c r="N25" s="144"/>
      <c r="O25" s="145">
        <f>SUM(O21:O24)</f>
        <v>0</v>
      </c>
      <c r="P25" s="146"/>
      <c r="Q25" s="145">
        <f>SUM(Q21:Q24)</f>
        <v>0</v>
      </c>
      <c r="R25" s="146"/>
      <c r="S25" s="145">
        <f t="shared" ref="S25:T25" si="110">SUM(S21:S24)</f>
        <v>0</v>
      </c>
      <c r="T25" s="147">
        <f t="shared" si="110"/>
        <v>0</v>
      </c>
      <c r="U25" s="75"/>
      <c r="V25" s="75"/>
      <c r="W25" s="75"/>
      <c r="X25" s="81"/>
      <c r="Y25" s="143" t="s">
        <v>78</v>
      </c>
      <c r="Z25" s="144"/>
      <c r="AA25" s="145">
        <f>SUM(AA21:AA24)</f>
        <v>0</v>
      </c>
      <c r="AB25" s="146"/>
      <c r="AC25" s="145">
        <f>SUM(AC21:AC24)</f>
        <v>0</v>
      </c>
      <c r="AD25" s="146"/>
      <c r="AE25" s="145">
        <f t="shared" ref="AE25:AF25" si="111">SUM(AE21:AE24)</f>
        <v>0</v>
      </c>
      <c r="AF25" s="147">
        <f t="shared" si="111"/>
        <v>0</v>
      </c>
      <c r="AG25" s="75"/>
      <c r="AH25" s="75"/>
      <c r="AI25" s="75"/>
      <c r="AJ25" s="81"/>
      <c r="AK25" s="143" t="s">
        <v>78</v>
      </c>
      <c r="AL25" s="144"/>
      <c r="AM25" s="145">
        <f>SUM(AM21:AM24)</f>
        <v>0</v>
      </c>
      <c r="AN25" s="146"/>
      <c r="AO25" s="145">
        <f>SUM(AO21:AO24)</f>
        <v>0</v>
      </c>
      <c r="AP25" s="146"/>
      <c r="AQ25" s="145">
        <f t="shared" ref="AQ25:AR25" si="112">SUM(AQ21:AQ24)</f>
        <v>0</v>
      </c>
      <c r="AR25" s="147">
        <f t="shared" si="112"/>
        <v>0</v>
      </c>
      <c r="AS25" s="75"/>
      <c r="AT25" s="75"/>
      <c r="AU25" s="75"/>
      <c r="AV25" s="81"/>
      <c r="AW25" s="143" t="s">
        <v>78</v>
      </c>
      <c r="AX25" s="144"/>
      <c r="AY25" s="145">
        <f>SUM(AY21:AY24)</f>
        <v>0</v>
      </c>
      <c r="AZ25" s="146"/>
      <c r="BA25" s="145">
        <f>SUM(BA21:BA24)</f>
        <v>0</v>
      </c>
      <c r="BB25" s="146"/>
      <c r="BC25" s="145">
        <f t="shared" ref="BC25:BD25" si="113">SUM(BC21:BC24)</f>
        <v>0</v>
      </c>
      <c r="BD25" s="147">
        <f t="shared" si="113"/>
        <v>0</v>
      </c>
      <c r="BE25" s="75"/>
      <c r="BF25" s="75"/>
      <c r="BG25" s="75"/>
      <c r="BH25" s="81"/>
      <c r="BI25" s="143" t="s">
        <v>78</v>
      </c>
      <c r="BJ25" s="144"/>
      <c r="BK25" s="145">
        <f>SUM(BK21:BK24)</f>
        <v>0</v>
      </c>
      <c r="BL25" s="146"/>
      <c r="BM25" s="145">
        <f>SUM(BM21:BM24)</f>
        <v>0</v>
      </c>
      <c r="BN25" s="146"/>
      <c r="BO25" s="145">
        <f t="shared" ref="BO25:BP25" si="114">SUM(BO21:BO24)</f>
        <v>0</v>
      </c>
      <c r="BP25" s="147">
        <f t="shared" si="114"/>
        <v>0</v>
      </c>
      <c r="BQ25" s="75"/>
      <c r="BR25" s="75"/>
      <c r="BS25" s="75"/>
      <c r="BT25" s="81"/>
      <c r="BU25" s="143" t="s">
        <v>78</v>
      </c>
      <c r="BV25" s="144"/>
      <c r="BW25" s="145">
        <f>SUM(BW21:BW24)</f>
        <v>0</v>
      </c>
      <c r="BX25" s="146"/>
      <c r="BY25" s="145">
        <f>SUM(BY21:BY24)</f>
        <v>0</v>
      </c>
      <c r="BZ25" s="146"/>
      <c r="CA25" s="145">
        <f t="shared" ref="CA25:CB25" si="115">SUM(CA21:CA24)</f>
        <v>0</v>
      </c>
      <c r="CB25" s="147">
        <f t="shared" si="115"/>
        <v>0</v>
      </c>
      <c r="CC25" s="75"/>
      <c r="CD25" s="75"/>
      <c r="CE25" s="75"/>
      <c r="CF25" s="81"/>
      <c r="CG25" s="143" t="s">
        <v>78</v>
      </c>
      <c r="CH25" s="144"/>
      <c r="CI25" s="145">
        <f>SUM(CI21:CI24)</f>
        <v>0</v>
      </c>
      <c r="CJ25" s="146"/>
      <c r="CK25" s="145">
        <f>SUM(CK21:CK24)</f>
        <v>0</v>
      </c>
      <c r="CL25" s="146"/>
      <c r="CM25" s="145">
        <f t="shared" ref="CM25:CN25" si="116">SUM(CM21:CM24)</f>
        <v>0</v>
      </c>
      <c r="CN25" s="147">
        <f t="shared" si="116"/>
        <v>0</v>
      </c>
      <c r="CO25" s="75"/>
      <c r="CP25" s="75"/>
      <c r="CQ25" s="75"/>
      <c r="CR25" s="81"/>
      <c r="CS25" s="143" t="s">
        <v>78</v>
      </c>
      <c r="CT25" s="144"/>
      <c r="CU25" s="145">
        <f>SUM(CU21:CU24)</f>
        <v>0</v>
      </c>
      <c r="CV25" s="146"/>
      <c r="CW25" s="145">
        <f>SUM(CW21:CW24)</f>
        <v>0</v>
      </c>
      <c r="CX25" s="146"/>
      <c r="CY25" s="145">
        <f t="shared" ref="CY25:CZ25" si="117">SUM(CY21:CY24)</f>
        <v>0</v>
      </c>
      <c r="CZ25" s="147">
        <f t="shared" si="117"/>
        <v>0</v>
      </c>
      <c r="DA25" s="75"/>
      <c r="DB25" s="75"/>
      <c r="DC25" s="75"/>
      <c r="DD25" s="81"/>
      <c r="DE25" s="143" t="s">
        <v>78</v>
      </c>
      <c r="DF25" s="144"/>
      <c r="DG25" s="145">
        <f>SUM(DG21:DG24)</f>
        <v>0</v>
      </c>
      <c r="DH25" s="146"/>
      <c r="DI25" s="145">
        <f>SUM(DI21:DI24)</f>
        <v>0</v>
      </c>
      <c r="DJ25" s="146"/>
      <c r="DK25" s="145">
        <f t="shared" ref="DK25:DL25" si="118">SUM(DK21:DK24)</f>
        <v>0</v>
      </c>
      <c r="DL25" s="147">
        <f t="shared" si="118"/>
        <v>0</v>
      </c>
      <c r="DM25" s="75"/>
      <c r="DN25" s="75"/>
      <c r="DO25" s="75"/>
      <c r="DP25" s="81"/>
      <c r="DQ25" s="143" t="s">
        <v>78</v>
      </c>
      <c r="DR25" s="144"/>
      <c r="DS25" s="145">
        <f>SUM(DS21:DS24)</f>
        <v>0</v>
      </c>
      <c r="DT25" s="146"/>
      <c r="DU25" s="145">
        <f>SUM(DU21:DU24)</f>
        <v>0</v>
      </c>
      <c r="DV25" s="146"/>
      <c r="DW25" s="145">
        <f t="shared" ref="DW25:DX25" si="119">SUM(DW21:DW24)</f>
        <v>0</v>
      </c>
      <c r="DX25" s="147">
        <f t="shared" si="119"/>
        <v>0</v>
      </c>
      <c r="DY25" s="75"/>
      <c r="DZ25" s="75"/>
      <c r="EA25" s="75"/>
      <c r="EB25" s="81"/>
      <c r="EC25" s="143" t="s">
        <v>78</v>
      </c>
      <c r="ED25" s="144"/>
      <c r="EE25" s="145">
        <f>SUM(EE21:EE24)</f>
        <v>0</v>
      </c>
      <c r="EF25" s="146"/>
      <c r="EG25" s="145">
        <f>SUM(EG21:EG24)</f>
        <v>0</v>
      </c>
      <c r="EH25" s="146"/>
      <c r="EI25" s="145">
        <f t="shared" ref="EI25:EJ25" si="120">SUM(EI21:EI24)</f>
        <v>0</v>
      </c>
      <c r="EJ25" s="147">
        <f t="shared" si="120"/>
        <v>0</v>
      </c>
      <c r="EK25" s="75"/>
      <c r="EL25" s="75"/>
      <c r="EM25" s="75"/>
      <c r="EN25" s="81"/>
      <c r="EO25" s="143" t="s">
        <v>78</v>
      </c>
      <c r="EP25" s="144"/>
      <c r="EQ25" s="145">
        <f>SUM(EQ21:EQ24)</f>
        <v>0</v>
      </c>
      <c r="ER25" s="146"/>
      <c r="ES25" s="145">
        <f>SUM(ES21:ES24)</f>
        <v>0</v>
      </c>
      <c r="ET25" s="146"/>
      <c r="EU25" s="145">
        <f t="shared" ref="EU25:EV25" si="121">SUM(EU21:EU24)</f>
        <v>0</v>
      </c>
      <c r="EV25" s="147">
        <f t="shared" si="121"/>
        <v>0</v>
      </c>
      <c r="EW25" s="75"/>
      <c r="EX25" s="75"/>
      <c r="EY25" s="75"/>
      <c r="EZ25" s="81"/>
      <c r="FA25" s="143" t="s">
        <v>78</v>
      </c>
      <c r="FB25" s="144"/>
      <c r="FC25" s="145">
        <f>SUM(FC21:FC24)</f>
        <v>0</v>
      </c>
      <c r="FD25" s="146"/>
      <c r="FE25" s="145">
        <f>SUM(FE21:FE24)</f>
        <v>0</v>
      </c>
      <c r="FF25" s="146"/>
      <c r="FG25" s="145">
        <f t="shared" ref="FG25:FH25" si="122">SUM(FG21:FG24)</f>
        <v>0</v>
      </c>
      <c r="FH25" s="147">
        <f t="shared" si="122"/>
        <v>0</v>
      </c>
      <c r="FI25" s="75"/>
      <c r="FJ25" s="75"/>
      <c r="FK25" s="75"/>
      <c r="FL25" s="81"/>
      <c r="FM25" s="143" t="s">
        <v>78</v>
      </c>
      <c r="FN25" s="144"/>
      <c r="FO25" s="145">
        <f>SUM(FO21:FO24)</f>
        <v>0</v>
      </c>
      <c r="FP25" s="146"/>
      <c r="FQ25" s="145">
        <f>SUM(FQ21:FQ24)</f>
        <v>0</v>
      </c>
      <c r="FR25" s="146"/>
      <c r="FS25" s="145">
        <f t="shared" ref="FS25:FT25" si="123">SUM(FS21:FS24)</f>
        <v>0</v>
      </c>
      <c r="FT25" s="147">
        <f t="shared" si="123"/>
        <v>0</v>
      </c>
      <c r="FU25" s="75"/>
      <c r="FV25" s="75"/>
      <c r="FW25" s="75"/>
      <c r="FX25" s="81"/>
      <c r="FY25" s="143" t="s">
        <v>78</v>
      </c>
      <c r="FZ25" s="144"/>
      <c r="GA25" s="145">
        <f>SUM(GA21:GA24)</f>
        <v>0</v>
      </c>
      <c r="GB25" s="146"/>
      <c r="GC25" s="145">
        <f>SUM(GC21:GC24)</f>
        <v>0</v>
      </c>
      <c r="GD25" s="146"/>
      <c r="GE25" s="145">
        <f t="shared" ref="GE25:GF25" si="124">SUM(GE21:GE24)</f>
        <v>0</v>
      </c>
      <c r="GF25" s="147">
        <f t="shared" si="124"/>
        <v>0</v>
      </c>
      <c r="GG25" s="75"/>
      <c r="GH25" s="75"/>
      <c r="GI25" s="75"/>
      <c r="GJ25" s="81"/>
      <c r="GK25" s="143" t="s">
        <v>78</v>
      </c>
      <c r="GL25" s="144"/>
      <c r="GM25" s="145">
        <f>SUM(GM21:GM24)</f>
        <v>0</v>
      </c>
      <c r="GN25" s="146"/>
      <c r="GO25" s="145">
        <f>SUM(GO21:GO24)</f>
        <v>0</v>
      </c>
      <c r="GP25" s="146"/>
      <c r="GQ25" s="145">
        <f t="shared" ref="GQ25:GR25" si="125">SUM(GQ21:GQ24)</f>
        <v>0</v>
      </c>
      <c r="GR25" s="147">
        <f t="shared" si="125"/>
        <v>0</v>
      </c>
      <c r="GS25" s="75"/>
      <c r="GT25" s="75"/>
      <c r="GU25" s="75"/>
      <c r="GV25" s="81"/>
      <c r="GW25" s="143" t="s">
        <v>78</v>
      </c>
      <c r="GX25" s="144"/>
      <c r="GY25" s="145">
        <f>SUM(GY21:GY24)</f>
        <v>0</v>
      </c>
      <c r="GZ25" s="146"/>
      <c r="HA25" s="145">
        <f>SUM(HA21:HA24)</f>
        <v>0</v>
      </c>
      <c r="HB25" s="146"/>
      <c r="HC25" s="145">
        <f t="shared" ref="HC25:HD25" si="126">SUM(HC21:HC24)</f>
        <v>0</v>
      </c>
      <c r="HD25" s="147">
        <f t="shared" si="126"/>
        <v>0</v>
      </c>
      <c r="HE25" s="75"/>
      <c r="HF25" s="75"/>
      <c r="HG25" s="75"/>
      <c r="HH25" s="81"/>
      <c r="HI25" s="75"/>
    </row>
    <row r="26" ht="15.0" customHeight="1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81"/>
      <c r="M26" s="74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81"/>
      <c r="Y26" s="74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81"/>
      <c r="AK26" s="74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81"/>
      <c r="AW26" s="74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81"/>
      <c r="BI26" s="74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81"/>
      <c r="BU26" s="74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81"/>
      <c r="CG26" s="74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81"/>
      <c r="CS26" s="74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81"/>
      <c r="DE26" s="74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81"/>
      <c r="DQ26" s="74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81"/>
      <c r="EC26" s="74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81"/>
      <c r="EO26" s="74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81"/>
      <c r="FA26" s="74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81"/>
      <c r="FM26" s="74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81"/>
      <c r="FY26" s="74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81"/>
      <c r="GK26" s="74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81"/>
      <c r="GW26" s="74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81"/>
      <c r="HI26" s="75"/>
    </row>
    <row r="27" ht="15.0" customHeight="1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81"/>
      <c r="M27" s="74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81"/>
      <c r="Y27" s="74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81"/>
      <c r="AK27" s="74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81"/>
      <c r="AW27" s="74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81"/>
      <c r="BI27" s="74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81"/>
      <c r="BU27" s="74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81"/>
      <c r="CG27" s="74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81"/>
      <c r="CS27" s="74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81"/>
      <c r="DE27" s="74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81"/>
      <c r="DQ27" s="74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81"/>
      <c r="EC27" s="74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81"/>
      <c r="EO27" s="74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81"/>
      <c r="FA27" s="74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81"/>
      <c r="FM27" s="74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81"/>
      <c r="FY27" s="74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81"/>
      <c r="GK27" s="74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81"/>
      <c r="GW27" s="74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81"/>
      <c r="HI27" s="75"/>
    </row>
    <row r="28" ht="15.0" customHeight="1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81"/>
      <c r="M28" s="74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81"/>
      <c r="Y28" s="74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81"/>
      <c r="AK28" s="74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81"/>
      <c r="AW28" s="74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81"/>
      <c r="BI28" s="74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81"/>
      <c r="BU28" s="74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81"/>
      <c r="CG28" s="74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81"/>
      <c r="CS28" s="74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81"/>
      <c r="DE28" s="74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81"/>
      <c r="DQ28" s="74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81"/>
      <c r="EC28" s="74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81"/>
      <c r="EO28" s="74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81"/>
      <c r="FA28" s="74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81"/>
      <c r="FM28" s="74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81"/>
      <c r="FY28" s="74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81"/>
      <c r="GK28" s="74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81"/>
      <c r="GW28" s="74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81"/>
      <c r="HI28" s="75"/>
    </row>
    <row r="29" ht="15.75" customHeight="1">
      <c r="A29" s="148"/>
      <c r="B29" s="149" t="s">
        <v>49</v>
      </c>
      <c r="C29" s="150" t="s">
        <v>50</v>
      </c>
      <c r="D29" s="151"/>
      <c r="E29" s="151"/>
      <c r="F29" s="151"/>
      <c r="G29" s="149" t="s">
        <v>51</v>
      </c>
      <c r="H29" s="151"/>
      <c r="I29" s="152"/>
      <c r="J29" s="87"/>
      <c r="K29" s="88" t="s">
        <v>52</v>
      </c>
      <c r="L29" s="89"/>
      <c r="M29" s="148"/>
      <c r="N29" s="149" t="s">
        <v>49</v>
      </c>
      <c r="O29" s="150" t="s">
        <v>50</v>
      </c>
      <c r="P29" s="151"/>
      <c r="Q29" s="151"/>
      <c r="R29" s="151"/>
      <c r="S29" s="149" t="s">
        <v>51</v>
      </c>
      <c r="T29" s="151"/>
      <c r="U29" s="152"/>
      <c r="V29" s="87"/>
      <c r="W29" s="88" t="s">
        <v>52</v>
      </c>
      <c r="X29" s="89"/>
      <c r="Y29" s="148"/>
      <c r="Z29" s="149" t="s">
        <v>49</v>
      </c>
      <c r="AA29" s="150" t="s">
        <v>50</v>
      </c>
      <c r="AB29" s="151"/>
      <c r="AC29" s="151"/>
      <c r="AD29" s="151"/>
      <c r="AE29" s="149" t="s">
        <v>51</v>
      </c>
      <c r="AF29" s="151"/>
      <c r="AG29" s="152"/>
      <c r="AH29" s="87"/>
      <c r="AI29" s="88" t="s">
        <v>52</v>
      </c>
      <c r="AJ29" s="89"/>
      <c r="AK29" s="148"/>
      <c r="AL29" s="149" t="s">
        <v>49</v>
      </c>
      <c r="AM29" s="150" t="s">
        <v>50</v>
      </c>
      <c r="AN29" s="151"/>
      <c r="AO29" s="151"/>
      <c r="AP29" s="151"/>
      <c r="AQ29" s="149" t="s">
        <v>51</v>
      </c>
      <c r="AR29" s="151"/>
      <c r="AS29" s="152"/>
      <c r="AT29" s="87"/>
      <c r="AU29" s="88" t="s">
        <v>52</v>
      </c>
      <c r="AV29" s="89"/>
      <c r="AW29" s="148"/>
      <c r="AX29" s="149" t="s">
        <v>49</v>
      </c>
      <c r="AY29" s="150" t="s">
        <v>50</v>
      </c>
      <c r="AZ29" s="151"/>
      <c r="BA29" s="151"/>
      <c r="BB29" s="151"/>
      <c r="BC29" s="149" t="s">
        <v>51</v>
      </c>
      <c r="BD29" s="151"/>
      <c r="BE29" s="152"/>
      <c r="BF29" s="87"/>
      <c r="BG29" s="88" t="s">
        <v>52</v>
      </c>
      <c r="BH29" s="89"/>
      <c r="BI29" s="148"/>
      <c r="BJ29" s="149" t="s">
        <v>49</v>
      </c>
      <c r="BK29" s="150" t="s">
        <v>50</v>
      </c>
      <c r="BL29" s="151"/>
      <c r="BM29" s="151"/>
      <c r="BN29" s="151"/>
      <c r="BO29" s="149" t="s">
        <v>51</v>
      </c>
      <c r="BP29" s="151"/>
      <c r="BQ29" s="152"/>
      <c r="BR29" s="87"/>
      <c r="BS29" s="88" t="s">
        <v>52</v>
      </c>
      <c r="BT29" s="89"/>
      <c r="BU29" s="148"/>
      <c r="BV29" s="149" t="s">
        <v>49</v>
      </c>
      <c r="BW29" s="150" t="s">
        <v>50</v>
      </c>
      <c r="BX29" s="151"/>
      <c r="BY29" s="151"/>
      <c r="BZ29" s="151"/>
      <c r="CA29" s="149" t="s">
        <v>51</v>
      </c>
      <c r="CB29" s="151"/>
      <c r="CC29" s="152"/>
      <c r="CD29" s="87"/>
      <c r="CE29" s="88" t="s">
        <v>52</v>
      </c>
      <c r="CF29" s="89"/>
      <c r="CG29" s="148"/>
      <c r="CH29" s="149" t="s">
        <v>49</v>
      </c>
      <c r="CI29" s="150" t="s">
        <v>50</v>
      </c>
      <c r="CJ29" s="151"/>
      <c r="CK29" s="151"/>
      <c r="CL29" s="151"/>
      <c r="CM29" s="149" t="s">
        <v>51</v>
      </c>
      <c r="CN29" s="151"/>
      <c r="CO29" s="152"/>
      <c r="CP29" s="87"/>
      <c r="CQ29" s="88" t="s">
        <v>52</v>
      </c>
      <c r="CR29" s="89"/>
      <c r="CS29" s="148"/>
      <c r="CT29" s="149" t="s">
        <v>49</v>
      </c>
      <c r="CU29" s="150" t="s">
        <v>50</v>
      </c>
      <c r="CV29" s="151"/>
      <c r="CW29" s="151"/>
      <c r="CX29" s="151"/>
      <c r="CY29" s="149" t="s">
        <v>51</v>
      </c>
      <c r="CZ29" s="151"/>
      <c r="DA29" s="152"/>
      <c r="DB29" s="87"/>
      <c r="DC29" s="88" t="s">
        <v>52</v>
      </c>
      <c r="DD29" s="89"/>
      <c r="DE29" s="148"/>
      <c r="DF29" s="149" t="s">
        <v>49</v>
      </c>
      <c r="DG29" s="150" t="s">
        <v>50</v>
      </c>
      <c r="DH29" s="151"/>
      <c r="DI29" s="151"/>
      <c r="DJ29" s="151"/>
      <c r="DK29" s="149" t="s">
        <v>51</v>
      </c>
      <c r="DL29" s="151"/>
      <c r="DM29" s="152"/>
      <c r="DN29" s="87"/>
      <c r="DO29" s="88" t="s">
        <v>52</v>
      </c>
      <c r="DP29" s="89"/>
      <c r="DQ29" s="148"/>
      <c r="DR29" s="149" t="s">
        <v>49</v>
      </c>
      <c r="DS29" s="150" t="s">
        <v>50</v>
      </c>
      <c r="DT29" s="151"/>
      <c r="DU29" s="151"/>
      <c r="DV29" s="151"/>
      <c r="DW29" s="149" t="s">
        <v>51</v>
      </c>
      <c r="DX29" s="151"/>
      <c r="DY29" s="152"/>
      <c r="DZ29" s="87"/>
      <c r="EA29" s="88" t="s">
        <v>52</v>
      </c>
      <c r="EB29" s="89"/>
      <c r="EC29" s="148"/>
      <c r="ED29" s="149" t="s">
        <v>49</v>
      </c>
      <c r="EE29" s="150" t="s">
        <v>50</v>
      </c>
      <c r="EF29" s="151"/>
      <c r="EG29" s="151"/>
      <c r="EH29" s="151"/>
      <c r="EI29" s="149" t="s">
        <v>51</v>
      </c>
      <c r="EJ29" s="151"/>
      <c r="EK29" s="152"/>
      <c r="EL29" s="87"/>
      <c r="EM29" s="88" t="s">
        <v>52</v>
      </c>
      <c r="EN29" s="89"/>
      <c r="EO29" s="148"/>
      <c r="EP29" s="149" t="s">
        <v>49</v>
      </c>
      <c r="EQ29" s="150" t="s">
        <v>50</v>
      </c>
      <c r="ER29" s="151"/>
      <c r="ES29" s="151"/>
      <c r="ET29" s="151"/>
      <c r="EU29" s="149" t="s">
        <v>51</v>
      </c>
      <c r="EV29" s="151"/>
      <c r="EW29" s="152"/>
      <c r="EX29" s="87"/>
      <c r="EY29" s="88" t="s">
        <v>52</v>
      </c>
      <c r="EZ29" s="89"/>
      <c r="FA29" s="148"/>
      <c r="FB29" s="149" t="s">
        <v>49</v>
      </c>
      <c r="FC29" s="150" t="s">
        <v>50</v>
      </c>
      <c r="FD29" s="151"/>
      <c r="FE29" s="151"/>
      <c r="FF29" s="151"/>
      <c r="FG29" s="149" t="s">
        <v>51</v>
      </c>
      <c r="FH29" s="151"/>
      <c r="FI29" s="152"/>
      <c r="FJ29" s="87"/>
      <c r="FK29" s="88" t="s">
        <v>52</v>
      </c>
      <c r="FL29" s="89"/>
      <c r="FM29" s="148"/>
      <c r="FN29" s="149" t="s">
        <v>49</v>
      </c>
      <c r="FO29" s="150" t="s">
        <v>50</v>
      </c>
      <c r="FP29" s="151"/>
      <c r="FQ29" s="151"/>
      <c r="FR29" s="151"/>
      <c r="FS29" s="149" t="s">
        <v>51</v>
      </c>
      <c r="FT29" s="151"/>
      <c r="FU29" s="152"/>
      <c r="FV29" s="87"/>
      <c r="FW29" s="88" t="s">
        <v>52</v>
      </c>
      <c r="FX29" s="89"/>
      <c r="FY29" s="148"/>
      <c r="FZ29" s="149" t="s">
        <v>49</v>
      </c>
      <c r="GA29" s="150" t="s">
        <v>50</v>
      </c>
      <c r="GB29" s="151"/>
      <c r="GC29" s="151"/>
      <c r="GD29" s="151"/>
      <c r="GE29" s="149" t="s">
        <v>51</v>
      </c>
      <c r="GF29" s="151"/>
      <c r="GG29" s="152"/>
      <c r="GH29" s="87"/>
      <c r="GI29" s="88" t="s">
        <v>52</v>
      </c>
      <c r="GJ29" s="89"/>
      <c r="GK29" s="148"/>
      <c r="GL29" s="149" t="s">
        <v>49</v>
      </c>
      <c r="GM29" s="150" t="s">
        <v>50</v>
      </c>
      <c r="GN29" s="151"/>
      <c r="GO29" s="151"/>
      <c r="GP29" s="151"/>
      <c r="GQ29" s="149" t="s">
        <v>51</v>
      </c>
      <c r="GR29" s="151"/>
      <c r="GS29" s="152"/>
      <c r="GT29" s="87"/>
      <c r="GU29" s="88" t="s">
        <v>52</v>
      </c>
      <c r="GV29" s="89"/>
      <c r="GW29" s="148"/>
      <c r="GX29" s="149" t="s">
        <v>49</v>
      </c>
      <c r="GY29" s="150" t="s">
        <v>50</v>
      </c>
      <c r="GZ29" s="151"/>
      <c r="HA29" s="151"/>
      <c r="HB29" s="151"/>
      <c r="HC29" s="149" t="s">
        <v>51</v>
      </c>
      <c r="HD29" s="151"/>
      <c r="HE29" s="152"/>
      <c r="HF29" s="87"/>
      <c r="HG29" s="88" t="s">
        <v>52</v>
      </c>
      <c r="HH29" s="89"/>
      <c r="HI29" s="87"/>
    </row>
    <row r="30" ht="15.75" customHeight="1">
      <c r="A30" s="153"/>
      <c r="B30" s="154" t="s">
        <v>23</v>
      </c>
      <c r="C30" s="155" t="s">
        <v>53</v>
      </c>
      <c r="D30" s="155"/>
      <c r="E30" s="155"/>
      <c r="F30" s="155"/>
      <c r="G30" s="154" t="s">
        <v>54</v>
      </c>
      <c r="H30" s="155"/>
      <c r="I30" s="156"/>
      <c r="J30" s="87"/>
      <c r="K30" s="94"/>
      <c r="L30" s="89"/>
      <c r="M30" s="153"/>
      <c r="N30" s="154" t="s">
        <v>23</v>
      </c>
      <c r="O30" s="155" t="s">
        <v>53</v>
      </c>
      <c r="P30" s="155"/>
      <c r="Q30" s="155"/>
      <c r="R30" s="155"/>
      <c r="S30" s="154" t="s">
        <v>54</v>
      </c>
      <c r="T30" s="155"/>
      <c r="U30" s="156"/>
      <c r="V30" s="87"/>
      <c r="W30" s="94"/>
      <c r="X30" s="89"/>
      <c r="Y30" s="153"/>
      <c r="Z30" s="154" t="s">
        <v>23</v>
      </c>
      <c r="AA30" s="155" t="s">
        <v>53</v>
      </c>
      <c r="AB30" s="155"/>
      <c r="AC30" s="155"/>
      <c r="AD30" s="155"/>
      <c r="AE30" s="154" t="s">
        <v>54</v>
      </c>
      <c r="AF30" s="155"/>
      <c r="AG30" s="156"/>
      <c r="AH30" s="87"/>
      <c r="AI30" s="94"/>
      <c r="AJ30" s="89"/>
      <c r="AK30" s="153"/>
      <c r="AL30" s="154" t="s">
        <v>23</v>
      </c>
      <c r="AM30" s="155" t="s">
        <v>53</v>
      </c>
      <c r="AN30" s="155"/>
      <c r="AO30" s="155"/>
      <c r="AP30" s="155"/>
      <c r="AQ30" s="154" t="s">
        <v>54</v>
      </c>
      <c r="AR30" s="155"/>
      <c r="AS30" s="156"/>
      <c r="AT30" s="87"/>
      <c r="AU30" s="94"/>
      <c r="AV30" s="89"/>
      <c r="AW30" s="153"/>
      <c r="AX30" s="154" t="s">
        <v>23</v>
      </c>
      <c r="AY30" s="155" t="s">
        <v>53</v>
      </c>
      <c r="AZ30" s="155"/>
      <c r="BA30" s="155"/>
      <c r="BB30" s="155"/>
      <c r="BC30" s="154" t="s">
        <v>54</v>
      </c>
      <c r="BD30" s="155"/>
      <c r="BE30" s="156"/>
      <c r="BF30" s="87"/>
      <c r="BG30" s="94"/>
      <c r="BH30" s="89"/>
      <c r="BI30" s="153"/>
      <c r="BJ30" s="154" t="s">
        <v>23</v>
      </c>
      <c r="BK30" s="155" t="s">
        <v>53</v>
      </c>
      <c r="BL30" s="155"/>
      <c r="BM30" s="155"/>
      <c r="BN30" s="155"/>
      <c r="BO30" s="154" t="s">
        <v>54</v>
      </c>
      <c r="BP30" s="155"/>
      <c r="BQ30" s="156"/>
      <c r="BR30" s="87"/>
      <c r="BS30" s="94"/>
      <c r="BT30" s="89"/>
      <c r="BU30" s="153"/>
      <c r="BV30" s="154" t="s">
        <v>23</v>
      </c>
      <c r="BW30" s="155" t="s">
        <v>53</v>
      </c>
      <c r="BX30" s="155"/>
      <c r="BY30" s="155"/>
      <c r="BZ30" s="155"/>
      <c r="CA30" s="154" t="s">
        <v>54</v>
      </c>
      <c r="CB30" s="155"/>
      <c r="CC30" s="156"/>
      <c r="CD30" s="87"/>
      <c r="CE30" s="94"/>
      <c r="CF30" s="89"/>
      <c r="CG30" s="153"/>
      <c r="CH30" s="154" t="s">
        <v>23</v>
      </c>
      <c r="CI30" s="155" t="s">
        <v>53</v>
      </c>
      <c r="CJ30" s="155"/>
      <c r="CK30" s="155"/>
      <c r="CL30" s="155"/>
      <c r="CM30" s="154" t="s">
        <v>54</v>
      </c>
      <c r="CN30" s="155"/>
      <c r="CO30" s="156"/>
      <c r="CP30" s="87"/>
      <c r="CQ30" s="94"/>
      <c r="CR30" s="89"/>
      <c r="CS30" s="153"/>
      <c r="CT30" s="154" t="s">
        <v>23</v>
      </c>
      <c r="CU30" s="155" t="s">
        <v>53</v>
      </c>
      <c r="CV30" s="155"/>
      <c r="CW30" s="155"/>
      <c r="CX30" s="155"/>
      <c r="CY30" s="154" t="s">
        <v>54</v>
      </c>
      <c r="CZ30" s="155"/>
      <c r="DA30" s="156"/>
      <c r="DB30" s="87"/>
      <c r="DC30" s="94"/>
      <c r="DD30" s="89"/>
      <c r="DE30" s="153"/>
      <c r="DF30" s="154" t="s">
        <v>23</v>
      </c>
      <c r="DG30" s="155" t="s">
        <v>53</v>
      </c>
      <c r="DH30" s="155"/>
      <c r="DI30" s="155"/>
      <c r="DJ30" s="155"/>
      <c r="DK30" s="154" t="s">
        <v>54</v>
      </c>
      <c r="DL30" s="155"/>
      <c r="DM30" s="156"/>
      <c r="DN30" s="87"/>
      <c r="DO30" s="94"/>
      <c r="DP30" s="89"/>
      <c r="DQ30" s="153"/>
      <c r="DR30" s="154" t="s">
        <v>23</v>
      </c>
      <c r="DS30" s="155" t="s">
        <v>53</v>
      </c>
      <c r="DT30" s="155"/>
      <c r="DU30" s="155"/>
      <c r="DV30" s="155"/>
      <c r="DW30" s="154" t="s">
        <v>54</v>
      </c>
      <c r="DX30" s="155"/>
      <c r="DY30" s="156"/>
      <c r="DZ30" s="87"/>
      <c r="EA30" s="94"/>
      <c r="EB30" s="89"/>
      <c r="EC30" s="153"/>
      <c r="ED30" s="154" t="s">
        <v>23</v>
      </c>
      <c r="EE30" s="155" t="s">
        <v>53</v>
      </c>
      <c r="EF30" s="155"/>
      <c r="EG30" s="155"/>
      <c r="EH30" s="155"/>
      <c r="EI30" s="154" t="s">
        <v>54</v>
      </c>
      <c r="EJ30" s="155"/>
      <c r="EK30" s="156"/>
      <c r="EL30" s="87"/>
      <c r="EM30" s="94"/>
      <c r="EN30" s="89"/>
      <c r="EO30" s="153"/>
      <c r="EP30" s="154" t="s">
        <v>23</v>
      </c>
      <c r="EQ30" s="155" t="s">
        <v>53</v>
      </c>
      <c r="ER30" s="155"/>
      <c r="ES30" s="155"/>
      <c r="ET30" s="155"/>
      <c r="EU30" s="154" t="s">
        <v>54</v>
      </c>
      <c r="EV30" s="155"/>
      <c r="EW30" s="156"/>
      <c r="EX30" s="87"/>
      <c r="EY30" s="94"/>
      <c r="EZ30" s="89"/>
      <c r="FA30" s="153"/>
      <c r="FB30" s="154" t="s">
        <v>23</v>
      </c>
      <c r="FC30" s="155" t="s">
        <v>53</v>
      </c>
      <c r="FD30" s="155"/>
      <c r="FE30" s="155"/>
      <c r="FF30" s="155"/>
      <c r="FG30" s="154" t="s">
        <v>54</v>
      </c>
      <c r="FH30" s="155"/>
      <c r="FI30" s="156"/>
      <c r="FJ30" s="87"/>
      <c r="FK30" s="94"/>
      <c r="FL30" s="89"/>
      <c r="FM30" s="153"/>
      <c r="FN30" s="154" t="s">
        <v>23</v>
      </c>
      <c r="FO30" s="155" t="s">
        <v>53</v>
      </c>
      <c r="FP30" s="155"/>
      <c r="FQ30" s="155"/>
      <c r="FR30" s="155"/>
      <c r="FS30" s="154" t="s">
        <v>54</v>
      </c>
      <c r="FT30" s="155"/>
      <c r="FU30" s="156"/>
      <c r="FV30" s="87"/>
      <c r="FW30" s="94"/>
      <c r="FX30" s="89"/>
      <c r="FY30" s="153"/>
      <c r="FZ30" s="154" t="s">
        <v>23</v>
      </c>
      <c r="GA30" s="155" t="s">
        <v>53</v>
      </c>
      <c r="GB30" s="155"/>
      <c r="GC30" s="155"/>
      <c r="GD30" s="155"/>
      <c r="GE30" s="154" t="s">
        <v>54</v>
      </c>
      <c r="GF30" s="155"/>
      <c r="GG30" s="156"/>
      <c r="GH30" s="87"/>
      <c r="GI30" s="94"/>
      <c r="GJ30" s="89"/>
      <c r="GK30" s="153"/>
      <c r="GL30" s="154" t="s">
        <v>23</v>
      </c>
      <c r="GM30" s="155" t="s">
        <v>53</v>
      </c>
      <c r="GN30" s="155"/>
      <c r="GO30" s="155"/>
      <c r="GP30" s="155"/>
      <c r="GQ30" s="154" t="s">
        <v>54</v>
      </c>
      <c r="GR30" s="155"/>
      <c r="GS30" s="156"/>
      <c r="GT30" s="87"/>
      <c r="GU30" s="94"/>
      <c r="GV30" s="89"/>
      <c r="GW30" s="153"/>
      <c r="GX30" s="154" t="s">
        <v>23</v>
      </c>
      <c r="GY30" s="155" t="s">
        <v>53</v>
      </c>
      <c r="GZ30" s="155"/>
      <c r="HA30" s="155"/>
      <c r="HB30" s="155"/>
      <c r="HC30" s="154" t="s">
        <v>54</v>
      </c>
      <c r="HD30" s="155"/>
      <c r="HE30" s="156"/>
      <c r="HF30" s="87"/>
      <c r="HG30" s="94"/>
      <c r="HH30" s="89"/>
      <c r="HI30" s="87"/>
    </row>
    <row r="31" ht="15.0" customHeight="1">
      <c r="A31" s="153"/>
      <c r="B31" s="154" t="s">
        <v>55</v>
      </c>
      <c r="C31" s="155" t="s">
        <v>56</v>
      </c>
      <c r="D31" s="155"/>
      <c r="E31" s="155"/>
      <c r="F31" s="155"/>
      <c r="G31" s="154" t="s">
        <v>57</v>
      </c>
      <c r="H31" s="155"/>
      <c r="I31" s="156"/>
      <c r="J31" s="87"/>
      <c r="K31" s="95" t="str">
        <f>"I/"&amp;K$6</f>
        <v>I/2010</v>
      </c>
      <c r="L31" s="89"/>
      <c r="M31" s="153"/>
      <c r="N31" s="154" t="s">
        <v>55</v>
      </c>
      <c r="O31" s="155" t="s">
        <v>56</v>
      </c>
      <c r="P31" s="155"/>
      <c r="Q31" s="155"/>
      <c r="R31" s="155"/>
      <c r="S31" s="154" t="s">
        <v>57</v>
      </c>
      <c r="T31" s="155"/>
      <c r="U31" s="156"/>
      <c r="V31" s="87"/>
      <c r="W31" s="95" t="str">
        <f>"I/"&amp;W$6</f>
        <v>I/2011</v>
      </c>
      <c r="X31" s="89"/>
      <c r="Y31" s="153"/>
      <c r="Z31" s="154" t="s">
        <v>55</v>
      </c>
      <c r="AA31" s="155" t="s">
        <v>56</v>
      </c>
      <c r="AB31" s="155"/>
      <c r="AC31" s="155"/>
      <c r="AD31" s="155"/>
      <c r="AE31" s="154" t="s">
        <v>57</v>
      </c>
      <c r="AF31" s="155"/>
      <c r="AG31" s="156"/>
      <c r="AH31" s="87"/>
      <c r="AI31" s="95" t="str">
        <f>"I/"&amp;AI$6</f>
        <v>I/2012</v>
      </c>
      <c r="AJ31" s="89"/>
      <c r="AK31" s="153"/>
      <c r="AL31" s="154" t="s">
        <v>55</v>
      </c>
      <c r="AM31" s="155" t="s">
        <v>56</v>
      </c>
      <c r="AN31" s="155"/>
      <c r="AO31" s="155"/>
      <c r="AP31" s="155"/>
      <c r="AQ31" s="154" t="s">
        <v>57</v>
      </c>
      <c r="AR31" s="155"/>
      <c r="AS31" s="156"/>
      <c r="AT31" s="87"/>
      <c r="AU31" s="95" t="str">
        <f>"I/"&amp;AU$6</f>
        <v>I/2013</v>
      </c>
      <c r="AV31" s="89"/>
      <c r="AW31" s="153"/>
      <c r="AX31" s="154" t="s">
        <v>55</v>
      </c>
      <c r="AY31" s="155" t="s">
        <v>56</v>
      </c>
      <c r="AZ31" s="155"/>
      <c r="BA31" s="155"/>
      <c r="BB31" s="155"/>
      <c r="BC31" s="154" t="s">
        <v>57</v>
      </c>
      <c r="BD31" s="155"/>
      <c r="BE31" s="156"/>
      <c r="BF31" s="87"/>
      <c r="BG31" s="95" t="str">
        <f>"I/"&amp;BG$6</f>
        <v>I/2014</v>
      </c>
      <c r="BH31" s="89"/>
      <c r="BI31" s="153"/>
      <c r="BJ31" s="154" t="s">
        <v>55</v>
      </c>
      <c r="BK31" s="155" t="s">
        <v>56</v>
      </c>
      <c r="BL31" s="155"/>
      <c r="BM31" s="155"/>
      <c r="BN31" s="155"/>
      <c r="BO31" s="154" t="s">
        <v>57</v>
      </c>
      <c r="BP31" s="155"/>
      <c r="BQ31" s="156"/>
      <c r="BR31" s="87"/>
      <c r="BS31" s="95" t="str">
        <f>"I/"&amp;BS$6</f>
        <v>I/2015</v>
      </c>
      <c r="BT31" s="89"/>
      <c r="BU31" s="153"/>
      <c r="BV31" s="154" t="s">
        <v>55</v>
      </c>
      <c r="BW31" s="155" t="s">
        <v>56</v>
      </c>
      <c r="BX31" s="155"/>
      <c r="BY31" s="155"/>
      <c r="BZ31" s="155"/>
      <c r="CA31" s="154" t="s">
        <v>57</v>
      </c>
      <c r="CB31" s="155"/>
      <c r="CC31" s="156"/>
      <c r="CD31" s="87"/>
      <c r="CE31" s="95" t="str">
        <f>"I/"&amp;CE$6</f>
        <v>I/2016</v>
      </c>
      <c r="CF31" s="89"/>
      <c r="CG31" s="153"/>
      <c r="CH31" s="154" t="s">
        <v>55</v>
      </c>
      <c r="CI31" s="155" t="s">
        <v>56</v>
      </c>
      <c r="CJ31" s="155"/>
      <c r="CK31" s="155"/>
      <c r="CL31" s="155"/>
      <c r="CM31" s="154" t="s">
        <v>57</v>
      </c>
      <c r="CN31" s="155"/>
      <c r="CO31" s="156"/>
      <c r="CP31" s="87"/>
      <c r="CQ31" s="95" t="str">
        <f>"I/"&amp;CQ$6</f>
        <v>I/2017</v>
      </c>
      <c r="CR31" s="89"/>
      <c r="CS31" s="153"/>
      <c r="CT31" s="154" t="s">
        <v>55</v>
      </c>
      <c r="CU31" s="155" t="s">
        <v>56</v>
      </c>
      <c r="CV31" s="155"/>
      <c r="CW31" s="155"/>
      <c r="CX31" s="155"/>
      <c r="CY31" s="154" t="s">
        <v>57</v>
      </c>
      <c r="CZ31" s="155"/>
      <c r="DA31" s="156"/>
      <c r="DB31" s="87"/>
      <c r="DC31" s="95" t="str">
        <f>"I/"&amp;DC$6</f>
        <v>I/2018</v>
      </c>
      <c r="DD31" s="89"/>
      <c r="DE31" s="153"/>
      <c r="DF31" s="154" t="s">
        <v>55</v>
      </c>
      <c r="DG31" s="155" t="s">
        <v>56</v>
      </c>
      <c r="DH31" s="155"/>
      <c r="DI31" s="155"/>
      <c r="DJ31" s="155"/>
      <c r="DK31" s="154" t="s">
        <v>57</v>
      </c>
      <c r="DL31" s="155"/>
      <c r="DM31" s="156"/>
      <c r="DN31" s="87"/>
      <c r="DO31" s="95" t="str">
        <f>"I/"&amp;DO$6</f>
        <v>I/2019</v>
      </c>
      <c r="DP31" s="89"/>
      <c r="DQ31" s="153"/>
      <c r="DR31" s="154" t="s">
        <v>55</v>
      </c>
      <c r="DS31" s="155" t="s">
        <v>56</v>
      </c>
      <c r="DT31" s="155"/>
      <c r="DU31" s="155"/>
      <c r="DV31" s="155"/>
      <c r="DW31" s="154" t="s">
        <v>57</v>
      </c>
      <c r="DX31" s="155"/>
      <c r="DY31" s="156"/>
      <c r="DZ31" s="87"/>
      <c r="EA31" s="95" t="str">
        <f>"I/"&amp;EA$6</f>
        <v>I/2020</v>
      </c>
      <c r="EB31" s="89"/>
      <c r="EC31" s="153"/>
      <c r="ED31" s="154" t="s">
        <v>55</v>
      </c>
      <c r="EE31" s="155" t="s">
        <v>56</v>
      </c>
      <c r="EF31" s="155"/>
      <c r="EG31" s="155"/>
      <c r="EH31" s="155"/>
      <c r="EI31" s="154" t="s">
        <v>57</v>
      </c>
      <c r="EJ31" s="155"/>
      <c r="EK31" s="156"/>
      <c r="EL31" s="87"/>
      <c r="EM31" s="95" t="str">
        <f>"I/"&amp;EM$6</f>
        <v>I/2021</v>
      </c>
      <c r="EN31" s="89"/>
      <c r="EO31" s="153"/>
      <c r="EP31" s="154" t="s">
        <v>55</v>
      </c>
      <c r="EQ31" s="155" t="s">
        <v>56</v>
      </c>
      <c r="ER31" s="155"/>
      <c r="ES31" s="155"/>
      <c r="ET31" s="155"/>
      <c r="EU31" s="154" t="s">
        <v>57</v>
      </c>
      <c r="EV31" s="155"/>
      <c r="EW31" s="156"/>
      <c r="EX31" s="87"/>
      <c r="EY31" s="95" t="str">
        <f>"I/"&amp;EY$6</f>
        <v>I/2022</v>
      </c>
      <c r="EZ31" s="89"/>
      <c r="FA31" s="153"/>
      <c r="FB31" s="154" t="s">
        <v>55</v>
      </c>
      <c r="FC31" s="155" t="s">
        <v>56</v>
      </c>
      <c r="FD31" s="155"/>
      <c r="FE31" s="155"/>
      <c r="FF31" s="155"/>
      <c r="FG31" s="154" t="s">
        <v>57</v>
      </c>
      <c r="FH31" s="155"/>
      <c r="FI31" s="156"/>
      <c r="FJ31" s="87"/>
      <c r="FK31" s="95" t="str">
        <f>"I/"&amp;FK$6</f>
        <v>I/2023</v>
      </c>
      <c r="FL31" s="89"/>
      <c r="FM31" s="153"/>
      <c r="FN31" s="154" t="s">
        <v>55</v>
      </c>
      <c r="FO31" s="155" t="s">
        <v>56</v>
      </c>
      <c r="FP31" s="155"/>
      <c r="FQ31" s="155"/>
      <c r="FR31" s="155"/>
      <c r="FS31" s="154" t="s">
        <v>57</v>
      </c>
      <c r="FT31" s="155"/>
      <c r="FU31" s="156"/>
      <c r="FV31" s="87"/>
      <c r="FW31" s="95" t="str">
        <f>"I/"&amp;FW$6</f>
        <v>I/2024</v>
      </c>
      <c r="FX31" s="89"/>
      <c r="FY31" s="153"/>
      <c r="FZ31" s="154" t="s">
        <v>55</v>
      </c>
      <c r="GA31" s="155" t="s">
        <v>56</v>
      </c>
      <c r="GB31" s="155"/>
      <c r="GC31" s="155"/>
      <c r="GD31" s="155"/>
      <c r="GE31" s="154" t="s">
        <v>57</v>
      </c>
      <c r="GF31" s="155"/>
      <c r="GG31" s="156"/>
      <c r="GH31" s="87"/>
      <c r="GI31" s="95" t="str">
        <f>"I/"&amp;GI$6</f>
        <v>I/2025</v>
      </c>
      <c r="GJ31" s="89"/>
      <c r="GK31" s="153"/>
      <c r="GL31" s="154" t="s">
        <v>55</v>
      </c>
      <c r="GM31" s="155" t="s">
        <v>56</v>
      </c>
      <c r="GN31" s="155"/>
      <c r="GO31" s="155"/>
      <c r="GP31" s="155"/>
      <c r="GQ31" s="154" t="s">
        <v>57</v>
      </c>
      <c r="GR31" s="155"/>
      <c r="GS31" s="156"/>
      <c r="GT31" s="87"/>
      <c r="GU31" s="95" t="str">
        <f>"I/"&amp;GU$6</f>
        <v>I/2026</v>
      </c>
      <c r="GV31" s="89"/>
      <c r="GW31" s="153"/>
      <c r="GX31" s="154" t="s">
        <v>55</v>
      </c>
      <c r="GY31" s="155" t="s">
        <v>56</v>
      </c>
      <c r="GZ31" s="155"/>
      <c r="HA31" s="155"/>
      <c r="HB31" s="155"/>
      <c r="HC31" s="154" t="s">
        <v>57</v>
      </c>
      <c r="HD31" s="155"/>
      <c r="HE31" s="156"/>
      <c r="HF31" s="87"/>
      <c r="HG31" s="95" t="str">
        <f>"I/"&amp;HG$6</f>
        <v>I/2027</v>
      </c>
      <c r="HH31" s="89"/>
      <c r="HI31" s="87"/>
    </row>
    <row r="32" ht="15.0" customHeight="1">
      <c r="A32" s="153"/>
      <c r="B32" s="154" t="s">
        <v>58</v>
      </c>
      <c r="C32" s="155" t="s">
        <v>59</v>
      </c>
      <c r="D32" s="155"/>
      <c r="E32" s="155"/>
      <c r="F32" s="155"/>
      <c r="G32" s="157" t="s">
        <v>79</v>
      </c>
      <c r="H32" s="155"/>
      <c r="I32" s="156"/>
      <c r="J32" s="87"/>
      <c r="K32" s="94"/>
      <c r="L32" s="89"/>
      <c r="M32" s="153"/>
      <c r="N32" s="154" t="s">
        <v>58</v>
      </c>
      <c r="O32" s="155" t="s">
        <v>59</v>
      </c>
      <c r="P32" s="155"/>
      <c r="Q32" s="155"/>
      <c r="R32" s="155"/>
      <c r="S32" s="157" t="s">
        <v>79</v>
      </c>
      <c r="T32" s="155"/>
      <c r="U32" s="156"/>
      <c r="V32" s="87"/>
      <c r="W32" s="94"/>
      <c r="X32" s="89"/>
      <c r="Y32" s="153"/>
      <c r="Z32" s="154" t="s">
        <v>58</v>
      </c>
      <c r="AA32" s="155" t="s">
        <v>59</v>
      </c>
      <c r="AB32" s="155"/>
      <c r="AC32" s="155"/>
      <c r="AD32" s="155"/>
      <c r="AE32" s="157" t="s">
        <v>79</v>
      </c>
      <c r="AF32" s="155"/>
      <c r="AG32" s="156"/>
      <c r="AH32" s="87"/>
      <c r="AI32" s="94"/>
      <c r="AJ32" s="89"/>
      <c r="AK32" s="153"/>
      <c r="AL32" s="154" t="s">
        <v>58</v>
      </c>
      <c r="AM32" s="155" t="s">
        <v>59</v>
      </c>
      <c r="AN32" s="155"/>
      <c r="AO32" s="155"/>
      <c r="AP32" s="155"/>
      <c r="AQ32" s="157" t="s">
        <v>79</v>
      </c>
      <c r="AR32" s="155"/>
      <c r="AS32" s="156"/>
      <c r="AT32" s="87"/>
      <c r="AU32" s="94"/>
      <c r="AV32" s="89"/>
      <c r="AW32" s="153"/>
      <c r="AX32" s="154" t="s">
        <v>58</v>
      </c>
      <c r="AY32" s="155" t="s">
        <v>59</v>
      </c>
      <c r="AZ32" s="155"/>
      <c r="BA32" s="155"/>
      <c r="BB32" s="155"/>
      <c r="BC32" s="157" t="s">
        <v>79</v>
      </c>
      <c r="BD32" s="155"/>
      <c r="BE32" s="156"/>
      <c r="BF32" s="87"/>
      <c r="BG32" s="94"/>
      <c r="BH32" s="89"/>
      <c r="BI32" s="153"/>
      <c r="BJ32" s="154" t="s">
        <v>58</v>
      </c>
      <c r="BK32" s="155" t="s">
        <v>59</v>
      </c>
      <c r="BL32" s="155"/>
      <c r="BM32" s="155"/>
      <c r="BN32" s="155"/>
      <c r="BO32" s="157" t="s">
        <v>79</v>
      </c>
      <c r="BP32" s="155"/>
      <c r="BQ32" s="156"/>
      <c r="BR32" s="87"/>
      <c r="BS32" s="94"/>
      <c r="BT32" s="89"/>
      <c r="BU32" s="153"/>
      <c r="BV32" s="154" t="s">
        <v>58</v>
      </c>
      <c r="BW32" s="155" t="s">
        <v>59</v>
      </c>
      <c r="BX32" s="155"/>
      <c r="BY32" s="155"/>
      <c r="BZ32" s="155"/>
      <c r="CA32" s="157" t="s">
        <v>79</v>
      </c>
      <c r="CB32" s="155"/>
      <c r="CC32" s="156"/>
      <c r="CD32" s="87"/>
      <c r="CE32" s="94"/>
      <c r="CF32" s="89"/>
      <c r="CG32" s="153"/>
      <c r="CH32" s="154" t="s">
        <v>58</v>
      </c>
      <c r="CI32" s="155" t="s">
        <v>59</v>
      </c>
      <c r="CJ32" s="155"/>
      <c r="CK32" s="155"/>
      <c r="CL32" s="155"/>
      <c r="CM32" s="157" t="s">
        <v>79</v>
      </c>
      <c r="CN32" s="155"/>
      <c r="CO32" s="156"/>
      <c r="CP32" s="87"/>
      <c r="CQ32" s="94"/>
      <c r="CR32" s="89"/>
      <c r="CS32" s="153"/>
      <c r="CT32" s="154" t="s">
        <v>58</v>
      </c>
      <c r="CU32" s="155" t="s">
        <v>59</v>
      </c>
      <c r="CV32" s="155"/>
      <c r="CW32" s="155"/>
      <c r="CX32" s="155"/>
      <c r="CY32" s="157" t="s">
        <v>79</v>
      </c>
      <c r="CZ32" s="155"/>
      <c r="DA32" s="156"/>
      <c r="DB32" s="87"/>
      <c r="DC32" s="94"/>
      <c r="DD32" s="89"/>
      <c r="DE32" s="153"/>
      <c r="DF32" s="154" t="s">
        <v>58</v>
      </c>
      <c r="DG32" s="155" t="s">
        <v>59</v>
      </c>
      <c r="DH32" s="155"/>
      <c r="DI32" s="155"/>
      <c r="DJ32" s="155"/>
      <c r="DK32" s="157" t="s">
        <v>79</v>
      </c>
      <c r="DL32" s="155"/>
      <c r="DM32" s="156"/>
      <c r="DN32" s="87"/>
      <c r="DO32" s="94"/>
      <c r="DP32" s="89"/>
      <c r="DQ32" s="153"/>
      <c r="DR32" s="154" t="s">
        <v>58</v>
      </c>
      <c r="DS32" s="155" t="s">
        <v>59</v>
      </c>
      <c r="DT32" s="155"/>
      <c r="DU32" s="155"/>
      <c r="DV32" s="155"/>
      <c r="DW32" s="157" t="s">
        <v>79</v>
      </c>
      <c r="DX32" s="155"/>
      <c r="DY32" s="156"/>
      <c r="DZ32" s="87"/>
      <c r="EA32" s="94"/>
      <c r="EB32" s="89"/>
      <c r="EC32" s="153"/>
      <c r="ED32" s="154" t="s">
        <v>58</v>
      </c>
      <c r="EE32" s="155" t="s">
        <v>59</v>
      </c>
      <c r="EF32" s="155"/>
      <c r="EG32" s="155"/>
      <c r="EH32" s="155"/>
      <c r="EI32" s="157" t="s">
        <v>79</v>
      </c>
      <c r="EJ32" s="155"/>
      <c r="EK32" s="156"/>
      <c r="EL32" s="87"/>
      <c r="EM32" s="94"/>
      <c r="EN32" s="89"/>
      <c r="EO32" s="153"/>
      <c r="EP32" s="154" t="s">
        <v>58</v>
      </c>
      <c r="EQ32" s="155" t="s">
        <v>59</v>
      </c>
      <c r="ER32" s="155"/>
      <c r="ES32" s="155"/>
      <c r="ET32" s="155"/>
      <c r="EU32" s="157" t="s">
        <v>79</v>
      </c>
      <c r="EV32" s="155"/>
      <c r="EW32" s="156"/>
      <c r="EX32" s="87"/>
      <c r="EY32" s="94"/>
      <c r="EZ32" s="89"/>
      <c r="FA32" s="153"/>
      <c r="FB32" s="154" t="s">
        <v>58</v>
      </c>
      <c r="FC32" s="155" t="s">
        <v>59</v>
      </c>
      <c r="FD32" s="155"/>
      <c r="FE32" s="155"/>
      <c r="FF32" s="155"/>
      <c r="FG32" s="157" t="s">
        <v>79</v>
      </c>
      <c r="FH32" s="155"/>
      <c r="FI32" s="156"/>
      <c r="FJ32" s="87"/>
      <c r="FK32" s="94"/>
      <c r="FL32" s="89"/>
      <c r="FM32" s="153"/>
      <c r="FN32" s="154" t="s">
        <v>58</v>
      </c>
      <c r="FO32" s="155" t="s">
        <v>59</v>
      </c>
      <c r="FP32" s="155"/>
      <c r="FQ32" s="155"/>
      <c r="FR32" s="155"/>
      <c r="FS32" s="157" t="s">
        <v>79</v>
      </c>
      <c r="FT32" s="155"/>
      <c r="FU32" s="156"/>
      <c r="FV32" s="87"/>
      <c r="FW32" s="94"/>
      <c r="FX32" s="89"/>
      <c r="FY32" s="153"/>
      <c r="FZ32" s="154" t="s">
        <v>58</v>
      </c>
      <c r="GA32" s="155" t="s">
        <v>59</v>
      </c>
      <c r="GB32" s="155"/>
      <c r="GC32" s="155"/>
      <c r="GD32" s="155"/>
      <c r="GE32" s="157" t="s">
        <v>79</v>
      </c>
      <c r="GF32" s="155"/>
      <c r="GG32" s="156"/>
      <c r="GH32" s="87"/>
      <c r="GI32" s="94"/>
      <c r="GJ32" s="89"/>
      <c r="GK32" s="153"/>
      <c r="GL32" s="154" t="s">
        <v>58</v>
      </c>
      <c r="GM32" s="155" t="s">
        <v>59</v>
      </c>
      <c r="GN32" s="155"/>
      <c r="GO32" s="155"/>
      <c r="GP32" s="155"/>
      <c r="GQ32" s="157" t="s">
        <v>79</v>
      </c>
      <c r="GR32" s="155"/>
      <c r="GS32" s="156"/>
      <c r="GT32" s="87"/>
      <c r="GU32" s="94"/>
      <c r="GV32" s="89"/>
      <c r="GW32" s="153"/>
      <c r="GX32" s="154" t="s">
        <v>58</v>
      </c>
      <c r="GY32" s="155" t="s">
        <v>59</v>
      </c>
      <c r="GZ32" s="155"/>
      <c r="HA32" s="155"/>
      <c r="HB32" s="155"/>
      <c r="HC32" s="157" t="s">
        <v>79</v>
      </c>
      <c r="HD32" s="155"/>
      <c r="HE32" s="156"/>
      <c r="HF32" s="87"/>
      <c r="HG32" s="94"/>
      <c r="HH32" s="89"/>
      <c r="HI32" s="87"/>
    </row>
    <row r="33" ht="15.75" customHeight="1">
      <c r="A33" s="158"/>
      <c r="B33" s="159" t="s">
        <v>60</v>
      </c>
      <c r="C33" s="160" t="s">
        <v>61</v>
      </c>
      <c r="D33" s="160"/>
      <c r="E33" s="160"/>
      <c r="F33" s="160"/>
      <c r="G33" s="160" t="str">
        <f>"Tahun "&amp;K$6</f>
        <v>Tahun 2010</v>
      </c>
      <c r="H33" s="160"/>
      <c r="I33" s="161"/>
      <c r="J33" s="87"/>
      <c r="K33" s="87"/>
      <c r="L33" s="89"/>
      <c r="M33" s="158"/>
      <c r="N33" s="159" t="s">
        <v>60</v>
      </c>
      <c r="O33" s="160" t="s">
        <v>61</v>
      </c>
      <c r="P33" s="160"/>
      <c r="Q33" s="160"/>
      <c r="R33" s="160"/>
      <c r="S33" s="160" t="str">
        <f>"Tahun "&amp;W$6</f>
        <v>Tahun 2011</v>
      </c>
      <c r="T33" s="160"/>
      <c r="U33" s="161"/>
      <c r="V33" s="87"/>
      <c r="W33" s="87"/>
      <c r="X33" s="89"/>
      <c r="Y33" s="158"/>
      <c r="Z33" s="159" t="s">
        <v>60</v>
      </c>
      <c r="AA33" s="160" t="s">
        <v>61</v>
      </c>
      <c r="AB33" s="160"/>
      <c r="AC33" s="160"/>
      <c r="AD33" s="160"/>
      <c r="AE33" s="160" t="str">
        <f>"Tahun "&amp;AI$6</f>
        <v>Tahun 2012</v>
      </c>
      <c r="AF33" s="160"/>
      <c r="AG33" s="161"/>
      <c r="AH33" s="87"/>
      <c r="AI33" s="87"/>
      <c r="AJ33" s="89"/>
      <c r="AK33" s="158"/>
      <c r="AL33" s="159" t="s">
        <v>60</v>
      </c>
      <c r="AM33" s="160" t="s">
        <v>61</v>
      </c>
      <c r="AN33" s="160"/>
      <c r="AO33" s="160"/>
      <c r="AP33" s="160"/>
      <c r="AQ33" s="160" t="str">
        <f>"Tahun "&amp;AU$6</f>
        <v>Tahun 2013</v>
      </c>
      <c r="AR33" s="160"/>
      <c r="AS33" s="161"/>
      <c r="AT33" s="87"/>
      <c r="AU33" s="87"/>
      <c r="AV33" s="89"/>
      <c r="AW33" s="158"/>
      <c r="AX33" s="159" t="s">
        <v>60</v>
      </c>
      <c r="AY33" s="160" t="s">
        <v>61</v>
      </c>
      <c r="AZ33" s="160"/>
      <c r="BA33" s="160"/>
      <c r="BB33" s="160"/>
      <c r="BC33" s="160" t="str">
        <f>"Tahun "&amp;BG$6</f>
        <v>Tahun 2014</v>
      </c>
      <c r="BD33" s="160"/>
      <c r="BE33" s="161"/>
      <c r="BF33" s="87"/>
      <c r="BG33" s="87"/>
      <c r="BH33" s="89"/>
      <c r="BI33" s="158"/>
      <c r="BJ33" s="159" t="s">
        <v>60</v>
      </c>
      <c r="BK33" s="160" t="s">
        <v>61</v>
      </c>
      <c r="BL33" s="160"/>
      <c r="BM33" s="160"/>
      <c r="BN33" s="160"/>
      <c r="BO33" s="160" t="str">
        <f>"Tahun "&amp;BS$6</f>
        <v>Tahun 2015</v>
      </c>
      <c r="BP33" s="160"/>
      <c r="BQ33" s="161"/>
      <c r="BR33" s="87"/>
      <c r="BS33" s="87"/>
      <c r="BT33" s="89"/>
      <c r="BU33" s="158"/>
      <c r="BV33" s="159" t="s">
        <v>60</v>
      </c>
      <c r="BW33" s="160" t="s">
        <v>61</v>
      </c>
      <c r="BX33" s="160"/>
      <c r="BY33" s="160"/>
      <c r="BZ33" s="160"/>
      <c r="CA33" s="160" t="str">
        <f>"Tahun "&amp;CE$6</f>
        <v>Tahun 2016</v>
      </c>
      <c r="CB33" s="160"/>
      <c r="CC33" s="161"/>
      <c r="CD33" s="87"/>
      <c r="CE33" s="87"/>
      <c r="CF33" s="89"/>
      <c r="CG33" s="158"/>
      <c r="CH33" s="159" t="s">
        <v>60</v>
      </c>
      <c r="CI33" s="160" t="s">
        <v>61</v>
      </c>
      <c r="CJ33" s="160"/>
      <c r="CK33" s="160"/>
      <c r="CL33" s="160"/>
      <c r="CM33" s="160" t="str">
        <f>"Tahun "&amp;CQ$6</f>
        <v>Tahun 2017</v>
      </c>
      <c r="CN33" s="160"/>
      <c r="CO33" s="161"/>
      <c r="CP33" s="87"/>
      <c r="CQ33" s="87"/>
      <c r="CR33" s="89"/>
      <c r="CS33" s="158"/>
      <c r="CT33" s="159" t="s">
        <v>60</v>
      </c>
      <c r="CU33" s="160" t="s">
        <v>61</v>
      </c>
      <c r="CV33" s="160"/>
      <c r="CW33" s="160"/>
      <c r="CX33" s="160"/>
      <c r="CY33" s="160" t="str">
        <f>"Tahun "&amp;DC$6</f>
        <v>Tahun 2018</v>
      </c>
      <c r="CZ33" s="160"/>
      <c r="DA33" s="161"/>
      <c r="DB33" s="87"/>
      <c r="DC33" s="87"/>
      <c r="DD33" s="89"/>
      <c r="DE33" s="158"/>
      <c r="DF33" s="159" t="s">
        <v>60</v>
      </c>
      <c r="DG33" s="160" t="s">
        <v>61</v>
      </c>
      <c r="DH33" s="160"/>
      <c r="DI33" s="160"/>
      <c r="DJ33" s="160"/>
      <c r="DK33" s="160" t="str">
        <f>"Tahun "&amp;DO$6</f>
        <v>Tahun 2019</v>
      </c>
      <c r="DL33" s="160"/>
      <c r="DM33" s="161"/>
      <c r="DN33" s="87"/>
      <c r="DO33" s="87"/>
      <c r="DP33" s="89"/>
      <c r="DQ33" s="158"/>
      <c r="DR33" s="159" t="s">
        <v>60</v>
      </c>
      <c r="DS33" s="160" t="s">
        <v>61</v>
      </c>
      <c r="DT33" s="160"/>
      <c r="DU33" s="160"/>
      <c r="DV33" s="160"/>
      <c r="DW33" s="160" t="str">
        <f>"Tahun "&amp;EA$6</f>
        <v>Tahun 2020</v>
      </c>
      <c r="DX33" s="160"/>
      <c r="DY33" s="161"/>
      <c r="DZ33" s="87"/>
      <c r="EA33" s="87"/>
      <c r="EB33" s="89"/>
      <c r="EC33" s="158"/>
      <c r="ED33" s="159" t="s">
        <v>60</v>
      </c>
      <c r="EE33" s="160" t="s">
        <v>61</v>
      </c>
      <c r="EF33" s="160"/>
      <c r="EG33" s="160"/>
      <c r="EH33" s="160"/>
      <c r="EI33" s="160" t="str">
        <f>"Tahun "&amp;EM$6</f>
        <v>Tahun 2021</v>
      </c>
      <c r="EJ33" s="160"/>
      <c r="EK33" s="161"/>
      <c r="EL33" s="87"/>
      <c r="EM33" s="87"/>
      <c r="EN33" s="89"/>
      <c r="EO33" s="158"/>
      <c r="EP33" s="159" t="s">
        <v>60</v>
      </c>
      <c r="EQ33" s="160" t="s">
        <v>61</v>
      </c>
      <c r="ER33" s="160"/>
      <c r="ES33" s="160"/>
      <c r="ET33" s="160"/>
      <c r="EU33" s="160" t="str">
        <f>"Tahun "&amp;EY$6</f>
        <v>Tahun 2022</v>
      </c>
      <c r="EV33" s="160"/>
      <c r="EW33" s="161"/>
      <c r="EX33" s="87"/>
      <c r="EY33" s="87"/>
      <c r="EZ33" s="89"/>
      <c r="FA33" s="158"/>
      <c r="FB33" s="159" t="s">
        <v>60</v>
      </c>
      <c r="FC33" s="160" t="s">
        <v>61</v>
      </c>
      <c r="FD33" s="160"/>
      <c r="FE33" s="160"/>
      <c r="FF33" s="160"/>
      <c r="FG33" s="160" t="str">
        <f>"Tahun "&amp;FK$6</f>
        <v>Tahun 2023</v>
      </c>
      <c r="FH33" s="160"/>
      <c r="FI33" s="161"/>
      <c r="FJ33" s="87"/>
      <c r="FK33" s="87"/>
      <c r="FL33" s="89"/>
      <c r="FM33" s="158"/>
      <c r="FN33" s="159" t="s">
        <v>60</v>
      </c>
      <c r="FO33" s="160" t="s">
        <v>61</v>
      </c>
      <c r="FP33" s="160"/>
      <c r="FQ33" s="160"/>
      <c r="FR33" s="160"/>
      <c r="FS33" s="160" t="str">
        <f>"Tahun "&amp;FW$6</f>
        <v>Tahun 2024</v>
      </c>
      <c r="FT33" s="160"/>
      <c r="FU33" s="161"/>
      <c r="FV33" s="87"/>
      <c r="FW33" s="87"/>
      <c r="FX33" s="89"/>
      <c r="FY33" s="158"/>
      <c r="FZ33" s="159" t="s">
        <v>60</v>
      </c>
      <c r="GA33" s="160" t="s">
        <v>61</v>
      </c>
      <c r="GB33" s="160"/>
      <c r="GC33" s="160"/>
      <c r="GD33" s="160"/>
      <c r="GE33" s="160" t="str">
        <f>"Tahun "&amp;GI$6</f>
        <v>Tahun 2025</v>
      </c>
      <c r="GF33" s="160"/>
      <c r="GG33" s="161"/>
      <c r="GH33" s="87"/>
      <c r="GI33" s="87"/>
      <c r="GJ33" s="89"/>
      <c r="GK33" s="158"/>
      <c r="GL33" s="159" t="s">
        <v>60</v>
      </c>
      <c r="GM33" s="160" t="s">
        <v>61</v>
      </c>
      <c r="GN33" s="160"/>
      <c r="GO33" s="160"/>
      <c r="GP33" s="160"/>
      <c r="GQ33" s="160" t="str">
        <f>"Tahun "&amp;GU$6</f>
        <v>Tahun 2026</v>
      </c>
      <c r="GR33" s="160"/>
      <c r="GS33" s="161"/>
      <c r="GT33" s="87"/>
      <c r="GU33" s="87"/>
      <c r="GV33" s="89"/>
      <c r="GW33" s="158"/>
      <c r="GX33" s="159" t="s">
        <v>60</v>
      </c>
      <c r="GY33" s="160" t="s">
        <v>61</v>
      </c>
      <c r="GZ33" s="160"/>
      <c r="HA33" s="160"/>
      <c r="HB33" s="160"/>
      <c r="HC33" s="160" t="str">
        <f>"Tahun "&amp;HG$6</f>
        <v>Tahun 2027</v>
      </c>
      <c r="HD33" s="160"/>
      <c r="HE33" s="161"/>
      <c r="HF33" s="87"/>
      <c r="HG33" s="87"/>
      <c r="HH33" s="89"/>
      <c r="HI33" s="87"/>
    </row>
    <row r="34" ht="15.75" customHeight="1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81"/>
      <c r="M34" s="74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81"/>
      <c r="Y34" s="74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81"/>
      <c r="AK34" s="74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81"/>
      <c r="AW34" s="74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81"/>
      <c r="BI34" s="74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81"/>
      <c r="BU34" s="74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81"/>
      <c r="CG34" s="74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81"/>
      <c r="CS34" s="74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81"/>
      <c r="DE34" s="74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81"/>
      <c r="DQ34" s="74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81"/>
      <c r="EC34" s="74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81"/>
      <c r="EO34" s="74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81"/>
      <c r="FA34" s="74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81"/>
      <c r="FM34" s="74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81"/>
      <c r="FY34" s="74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81"/>
      <c r="GK34" s="74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81"/>
      <c r="GW34" s="74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81"/>
      <c r="HI34" s="75"/>
    </row>
    <row r="35" ht="33.75" customHeight="1">
      <c r="A35" s="162" t="s">
        <v>62</v>
      </c>
      <c r="B35" s="163" t="s">
        <v>63</v>
      </c>
      <c r="C35" s="163" t="s">
        <v>64</v>
      </c>
      <c r="D35" s="163" t="s">
        <v>65</v>
      </c>
      <c r="E35" s="163" t="s">
        <v>66</v>
      </c>
      <c r="F35" s="164" t="s">
        <v>67</v>
      </c>
      <c r="G35" s="104"/>
      <c r="H35" s="165" t="s">
        <v>68</v>
      </c>
      <c r="I35" s="166"/>
      <c r="J35" s="166"/>
      <c r="K35" s="166"/>
      <c r="L35" s="107"/>
      <c r="M35" s="162" t="s">
        <v>62</v>
      </c>
      <c r="N35" s="163" t="s">
        <v>63</v>
      </c>
      <c r="O35" s="163" t="s">
        <v>64</v>
      </c>
      <c r="P35" s="163" t="s">
        <v>65</v>
      </c>
      <c r="Q35" s="163" t="s">
        <v>66</v>
      </c>
      <c r="R35" s="164" t="s">
        <v>67</v>
      </c>
      <c r="S35" s="104"/>
      <c r="T35" s="165" t="s">
        <v>68</v>
      </c>
      <c r="U35" s="166"/>
      <c r="V35" s="166"/>
      <c r="W35" s="166"/>
      <c r="X35" s="107"/>
      <c r="Y35" s="162" t="s">
        <v>62</v>
      </c>
      <c r="Z35" s="163" t="s">
        <v>63</v>
      </c>
      <c r="AA35" s="163" t="s">
        <v>64</v>
      </c>
      <c r="AB35" s="163" t="s">
        <v>65</v>
      </c>
      <c r="AC35" s="163" t="s">
        <v>66</v>
      </c>
      <c r="AD35" s="164" t="s">
        <v>67</v>
      </c>
      <c r="AE35" s="104"/>
      <c r="AF35" s="165" t="s">
        <v>68</v>
      </c>
      <c r="AG35" s="166"/>
      <c r="AH35" s="166"/>
      <c r="AI35" s="166"/>
      <c r="AJ35" s="107"/>
      <c r="AK35" s="162" t="s">
        <v>62</v>
      </c>
      <c r="AL35" s="163" t="s">
        <v>63</v>
      </c>
      <c r="AM35" s="163" t="s">
        <v>64</v>
      </c>
      <c r="AN35" s="163" t="s">
        <v>65</v>
      </c>
      <c r="AO35" s="163" t="s">
        <v>66</v>
      </c>
      <c r="AP35" s="164" t="s">
        <v>67</v>
      </c>
      <c r="AQ35" s="104"/>
      <c r="AR35" s="165" t="s">
        <v>68</v>
      </c>
      <c r="AS35" s="166"/>
      <c r="AT35" s="166"/>
      <c r="AU35" s="166"/>
      <c r="AV35" s="107"/>
      <c r="AW35" s="162" t="s">
        <v>62</v>
      </c>
      <c r="AX35" s="163" t="s">
        <v>63</v>
      </c>
      <c r="AY35" s="163" t="s">
        <v>64</v>
      </c>
      <c r="AZ35" s="163" t="s">
        <v>65</v>
      </c>
      <c r="BA35" s="163" t="s">
        <v>66</v>
      </c>
      <c r="BB35" s="164" t="s">
        <v>67</v>
      </c>
      <c r="BC35" s="104"/>
      <c r="BD35" s="165" t="s">
        <v>68</v>
      </c>
      <c r="BE35" s="166"/>
      <c r="BF35" s="166"/>
      <c r="BG35" s="166"/>
      <c r="BH35" s="107"/>
      <c r="BI35" s="162" t="s">
        <v>62</v>
      </c>
      <c r="BJ35" s="163" t="s">
        <v>63</v>
      </c>
      <c r="BK35" s="163" t="s">
        <v>64</v>
      </c>
      <c r="BL35" s="163" t="s">
        <v>65</v>
      </c>
      <c r="BM35" s="163" t="s">
        <v>66</v>
      </c>
      <c r="BN35" s="164" t="s">
        <v>67</v>
      </c>
      <c r="BO35" s="104"/>
      <c r="BP35" s="165" t="s">
        <v>68</v>
      </c>
      <c r="BQ35" s="166"/>
      <c r="BR35" s="166"/>
      <c r="BS35" s="166"/>
      <c r="BT35" s="107"/>
      <c r="BU35" s="162" t="s">
        <v>62</v>
      </c>
      <c r="BV35" s="163" t="s">
        <v>63</v>
      </c>
      <c r="BW35" s="163" t="s">
        <v>64</v>
      </c>
      <c r="BX35" s="163" t="s">
        <v>65</v>
      </c>
      <c r="BY35" s="163" t="s">
        <v>66</v>
      </c>
      <c r="BZ35" s="164" t="s">
        <v>67</v>
      </c>
      <c r="CA35" s="104"/>
      <c r="CB35" s="165" t="s">
        <v>68</v>
      </c>
      <c r="CC35" s="166"/>
      <c r="CD35" s="166"/>
      <c r="CE35" s="166"/>
      <c r="CF35" s="107"/>
      <c r="CG35" s="162" t="s">
        <v>62</v>
      </c>
      <c r="CH35" s="163" t="s">
        <v>63</v>
      </c>
      <c r="CI35" s="163" t="s">
        <v>64</v>
      </c>
      <c r="CJ35" s="163" t="s">
        <v>65</v>
      </c>
      <c r="CK35" s="163" t="s">
        <v>66</v>
      </c>
      <c r="CL35" s="164" t="s">
        <v>67</v>
      </c>
      <c r="CM35" s="104"/>
      <c r="CN35" s="165" t="s">
        <v>68</v>
      </c>
      <c r="CO35" s="166"/>
      <c r="CP35" s="166"/>
      <c r="CQ35" s="166"/>
      <c r="CR35" s="107"/>
      <c r="CS35" s="162" t="s">
        <v>62</v>
      </c>
      <c r="CT35" s="163" t="s">
        <v>63</v>
      </c>
      <c r="CU35" s="163" t="s">
        <v>64</v>
      </c>
      <c r="CV35" s="163" t="s">
        <v>65</v>
      </c>
      <c r="CW35" s="163" t="s">
        <v>66</v>
      </c>
      <c r="CX35" s="164" t="s">
        <v>67</v>
      </c>
      <c r="CY35" s="104"/>
      <c r="CZ35" s="165" t="s">
        <v>68</v>
      </c>
      <c r="DA35" s="166"/>
      <c r="DB35" s="166"/>
      <c r="DC35" s="166"/>
      <c r="DD35" s="107"/>
      <c r="DE35" s="162" t="s">
        <v>62</v>
      </c>
      <c r="DF35" s="163" t="s">
        <v>63</v>
      </c>
      <c r="DG35" s="163" t="s">
        <v>64</v>
      </c>
      <c r="DH35" s="163" t="s">
        <v>65</v>
      </c>
      <c r="DI35" s="163" t="s">
        <v>66</v>
      </c>
      <c r="DJ35" s="164" t="s">
        <v>67</v>
      </c>
      <c r="DK35" s="104"/>
      <c r="DL35" s="165" t="s">
        <v>68</v>
      </c>
      <c r="DM35" s="166"/>
      <c r="DN35" s="166"/>
      <c r="DO35" s="166"/>
      <c r="DP35" s="107"/>
      <c r="DQ35" s="162" t="s">
        <v>62</v>
      </c>
      <c r="DR35" s="163" t="s">
        <v>63</v>
      </c>
      <c r="DS35" s="163" t="s">
        <v>64</v>
      </c>
      <c r="DT35" s="163" t="s">
        <v>65</v>
      </c>
      <c r="DU35" s="163" t="s">
        <v>66</v>
      </c>
      <c r="DV35" s="164" t="s">
        <v>67</v>
      </c>
      <c r="DW35" s="104"/>
      <c r="DX35" s="165" t="s">
        <v>68</v>
      </c>
      <c r="DY35" s="166"/>
      <c r="DZ35" s="166"/>
      <c r="EA35" s="166"/>
      <c r="EB35" s="107"/>
      <c r="EC35" s="162" t="s">
        <v>62</v>
      </c>
      <c r="ED35" s="163" t="s">
        <v>63</v>
      </c>
      <c r="EE35" s="163" t="s">
        <v>64</v>
      </c>
      <c r="EF35" s="163" t="s">
        <v>65</v>
      </c>
      <c r="EG35" s="163" t="s">
        <v>66</v>
      </c>
      <c r="EH35" s="164" t="s">
        <v>67</v>
      </c>
      <c r="EI35" s="104"/>
      <c r="EJ35" s="165" t="s">
        <v>68</v>
      </c>
      <c r="EK35" s="166"/>
      <c r="EL35" s="166"/>
      <c r="EM35" s="166"/>
      <c r="EN35" s="107"/>
      <c r="EO35" s="162" t="s">
        <v>62</v>
      </c>
      <c r="EP35" s="163" t="s">
        <v>63</v>
      </c>
      <c r="EQ35" s="163" t="s">
        <v>64</v>
      </c>
      <c r="ER35" s="163" t="s">
        <v>65</v>
      </c>
      <c r="ES35" s="163" t="s">
        <v>66</v>
      </c>
      <c r="ET35" s="164" t="s">
        <v>67</v>
      </c>
      <c r="EU35" s="104"/>
      <c r="EV35" s="165" t="s">
        <v>68</v>
      </c>
      <c r="EW35" s="166"/>
      <c r="EX35" s="166"/>
      <c r="EY35" s="166"/>
      <c r="EZ35" s="107"/>
      <c r="FA35" s="162" t="s">
        <v>62</v>
      </c>
      <c r="FB35" s="163" t="s">
        <v>63</v>
      </c>
      <c r="FC35" s="163" t="s">
        <v>64</v>
      </c>
      <c r="FD35" s="163" t="s">
        <v>65</v>
      </c>
      <c r="FE35" s="163" t="s">
        <v>66</v>
      </c>
      <c r="FF35" s="164" t="s">
        <v>67</v>
      </c>
      <c r="FG35" s="104"/>
      <c r="FH35" s="165" t="s">
        <v>68</v>
      </c>
      <c r="FI35" s="166"/>
      <c r="FJ35" s="166"/>
      <c r="FK35" s="166"/>
      <c r="FL35" s="107"/>
      <c r="FM35" s="162" t="s">
        <v>62</v>
      </c>
      <c r="FN35" s="163" t="s">
        <v>63</v>
      </c>
      <c r="FO35" s="163" t="s">
        <v>64</v>
      </c>
      <c r="FP35" s="163" t="s">
        <v>65</v>
      </c>
      <c r="FQ35" s="163" t="s">
        <v>66</v>
      </c>
      <c r="FR35" s="164" t="s">
        <v>67</v>
      </c>
      <c r="FS35" s="104"/>
      <c r="FT35" s="165" t="s">
        <v>68</v>
      </c>
      <c r="FU35" s="166"/>
      <c r="FV35" s="166"/>
      <c r="FW35" s="166"/>
      <c r="FX35" s="107"/>
      <c r="FY35" s="162" t="s">
        <v>62</v>
      </c>
      <c r="FZ35" s="163" t="s">
        <v>63</v>
      </c>
      <c r="GA35" s="163" t="s">
        <v>64</v>
      </c>
      <c r="GB35" s="163" t="s">
        <v>65</v>
      </c>
      <c r="GC35" s="163" t="s">
        <v>66</v>
      </c>
      <c r="GD35" s="164" t="s">
        <v>67</v>
      </c>
      <c r="GE35" s="104"/>
      <c r="GF35" s="165" t="s">
        <v>68</v>
      </c>
      <c r="GG35" s="166"/>
      <c r="GH35" s="166"/>
      <c r="GI35" s="166"/>
      <c r="GJ35" s="107"/>
      <c r="GK35" s="162" t="s">
        <v>62</v>
      </c>
      <c r="GL35" s="163" t="s">
        <v>63</v>
      </c>
      <c r="GM35" s="163" t="s">
        <v>64</v>
      </c>
      <c r="GN35" s="163" t="s">
        <v>65</v>
      </c>
      <c r="GO35" s="163" t="s">
        <v>66</v>
      </c>
      <c r="GP35" s="164" t="s">
        <v>67</v>
      </c>
      <c r="GQ35" s="104"/>
      <c r="GR35" s="165" t="s">
        <v>68</v>
      </c>
      <c r="GS35" s="166"/>
      <c r="GT35" s="166"/>
      <c r="GU35" s="166"/>
      <c r="GV35" s="107"/>
      <c r="GW35" s="162" t="s">
        <v>62</v>
      </c>
      <c r="GX35" s="163" t="s">
        <v>63</v>
      </c>
      <c r="GY35" s="163" t="s">
        <v>64</v>
      </c>
      <c r="GZ35" s="163" t="s">
        <v>65</v>
      </c>
      <c r="HA35" s="163" t="s">
        <v>66</v>
      </c>
      <c r="HB35" s="164" t="s">
        <v>67</v>
      </c>
      <c r="HC35" s="104"/>
      <c r="HD35" s="165" t="s">
        <v>68</v>
      </c>
      <c r="HE35" s="166"/>
      <c r="HF35" s="166"/>
      <c r="HG35" s="166"/>
      <c r="HH35" s="107"/>
      <c r="HI35" s="106"/>
    </row>
    <row r="36" ht="66.0" customHeight="1">
      <c r="A36" s="108"/>
      <c r="B36" s="94"/>
      <c r="C36" s="94"/>
      <c r="D36" s="94"/>
      <c r="E36" s="94"/>
      <c r="F36" s="167" t="s">
        <v>69</v>
      </c>
      <c r="G36" s="167" t="s">
        <v>70</v>
      </c>
      <c r="H36" s="110"/>
      <c r="I36" s="166"/>
      <c r="J36" s="166"/>
      <c r="K36" s="166"/>
      <c r="L36" s="107"/>
      <c r="M36" s="108"/>
      <c r="N36" s="94"/>
      <c r="O36" s="94"/>
      <c r="P36" s="94"/>
      <c r="Q36" s="94"/>
      <c r="R36" s="167" t="s">
        <v>69</v>
      </c>
      <c r="S36" s="167" t="s">
        <v>70</v>
      </c>
      <c r="T36" s="110"/>
      <c r="U36" s="166"/>
      <c r="V36" s="166"/>
      <c r="W36" s="166"/>
      <c r="X36" s="107"/>
      <c r="Y36" s="108"/>
      <c r="Z36" s="94"/>
      <c r="AA36" s="94"/>
      <c r="AB36" s="94"/>
      <c r="AC36" s="94"/>
      <c r="AD36" s="167" t="s">
        <v>69</v>
      </c>
      <c r="AE36" s="167" t="s">
        <v>70</v>
      </c>
      <c r="AF36" s="110"/>
      <c r="AG36" s="166"/>
      <c r="AH36" s="166"/>
      <c r="AI36" s="166"/>
      <c r="AJ36" s="107"/>
      <c r="AK36" s="108"/>
      <c r="AL36" s="94"/>
      <c r="AM36" s="94"/>
      <c r="AN36" s="94"/>
      <c r="AO36" s="94"/>
      <c r="AP36" s="167" t="s">
        <v>69</v>
      </c>
      <c r="AQ36" s="167" t="s">
        <v>70</v>
      </c>
      <c r="AR36" s="110"/>
      <c r="AS36" s="166"/>
      <c r="AT36" s="166"/>
      <c r="AU36" s="166"/>
      <c r="AV36" s="107"/>
      <c r="AW36" s="108"/>
      <c r="AX36" s="94"/>
      <c r="AY36" s="94"/>
      <c r="AZ36" s="94"/>
      <c r="BA36" s="94"/>
      <c r="BB36" s="167" t="s">
        <v>69</v>
      </c>
      <c r="BC36" s="167" t="s">
        <v>70</v>
      </c>
      <c r="BD36" s="110"/>
      <c r="BE36" s="166"/>
      <c r="BF36" s="166"/>
      <c r="BG36" s="166"/>
      <c r="BH36" s="107"/>
      <c r="BI36" s="108"/>
      <c r="BJ36" s="94"/>
      <c r="BK36" s="94"/>
      <c r="BL36" s="94"/>
      <c r="BM36" s="94"/>
      <c r="BN36" s="167" t="s">
        <v>69</v>
      </c>
      <c r="BO36" s="167" t="s">
        <v>70</v>
      </c>
      <c r="BP36" s="110"/>
      <c r="BQ36" s="166"/>
      <c r="BR36" s="166"/>
      <c r="BS36" s="166"/>
      <c r="BT36" s="107"/>
      <c r="BU36" s="108"/>
      <c r="BV36" s="94"/>
      <c r="BW36" s="94"/>
      <c r="BX36" s="94"/>
      <c r="BY36" s="94"/>
      <c r="BZ36" s="167" t="s">
        <v>69</v>
      </c>
      <c r="CA36" s="167" t="s">
        <v>70</v>
      </c>
      <c r="CB36" s="110"/>
      <c r="CC36" s="166"/>
      <c r="CD36" s="166"/>
      <c r="CE36" s="166"/>
      <c r="CF36" s="107"/>
      <c r="CG36" s="108"/>
      <c r="CH36" s="94"/>
      <c r="CI36" s="94"/>
      <c r="CJ36" s="94"/>
      <c r="CK36" s="94"/>
      <c r="CL36" s="167" t="s">
        <v>69</v>
      </c>
      <c r="CM36" s="167" t="s">
        <v>70</v>
      </c>
      <c r="CN36" s="110"/>
      <c r="CO36" s="166"/>
      <c r="CP36" s="166"/>
      <c r="CQ36" s="166"/>
      <c r="CR36" s="107"/>
      <c r="CS36" s="108"/>
      <c r="CT36" s="94"/>
      <c r="CU36" s="94"/>
      <c r="CV36" s="94"/>
      <c r="CW36" s="94"/>
      <c r="CX36" s="167" t="s">
        <v>69</v>
      </c>
      <c r="CY36" s="167" t="s">
        <v>70</v>
      </c>
      <c r="CZ36" s="110"/>
      <c r="DA36" s="166"/>
      <c r="DB36" s="166"/>
      <c r="DC36" s="166"/>
      <c r="DD36" s="107"/>
      <c r="DE36" s="108"/>
      <c r="DF36" s="94"/>
      <c r="DG36" s="94"/>
      <c r="DH36" s="94"/>
      <c r="DI36" s="94"/>
      <c r="DJ36" s="167" t="s">
        <v>69</v>
      </c>
      <c r="DK36" s="167" t="s">
        <v>70</v>
      </c>
      <c r="DL36" s="110"/>
      <c r="DM36" s="166"/>
      <c r="DN36" s="166"/>
      <c r="DO36" s="166"/>
      <c r="DP36" s="107"/>
      <c r="DQ36" s="108"/>
      <c r="DR36" s="94"/>
      <c r="DS36" s="94"/>
      <c r="DT36" s="94"/>
      <c r="DU36" s="94"/>
      <c r="DV36" s="167" t="s">
        <v>69</v>
      </c>
      <c r="DW36" s="167" t="s">
        <v>70</v>
      </c>
      <c r="DX36" s="110"/>
      <c r="DY36" s="166"/>
      <c r="DZ36" s="166"/>
      <c r="EA36" s="166"/>
      <c r="EB36" s="107"/>
      <c r="EC36" s="108"/>
      <c r="ED36" s="94"/>
      <c r="EE36" s="94"/>
      <c r="EF36" s="94"/>
      <c r="EG36" s="94"/>
      <c r="EH36" s="167" t="s">
        <v>69</v>
      </c>
      <c r="EI36" s="167" t="s">
        <v>70</v>
      </c>
      <c r="EJ36" s="110"/>
      <c r="EK36" s="166"/>
      <c r="EL36" s="166"/>
      <c r="EM36" s="166"/>
      <c r="EN36" s="107"/>
      <c r="EO36" s="108"/>
      <c r="EP36" s="94"/>
      <c r="EQ36" s="94"/>
      <c r="ER36" s="94"/>
      <c r="ES36" s="94"/>
      <c r="ET36" s="167" t="s">
        <v>69</v>
      </c>
      <c r="EU36" s="167" t="s">
        <v>70</v>
      </c>
      <c r="EV36" s="110"/>
      <c r="EW36" s="166"/>
      <c r="EX36" s="166"/>
      <c r="EY36" s="166"/>
      <c r="EZ36" s="107"/>
      <c r="FA36" s="108"/>
      <c r="FB36" s="94"/>
      <c r="FC36" s="94"/>
      <c r="FD36" s="94"/>
      <c r="FE36" s="94"/>
      <c r="FF36" s="167" t="s">
        <v>69</v>
      </c>
      <c r="FG36" s="167" t="s">
        <v>70</v>
      </c>
      <c r="FH36" s="110"/>
      <c r="FI36" s="166"/>
      <c r="FJ36" s="166"/>
      <c r="FK36" s="166"/>
      <c r="FL36" s="107"/>
      <c r="FM36" s="108"/>
      <c r="FN36" s="94"/>
      <c r="FO36" s="94"/>
      <c r="FP36" s="94"/>
      <c r="FQ36" s="94"/>
      <c r="FR36" s="167" t="s">
        <v>69</v>
      </c>
      <c r="FS36" s="167" t="s">
        <v>70</v>
      </c>
      <c r="FT36" s="110"/>
      <c r="FU36" s="166"/>
      <c r="FV36" s="166"/>
      <c r="FW36" s="166"/>
      <c r="FX36" s="107"/>
      <c r="FY36" s="108"/>
      <c r="FZ36" s="94"/>
      <c r="GA36" s="94"/>
      <c r="GB36" s="94"/>
      <c r="GC36" s="94"/>
      <c r="GD36" s="167" t="s">
        <v>69</v>
      </c>
      <c r="GE36" s="167" t="s">
        <v>70</v>
      </c>
      <c r="GF36" s="110"/>
      <c r="GG36" s="166"/>
      <c r="GH36" s="166"/>
      <c r="GI36" s="166"/>
      <c r="GJ36" s="107"/>
      <c r="GK36" s="108"/>
      <c r="GL36" s="94"/>
      <c r="GM36" s="94"/>
      <c r="GN36" s="94"/>
      <c r="GO36" s="94"/>
      <c r="GP36" s="167" t="s">
        <v>69</v>
      </c>
      <c r="GQ36" s="167" t="s">
        <v>70</v>
      </c>
      <c r="GR36" s="110"/>
      <c r="GS36" s="166"/>
      <c r="GT36" s="166"/>
      <c r="GU36" s="166"/>
      <c r="GV36" s="107"/>
      <c r="GW36" s="108"/>
      <c r="GX36" s="94"/>
      <c r="GY36" s="94"/>
      <c r="GZ36" s="94"/>
      <c r="HA36" s="94"/>
      <c r="HB36" s="167" t="s">
        <v>69</v>
      </c>
      <c r="HC36" s="167" t="s">
        <v>70</v>
      </c>
      <c r="HD36" s="110"/>
      <c r="HE36" s="166"/>
      <c r="HF36" s="166"/>
      <c r="HG36" s="166"/>
      <c r="HH36" s="107"/>
      <c r="HI36" s="106"/>
    </row>
    <row r="37" ht="15.75" customHeight="1">
      <c r="A37" s="168">
        <v>-1.0</v>
      </c>
      <c r="B37" s="169">
        <v>-2.0</v>
      </c>
      <c r="C37" s="169">
        <v>-3.0</v>
      </c>
      <c r="D37" s="169">
        <v>-4.0</v>
      </c>
      <c r="E37" s="169">
        <v>-5.0</v>
      </c>
      <c r="F37" s="169">
        <v>-6.0</v>
      </c>
      <c r="G37" s="169">
        <v>-7.0</v>
      </c>
      <c r="H37" s="170">
        <v>-8.0</v>
      </c>
      <c r="I37" s="171"/>
      <c r="J37" s="171"/>
      <c r="K37" s="171"/>
      <c r="L37" s="115"/>
      <c r="M37" s="168">
        <v>-1.0</v>
      </c>
      <c r="N37" s="169">
        <v>-2.0</v>
      </c>
      <c r="O37" s="169">
        <v>-3.0</v>
      </c>
      <c r="P37" s="169">
        <v>-4.0</v>
      </c>
      <c r="Q37" s="169">
        <v>-5.0</v>
      </c>
      <c r="R37" s="169">
        <v>-6.0</v>
      </c>
      <c r="S37" s="169">
        <v>-7.0</v>
      </c>
      <c r="T37" s="170">
        <v>-8.0</v>
      </c>
      <c r="U37" s="171"/>
      <c r="V37" s="171"/>
      <c r="W37" s="171"/>
      <c r="X37" s="115"/>
      <c r="Y37" s="168">
        <v>-1.0</v>
      </c>
      <c r="Z37" s="169">
        <v>-2.0</v>
      </c>
      <c r="AA37" s="169">
        <v>-3.0</v>
      </c>
      <c r="AB37" s="169">
        <v>-4.0</v>
      </c>
      <c r="AC37" s="169">
        <v>-5.0</v>
      </c>
      <c r="AD37" s="169">
        <v>-6.0</v>
      </c>
      <c r="AE37" s="169">
        <v>-7.0</v>
      </c>
      <c r="AF37" s="170">
        <v>-8.0</v>
      </c>
      <c r="AG37" s="171"/>
      <c r="AH37" s="171"/>
      <c r="AI37" s="171"/>
      <c r="AJ37" s="115"/>
      <c r="AK37" s="168">
        <v>-1.0</v>
      </c>
      <c r="AL37" s="169">
        <v>-2.0</v>
      </c>
      <c r="AM37" s="169">
        <v>-3.0</v>
      </c>
      <c r="AN37" s="169">
        <v>-4.0</v>
      </c>
      <c r="AO37" s="169">
        <v>-5.0</v>
      </c>
      <c r="AP37" s="169">
        <v>-6.0</v>
      </c>
      <c r="AQ37" s="169">
        <v>-7.0</v>
      </c>
      <c r="AR37" s="170">
        <v>-8.0</v>
      </c>
      <c r="AS37" s="171"/>
      <c r="AT37" s="171"/>
      <c r="AU37" s="171"/>
      <c r="AV37" s="115"/>
      <c r="AW37" s="168">
        <v>-1.0</v>
      </c>
      <c r="AX37" s="169">
        <v>-2.0</v>
      </c>
      <c r="AY37" s="169">
        <v>-3.0</v>
      </c>
      <c r="AZ37" s="169">
        <v>-4.0</v>
      </c>
      <c r="BA37" s="169">
        <v>-5.0</v>
      </c>
      <c r="BB37" s="169">
        <v>-6.0</v>
      </c>
      <c r="BC37" s="169">
        <v>-7.0</v>
      </c>
      <c r="BD37" s="170">
        <v>-8.0</v>
      </c>
      <c r="BE37" s="171"/>
      <c r="BF37" s="171"/>
      <c r="BG37" s="171"/>
      <c r="BH37" s="115"/>
      <c r="BI37" s="168">
        <v>-1.0</v>
      </c>
      <c r="BJ37" s="169">
        <v>-2.0</v>
      </c>
      <c r="BK37" s="169">
        <v>-3.0</v>
      </c>
      <c r="BL37" s="169">
        <v>-4.0</v>
      </c>
      <c r="BM37" s="169">
        <v>-5.0</v>
      </c>
      <c r="BN37" s="169">
        <v>-6.0</v>
      </c>
      <c r="BO37" s="169">
        <v>-7.0</v>
      </c>
      <c r="BP37" s="170">
        <v>-8.0</v>
      </c>
      <c r="BQ37" s="171"/>
      <c r="BR37" s="171"/>
      <c r="BS37" s="171"/>
      <c r="BT37" s="115"/>
      <c r="BU37" s="168">
        <v>-1.0</v>
      </c>
      <c r="BV37" s="169">
        <v>-2.0</v>
      </c>
      <c r="BW37" s="169">
        <v>-3.0</v>
      </c>
      <c r="BX37" s="169">
        <v>-4.0</v>
      </c>
      <c r="BY37" s="169">
        <v>-5.0</v>
      </c>
      <c r="BZ37" s="169">
        <v>-6.0</v>
      </c>
      <c r="CA37" s="169">
        <v>-7.0</v>
      </c>
      <c r="CB37" s="170">
        <v>-8.0</v>
      </c>
      <c r="CC37" s="171"/>
      <c r="CD37" s="171"/>
      <c r="CE37" s="171"/>
      <c r="CF37" s="115"/>
      <c r="CG37" s="168">
        <v>-1.0</v>
      </c>
      <c r="CH37" s="169">
        <v>-2.0</v>
      </c>
      <c r="CI37" s="169">
        <v>-3.0</v>
      </c>
      <c r="CJ37" s="169">
        <v>-4.0</v>
      </c>
      <c r="CK37" s="169">
        <v>-5.0</v>
      </c>
      <c r="CL37" s="169">
        <v>-6.0</v>
      </c>
      <c r="CM37" s="169">
        <v>-7.0</v>
      </c>
      <c r="CN37" s="170">
        <v>-8.0</v>
      </c>
      <c r="CO37" s="171"/>
      <c r="CP37" s="171"/>
      <c r="CQ37" s="171"/>
      <c r="CR37" s="115"/>
      <c r="CS37" s="168">
        <v>-1.0</v>
      </c>
      <c r="CT37" s="169">
        <v>-2.0</v>
      </c>
      <c r="CU37" s="169">
        <v>-3.0</v>
      </c>
      <c r="CV37" s="169">
        <v>-4.0</v>
      </c>
      <c r="CW37" s="169">
        <v>-5.0</v>
      </c>
      <c r="CX37" s="169">
        <v>-6.0</v>
      </c>
      <c r="CY37" s="169">
        <v>-7.0</v>
      </c>
      <c r="CZ37" s="170">
        <v>-8.0</v>
      </c>
      <c r="DA37" s="171"/>
      <c r="DB37" s="171"/>
      <c r="DC37" s="171"/>
      <c r="DD37" s="115"/>
      <c r="DE37" s="168">
        <v>-1.0</v>
      </c>
      <c r="DF37" s="169">
        <v>-2.0</v>
      </c>
      <c r="DG37" s="169">
        <v>-3.0</v>
      </c>
      <c r="DH37" s="169">
        <v>-4.0</v>
      </c>
      <c r="DI37" s="169">
        <v>-5.0</v>
      </c>
      <c r="DJ37" s="169">
        <v>-6.0</v>
      </c>
      <c r="DK37" s="169">
        <v>-7.0</v>
      </c>
      <c r="DL37" s="170">
        <v>-8.0</v>
      </c>
      <c r="DM37" s="171"/>
      <c r="DN37" s="171"/>
      <c r="DO37" s="171"/>
      <c r="DP37" s="115"/>
      <c r="DQ37" s="168">
        <v>-1.0</v>
      </c>
      <c r="DR37" s="169">
        <v>-2.0</v>
      </c>
      <c r="DS37" s="169">
        <v>-3.0</v>
      </c>
      <c r="DT37" s="169">
        <v>-4.0</v>
      </c>
      <c r="DU37" s="169">
        <v>-5.0</v>
      </c>
      <c r="DV37" s="169">
        <v>-6.0</v>
      </c>
      <c r="DW37" s="169">
        <v>-7.0</v>
      </c>
      <c r="DX37" s="170">
        <v>-8.0</v>
      </c>
      <c r="DY37" s="171"/>
      <c r="DZ37" s="171"/>
      <c r="EA37" s="171"/>
      <c r="EB37" s="115"/>
      <c r="EC37" s="168">
        <v>-1.0</v>
      </c>
      <c r="ED37" s="169">
        <v>-2.0</v>
      </c>
      <c r="EE37" s="169">
        <v>-3.0</v>
      </c>
      <c r="EF37" s="169">
        <v>-4.0</v>
      </c>
      <c r="EG37" s="169">
        <v>-5.0</v>
      </c>
      <c r="EH37" s="169">
        <v>-6.0</v>
      </c>
      <c r="EI37" s="169">
        <v>-7.0</v>
      </c>
      <c r="EJ37" s="170">
        <v>-8.0</v>
      </c>
      <c r="EK37" s="171"/>
      <c r="EL37" s="171"/>
      <c r="EM37" s="171"/>
      <c r="EN37" s="115"/>
      <c r="EO37" s="168">
        <v>-1.0</v>
      </c>
      <c r="EP37" s="169">
        <v>-2.0</v>
      </c>
      <c r="EQ37" s="169">
        <v>-3.0</v>
      </c>
      <c r="ER37" s="169">
        <v>-4.0</v>
      </c>
      <c r="ES37" s="169">
        <v>-5.0</v>
      </c>
      <c r="ET37" s="169">
        <v>-6.0</v>
      </c>
      <c r="EU37" s="169">
        <v>-7.0</v>
      </c>
      <c r="EV37" s="170">
        <v>-8.0</v>
      </c>
      <c r="EW37" s="171"/>
      <c r="EX37" s="171"/>
      <c r="EY37" s="171"/>
      <c r="EZ37" s="115"/>
      <c r="FA37" s="168">
        <v>-1.0</v>
      </c>
      <c r="FB37" s="169">
        <v>-2.0</v>
      </c>
      <c r="FC37" s="169">
        <v>-3.0</v>
      </c>
      <c r="FD37" s="169">
        <v>-4.0</v>
      </c>
      <c r="FE37" s="169">
        <v>-5.0</v>
      </c>
      <c r="FF37" s="169">
        <v>-6.0</v>
      </c>
      <c r="FG37" s="169">
        <v>-7.0</v>
      </c>
      <c r="FH37" s="170">
        <v>-8.0</v>
      </c>
      <c r="FI37" s="171"/>
      <c r="FJ37" s="171"/>
      <c r="FK37" s="171"/>
      <c r="FL37" s="115"/>
      <c r="FM37" s="168">
        <v>-1.0</v>
      </c>
      <c r="FN37" s="169">
        <v>-2.0</v>
      </c>
      <c r="FO37" s="169">
        <v>-3.0</v>
      </c>
      <c r="FP37" s="169">
        <v>-4.0</v>
      </c>
      <c r="FQ37" s="169">
        <v>-5.0</v>
      </c>
      <c r="FR37" s="169">
        <v>-6.0</v>
      </c>
      <c r="FS37" s="169">
        <v>-7.0</v>
      </c>
      <c r="FT37" s="170">
        <v>-8.0</v>
      </c>
      <c r="FU37" s="171"/>
      <c r="FV37" s="171"/>
      <c r="FW37" s="171"/>
      <c r="FX37" s="115"/>
      <c r="FY37" s="168">
        <v>-1.0</v>
      </c>
      <c r="FZ37" s="169">
        <v>-2.0</v>
      </c>
      <c r="GA37" s="169">
        <v>-3.0</v>
      </c>
      <c r="GB37" s="169">
        <v>-4.0</v>
      </c>
      <c r="GC37" s="169">
        <v>-5.0</v>
      </c>
      <c r="GD37" s="169">
        <v>-6.0</v>
      </c>
      <c r="GE37" s="169">
        <v>-7.0</v>
      </c>
      <c r="GF37" s="170">
        <v>-8.0</v>
      </c>
      <c r="GG37" s="171"/>
      <c r="GH37" s="171"/>
      <c r="GI37" s="171"/>
      <c r="GJ37" s="115"/>
      <c r="GK37" s="168">
        <v>-1.0</v>
      </c>
      <c r="GL37" s="169">
        <v>-2.0</v>
      </c>
      <c r="GM37" s="169">
        <v>-3.0</v>
      </c>
      <c r="GN37" s="169">
        <v>-4.0</v>
      </c>
      <c r="GO37" s="169">
        <v>-5.0</v>
      </c>
      <c r="GP37" s="169">
        <v>-6.0</v>
      </c>
      <c r="GQ37" s="169">
        <v>-7.0</v>
      </c>
      <c r="GR37" s="170">
        <v>-8.0</v>
      </c>
      <c r="GS37" s="171"/>
      <c r="GT37" s="171"/>
      <c r="GU37" s="171"/>
      <c r="GV37" s="115"/>
      <c r="GW37" s="168">
        <v>-1.0</v>
      </c>
      <c r="GX37" s="169">
        <v>-2.0</v>
      </c>
      <c r="GY37" s="169">
        <v>-3.0</v>
      </c>
      <c r="GZ37" s="169">
        <v>-4.0</v>
      </c>
      <c r="HA37" s="169">
        <v>-5.0</v>
      </c>
      <c r="HB37" s="169">
        <v>-6.0</v>
      </c>
      <c r="HC37" s="169">
        <v>-7.0</v>
      </c>
      <c r="HD37" s="170">
        <v>-8.0</v>
      </c>
      <c r="HE37" s="171"/>
      <c r="HF37" s="171"/>
      <c r="HG37" s="171"/>
      <c r="HH37" s="115"/>
      <c r="HI37" s="114"/>
    </row>
    <row r="38" ht="15.75" customHeight="1">
      <c r="A38" s="172"/>
      <c r="B38" s="173"/>
      <c r="C38" s="174"/>
      <c r="D38" s="174"/>
      <c r="E38" s="174"/>
      <c r="F38" s="174"/>
      <c r="G38" s="174"/>
      <c r="H38" s="175"/>
      <c r="I38" s="176"/>
      <c r="J38" s="176"/>
      <c r="K38" s="176"/>
      <c r="L38" s="81"/>
      <c r="M38" s="172"/>
      <c r="N38" s="173"/>
      <c r="O38" s="174"/>
      <c r="P38" s="174"/>
      <c r="Q38" s="174"/>
      <c r="R38" s="174"/>
      <c r="S38" s="174"/>
      <c r="T38" s="175"/>
      <c r="U38" s="176"/>
      <c r="V38" s="176"/>
      <c r="W38" s="176"/>
      <c r="X38" s="81"/>
      <c r="Y38" s="172"/>
      <c r="Z38" s="173"/>
      <c r="AA38" s="174"/>
      <c r="AB38" s="174"/>
      <c r="AC38" s="174"/>
      <c r="AD38" s="174"/>
      <c r="AE38" s="174"/>
      <c r="AF38" s="175"/>
      <c r="AG38" s="176"/>
      <c r="AH38" s="176"/>
      <c r="AI38" s="176"/>
      <c r="AJ38" s="81"/>
      <c r="AK38" s="172"/>
      <c r="AL38" s="173"/>
      <c r="AM38" s="174"/>
      <c r="AN38" s="174"/>
      <c r="AO38" s="174"/>
      <c r="AP38" s="174"/>
      <c r="AQ38" s="174"/>
      <c r="AR38" s="175"/>
      <c r="AS38" s="176"/>
      <c r="AT38" s="176"/>
      <c r="AU38" s="176"/>
      <c r="AV38" s="81"/>
      <c r="AW38" s="172"/>
      <c r="AX38" s="173"/>
      <c r="AY38" s="174"/>
      <c r="AZ38" s="174"/>
      <c r="BA38" s="174"/>
      <c r="BB38" s="174"/>
      <c r="BC38" s="174"/>
      <c r="BD38" s="175"/>
      <c r="BE38" s="176"/>
      <c r="BF38" s="176"/>
      <c r="BG38" s="176"/>
      <c r="BH38" s="81"/>
      <c r="BI38" s="172"/>
      <c r="BJ38" s="173"/>
      <c r="BK38" s="174"/>
      <c r="BL38" s="174"/>
      <c r="BM38" s="174"/>
      <c r="BN38" s="174"/>
      <c r="BO38" s="174"/>
      <c r="BP38" s="175"/>
      <c r="BQ38" s="176"/>
      <c r="BR38" s="176"/>
      <c r="BS38" s="176"/>
      <c r="BT38" s="81"/>
      <c r="BU38" s="172"/>
      <c r="BV38" s="173"/>
      <c r="BW38" s="174"/>
      <c r="BX38" s="174"/>
      <c r="BY38" s="174"/>
      <c r="BZ38" s="174"/>
      <c r="CA38" s="174"/>
      <c r="CB38" s="175"/>
      <c r="CC38" s="176"/>
      <c r="CD38" s="176"/>
      <c r="CE38" s="176"/>
      <c r="CF38" s="81"/>
      <c r="CG38" s="172"/>
      <c r="CH38" s="173"/>
      <c r="CI38" s="174"/>
      <c r="CJ38" s="174"/>
      <c r="CK38" s="174"/>
      <c r="CL38" s="174"/>
      <c r="CM38" s="174"/>
      <c r="CN38" s="175"/>
      <c r="CO38" s="176"/>
      <c r="CP38" s="176"/>
      <c r="CQ38" s="176"/>
      <c r="CR38" s="81"/>
      <c r="CS38" s="172"/>
      <c r="CT38" s="173"/>
      <c r="CU38" s="174"/>
      <c r="CV38" s="174"/>
      <c r="CW38" s="174"/>
      <c r="CX38" s="174"/>
      <c r="CY38" s="174"/>
      <c r="CZ38" s="175"/>
      <c r="DA38" s="176"/>
      <c r="DB38" s="176"/>
      <c r="DC38" s="176"/>
      <c r="DD38" s="81"/>
      <c r="DE38" s="172"/>
      <c r="DF38" s="173"/>
      <c r="DG38" s="174"/>
      <c r="DH38" s="174"/>
      <c r="DI38" s="174"/>
      <c r="DJ38" s="174"/>
      <c r="DK38" s="174"/>
      <c r="DL38" s="175"/>
      <c r="DM38" s="176"/>
      <c r="DN38" s="176"/>
      <c r="DO38" s="176"/>
      <c r="DP38" s="81"/>
      <c r="DQ38" s="172"/>
      <c r="DR38" s="173"/>
      <c r="DS38" s="174"/>
      <c r="DT38" s="174"/>
      <c r="DU38" s="174"/>
      <c r="DV38" s="174"/>
      <c r="DW38" s="174"/>
      <c r="DX38" s="175"/>
      <c r="DY38" s="176"/>
      <c r="DZ38" s="176"/>
      <c r="EA38" s="176"/>
      <c r="EB38" s="81"/>
      <c r="EC38" s="172"/>
      <c r="ED38" s="173"/>
      <c r="EE38" s="174"/>
      <c r="EF38" s="174"/>
      <c r="EG38" s="174"/>
      <c r="EH38" s="174"/>
      <c r="EI38" s="174"/>
      <c r="EJ38" s="175"/>
      <c r="EK38" s="176"/>
      <c r="EL38" s="176"/>
      <c r="EM38" s="176"/>
      <c r="EN38" s="81"/>
      <c r="EO38" s="172"/>
      <c r="EP38" s="173"/>
      <c r="EQ38" s="174"/>
      <c r="ER38" s="174"/>
      <c r="ES38" s="174"/>
      <c r="ET38" s="174"/>
      <c r="EU38" s="174"/>
      <c r="EV38" s="175"/>
      <c r="EW38" s="176"/>
      <c r="EX38" s="176"/>
      <c r="EY38" s="176"/>
      <c r="EZ38" s="81"/>
      <c r="FA38" s="172"/>
      <c r="FB38" s="173"/>
      <c r="FC38" s="174"/>
      <c r="FD38" s="174"/>
      <c r="FE38" s="174"/>
      <c r="FF38" s="174"/>
      <c r="FG38" s="174"/>
      <c r="FH38" s="175"/>
      <c r="FI38" s="176"/>
      <c r="FJ38" s="176"/>
      <c r="FK38" s="176"/>
      <c r="FL38" s="81"/>
      <c r="FM38" s="172"/>
      <c r="FN38" s="173"/>
      <c r="FO38" s="174"/>
      <c r="FP38" s="174"/>
      <c r="FQ38" s="174"/>
      <c r="FR38" s="174"/>
      <c r="FS38" s="174"/>
      <c r="FT38" s="175"/>
      <c r="FU38" s="176"/>
      <c r="FV38" s="176"/>
      <c r="FW38" s="176"/>
      <c r="FX38" s="81"/>
      <c r="FY38" s="172"/>
      <c r="FZ38" s="173"/>
      <c r="GA38" s="174"/>
      <c r="GB38" s="174"/>
      <c r="GC38" s="174"/>
      <c r="GD38" s="174"/>
      <c r="GE38" s="174"/>
      <c r="GF38" s="175"/>
      <c r="GG38" s="176"/>
      <c r="GH38" s="176"/>
      <c r="GI38" s="176"/>
      <c r="GJ38" s="81"/>
      <c r="GK38" s="172"/>
      <c r="GL38" s="173"/>
      <c r="GM38" s="174"/>
      <c r="GN38" s="174"/>
      <c r="GO38" s="174"/>
      <c r="GP38" s="174"/>
      <c r="GQ38" s="174"/>
      <c r="GR38" s="175"/>
      <c r="GS38" s="176"/>
      <c r="GT38" s="176"/>
      <c r="GU38" s="176"/>
      <c r="GV38" s="81"/>
      <c r="GW38" s="172"/>
      <c r="GX38" s="173"/>
      <c r="GY38" s="174"/>
      <c r="GZ38" s="174"/>
      <c r="HA38" s="174"/>
      <c r="HB38" s="174"/>
      <c r="HC38" s="174"/>
      <c r="HD38" s="175"/>
      <c r="HE38" s="176"/>
      <c r="HF38" s="176"/>
      <c r="HG38" s="176"/>
      <c r="HH38" s="81"/>
      <c r="HI38" s="75"/>
    </row>
    <row r="39" ht="15.75" customHeight="1">
      <c r="A39" s="177">
        <v>1.0</v>
      </c>
      <c r="B39" s="178" t="s">
        <v>71</v>
      </c>
      <c r="C39" s="179"/>
      <c r="D39" s="180">
        <f t="shared" ref="D39:D44" si="127">1.16180660667508/100</f>
        <v>0.01161806607</v>
      </c>
      <c r="E39" s="179">
        <f t="shared" ref="E39:E44" si="128">IFERROR(+D39*C39,"0")</f>
        <v>0</v>
      </c>
      <c r="F39" s="180">
        <v>0.16716266605705102</v>
      </c>
      <c r="G39" s="179">
        <f t="shared" ref="G39:G44" si="129">IFERROR(+E39*F39,"")</f>
        <v>0</v>
      </c>
      <c r="H39" s="181">
        <f t="shared" ref="H39:H44" si="130">IFERROR(+(IF(E39="","0",E39))-(IF(G39="","0",G39)),"")</f>
        <v>0</v>
      </c>
      <c r="I39" s="176"/>
      <c r="J39" s="176"/>
      <c r="K39" s="176"/>
      <c r="L39" s="81"/>
      <c r="M39" s="177">
        <v>1.0</v>
      </c>
      <c r="N39" s="178" t="s">
        <v>71</v>
      </c>
      <c r="O39" s="179"/>
      <c r="P39" s="180">
        <f t="shared" ref="P39:P44" si="131">1.16180660667508/100</f>
        <v>0.01161806607</v>
      </c>
      <c r="Q39" s="179">
        <f t="shared" ref="Q39:Q44" si="132">IFERROR(+P39*O39,"0")</f>
        <v>0</v>
      </c>
      <c r="R39" s="180">
        <v>0.16716266605705102</v>
      </c>
      <c r="S39" s="179">
        <f t="shared" ref="S39:S44" si="133">IFERROR(+Q39*R39,"")</f>
        <v>0</v>
      </c>
      <c r="T39" s="181">
        <f t="shared" ref="T39:T44" si="134">IFERROR(+(IF(Q39="","0",Q39))-(IF(S39="","0",S39)),"")</f>
        <v>0</v>
      </c>
      <c r="U39" s="176"/>
      <c r="V39" s="176"/>
      <c r="W39" s="176"/>
      <c r="X39" s="81"/>
      <c r="Y39" s="177">
        <v>1.0</v>
      </c>
      <c r="Z39" s="178" t="s">
        <v>71</v>
      </c>
      <c r="AA39" s="179"/>
      <c r="AB39" s="180">
        <f t="shared" ref="AB39:AB44" si="135">1.16180660667508/100</f>
        <v>0.01161806607</v>
      </c>
      <c r="AC39" s="179">
        <f t="shared" ref="AC39:AC44" si="136">IFERROR(+AB39*AA39,"0")</f>
        <v>0</v>
      </c>
      <c r="AD39" s="180">
        <v>0.16716266605705102</v>
      </c>
      <c r="AE39" s="179">
        <f t="shared" ref="AE39:AE44" si="137">IFERROR(+AC39*AD39,"")</f>
        <v>0</v>
      </c>
      <c r="AF39" s="181">
        <f t="shared" ref="AF39:AF44" si="138">IFERROR(+(IF(AC39="","0",AC39))-(IF(AE39="","0",AE39)),"")</f>
        <v>0</v>
      </c>
      <c r="AG39" s="176"/>
      <c r="AH39" s="176"/>
      <c r="AI39" s="176"/>
      <c r="AJ39" s="81"/>
      <c r="AK39" s="177">
        <v>1.0</v>
      </c>
      <c r="AL39" s="178" t="s">
        <v>71</v>
      </c>
      <c r="AM39" s="179"/>
      <c r="AN39" s="180">
        <f t="shared" ref="AN39:AN44" si="139">1.16180660667508/100</f>
        <v>0.01161806607</v>
      </c>
      <c r="AO39" s="179">
        <f t="shared" ref="AO39:AO44" si="140">IFERROR(+AN39*AM39,"0")</f>
        <v>0</v>
      </c>
      <c r="AP39" s="180">
        <v>0.16716266605705102</v>
      </c>
      <c r="AQ39" s="179">
        <f t="shared" ref="AQ39:AQ44" si="141">IFERROR(+AO39*AP39,"")</f>
        <v>0</v>
      </c>
      <c r="AR39" s="181">
        <f t="shared" ref="AR39:AR44" si="142">IFERROR(+(IF(AO39="","0",AO39))-(IF(AQ39="","0",AQ39)),"")</f>
        <v>0</v>
      </c>
      <c r="AS39" s="176"/>
      <c r="AT39" s="176"/>
      <c r="AU39" s="176"/>
      <c r="AV39" s="81"/>
      <c r="AW39" s="177">
        <v>1.0</v>
      </c>
      <c r="AX39" s="178" t="s">
        <v>71</v>
      </c>
      <c r="AY39" s="179"/>
      <c r="AZ39" s="180">
        <f t="shared" ref="AZ39:AZ44" si="143">1.16180660667508/100</f>
        <v>0.01161806607</v>
      </c>
      <c r="BA39" s="179">
        <f t="shared" ref="BA39:BA44" si="144">IFERROR(+AZ39*AY39,"0")</f>
        <v>0</v>
      </c>
      <c r="BB39" s="180">
        <v>0.16716266605705102</v>
      </c>
      <c r="BC39" s="179">
        <f t="shared" ref="BC39:BC44" si="145">IFERROR(+BA39*BB39,"")</f>
        <v>0</v>
      </c>
      <c r="BD39" s="181">
        <f t="shared" ref="BD39:BD44" si="146">IFERROR(+(IF(BA39="","0",BA39))-(IF(BC39="","0",BC39)),"")</f>
        <v>0</v>
      </c>
      <c r="BE39" s="176"/>
      <c r="BF39" s="176"/>
      <c r="BG39" s="176"/>
      <c r="BH39" s="81"/>
      <c r="BI39" s="177">
        <v>1.0</v>
      </c>
      <c r="BJ39" s="178" t="s">
        <v>71</v>
      </c>
      <c r="BK39" s="179"/>
      <c r="BL39" s="180">
        <f t="shared" ref="BL39:BL44" si="147">1.16180660667508/100</f>
        <v>0.01161806607</v>
      </c>
      <c r="BM39" s="179">
        <f t="shared" ref="BM39:BM44" si="148">IFERROR(+BL39*BK39,"0")</f>
        <v>0</v>
      </c>
      <c r="BN39" s="180">
        <v>0.16716266605705102</v>
      </c>
      <c r="BO39" s="179">
        <f t="shared" ref="BO39:BO44" si="149">IFERROR(+BM39*BN39,"")</f>
        <v>0</v>
      </c>
      <c r="BP39" s="181">
        <f t="shared" ref="BP39:BP44" si="150">IFERROR(+(IF(BM39="","0",BM39))-(IF(BO39="","0",BO39)),"")</f>
        <v>0</v>
      </c>
      <c r="BQ39" s="176"/>
      <c r="BR39" s="176"/>
      <c r="BS39" s="176"/>
      <c r="BT39" s="81"/>
      <c r="BU39" s="177">
        <v>1.0</v>
      </c>
      <c r="BV39" s="178" t="s">
        <v>71</v>
      </c>
      <c r="BW39" s="179"/>
      <c r="BX39" s="180">
        <f t="shared" ref="BX39:BX44" si="151">1.16180660667508/100</f>
        <v>0.01161806607</v>
      </c>
      <c r="BY39" s="179">
        <f t="shared" ref="BY39:BY44" si="152">IFERROR(+BX39*BW39,"0")</f>
        <v>0</v>
      </c>
      <c r="BZ39" s="180">
        <v>0.16716266605705102</v>
      </c>
      <c r="CA39" s="179">
        <f t="shared" ref="CA39:CA44" si="153">IFERROR(+BY39*BZ39,"")</f>
        <v>0</v>
      </c>
      <c r="CB39" s="181">
        <f t="shared" ref="CB39:CB44" si="154">IFERROR(+(IF(BY39="","0",BY39))-(IF(CA39="","0",CA39)),"")</f>
        <v>0</v>
      </c>
      <c r="CC39" s="176"/>
      <c r="CD39" s="176"/>
      <c r="CE39" s="176"/>
      <c r="CF39" s="81"/>
      <c r="CG39" s="177">
        <v>1.0</v>
      </c>
      <c r="CH39" s="178" t="s">
        <v>71</v>
      </c>
      <c r="CI39" s="179"/>
      <c r="CJ39" s="180">
        <f t="shared" ref="CJ39:CJ44" si="155">1.16180660667508/100</f>
        <v>0.01161806607</v>
      </c>
      <c r="CK39" s="179">
        <f t="shared" ref="CK39:CK44" si="156">IFERROR(+CJ39*CI39,"0")</f>
        <v>0</v>
      </c>
      <c r="CL39" s="180">
        <v>0.16716266605705102</v>
      </c>
      <c r="CM39" s="179">
        <f t="shared" ref="CM39:CM44" si="157">IFERROR(+CK39*CL39,"")</f>
        <v>0</v>
      </c>
      <c r="CN39" s="181">
        <f t="shared" ref="CN39:CN44" si="158">IFERROR(+(IF(CK39="","0",CK39))-(IF(CM39="","0",CM39)),"")</f>
        <v>0</v>
      </c>
      <c r="CO39" s="176"/>
      <c r="CP39" s="176"/>
      <c r="CQ39" s="176"/>
      <c r="CR39" s="81"/>
      <c r="CS39" s="177">
        <v>1.0</v>
      </c>
      <c r="CT39" s="178" t="s">
        <v>71</v>
      </c>
      <c r="CU39" s="179"/>
      <c r="CV39" s="180">
        <f t="shared" ref="CV39:CV44" si="159">1.16180660667508/100</f>
        <v>0.01161806607</v>
      </c>
      <c r="CW39" s="179">
        <f t="shared" ref="CW39:CW44" si="160">IFERROR(+CV39*CU39,"0")</f>
        <v>0</v>
      </c>
      <c r="CX39" s="180">
        <v>0.16716266605705102</v>
      </c>
      <c r="CY39" s="179">
        <f t="shared" ref="CY39:CY44" si="161">IFERROR(+CW39*CX39,"")</f>
        <v>0</v>
      </c>
      <c r="CZ39" s="181">
        <f t="shared" ref="CZ39:CZ44" si="162">IFERROR(+(IF(CW39="","0",CW39))-(IF(CY39="","0",CY39)),"")</f>
        <v>0</v>
      </c>
      <c r="DA39" s="176"/>
      <c r="DB39" s="176"/>
      <c r="DC39" s="176"/>
      <c r="DD39" s="81"/>
      <c r="DE39" s="177">
        <v>1.0</v>
      </c>
      <c r="DF39" s="178" t="s">
        <v>71</v>
      </c>
      <c r="DG39" s="179">
        <f>'Hitung Output'!BG60</f>
        <v>444222.0873</v>
      </c>
      <c r="DH39" s="180">
        <f t="shared" ref="DH39:DH44" si="163">1.16180660667508/100</f>
        <v>0.01161806607</v>
      </c>
      <c r="DI39" s="182">
        <f t="shared" ref="DI39:DI44" si="164">IFERROR(+DH39*DG39,"0")</f>
        <v>5161.001559</v>
      </c>
      <c r="DJ39" s="180">
        <v>0.16716266605705102</v>
      </c>
      <c r="DK39" s="179">
        <f t="shared" ref="DK39:DK44" si="165">IFERROR(+DI39*DJ39,"")</f>
        <v>862.7267801</v>
      </c>
      <c r="DL39" s="181">
        <f t="shared" ref="DL39:DL44" si="166">IFERROR(+(IF(DI39="","0",DI39))-(IF(DK39="","0",DK39)),"")</f>
        <v>4298.274779</v>
      </c>
      <c r="DM39" s="176"/>
      <c r="DN39" s="176"/>
      <c r="DO39" s="176"/>
      <c r="DP39" s="81"/>
      <c r="DQ39" s="177">
        <v>1.0</v>
      </c>
      <c r="DR39" s="178" t="s">
        <v>71</v>
      </c>
      <c r="DS39" s="182">
        <f>'Hitung Output'!BL60</f>
        <v>428705.5392</v>
      </c>
      <c r="DT39" s="180">
        <f t="shared" ref="DT39:DT44" si="167">1.16180660667508/100</f>
        <v>0.01161806607</v>
      </c>
      <c r="DU39" s="182">
        <f t="shared" ref="DU39:DU44" si="168">IFERROR(+DT39*DS39,"0")</f>
        <v>4980.729277</v>
      </c>
      <c r="DV39" s="180">
        <v>0.16716266605705102</v>
      </c>
      <c r="DW39" s="179">
        <f t="shared" ref="DW39:DW44" si="169">IFERROR(+DU39*DV39,"")</f>
        <v>832.5919849</v>
      </c>
      <c r="DX39" s="181">
        <f t="shared" ref="DX39:DX44" si="170">IFERROR(+(IF(DU39="","0",DU39))-(IF(DW39="","0",DW39)),"")</f>
        <v>4148.137292</v>
      </c>
      <c r="DY39" s="176"/>
      <c r="DZ39" s="176"/>
      <c r="EA39" s="176"/>
      <c r="EB39" s="81"/>
      <c r="EC39" s="177">
        <v>1.0</v>
      </c>
      <c r="ED39" s="178" t="s">
        <v>71</v>
      </c>
      <c r="EE39" s="180">
        <f>'Hitung Output'!BQ60</f>
        <v>378779.0146</v>
      </c>
      <c r="EF39" s="180">
        <f t="shared" ref="EF39:EF44" si="171">1.16180660667508/100</f>
        <v>0.01161806607</v>
      </c>
      <c r="EG39" s="183">
        <f t="shared" ref="EG39:EG44" si="172">IFERROR(+EF39*EE39,"0")</f>
        <v>4400.679616</v>
      </c>
      <c r="EH39" s="180">
        <v>0.16716266605705102</v>
      </c>
      <c r="EI39" s="179">
        <f t="shared" ref="EI39:EI44" si="173">IFERROR(+EG39*EH39,"")</f>
        <v>735.629337</v>
      </c>
      <c r="EJ39" s="181">
        <f t="shared" ref="EJ39:EJ44" si="174">IFERROR(+(IF(EG39="","0",EG39))-(IF(EI39="","0",EI39)),"")</f>
        <v>3665.050279</v>
      </c>
      <c r="EK39" s="176"/>
      <c r="EL39" s="176"/>
      <c r="EM39" s="176"/>
      <c r="EN39" s="81"/>
      <c r="EO39" s="177">
        <v>1.0</v>
      </c>
      <c r="EP39" s="178" t="s">
        <v>71</v>
      </c>
      <c r="EQ39" s="180">
        <f>'Hitung Output'!BV60</f>
        <v>386117.0261</v>
      </c>
      <c r="ER39" s="180">
        <f t="shared" ref="ER39:ER44" si="175">1.16180660667508/100</f>
        <v>0.01161806607</v>
      </c>
      <c r="ES39" s="182">
        <f t="shared" ref="ES39:ES44" si="176">IFERROR(+ER39*EQ39,"0")</f>
        <v>4485.933118</v>
      </c>
      <c r="ET39" s="180">
        <v>0.16716266605705102</v>
      </c>
      <c r="EU39" s="179">
        <f t="shared" ref="EU39:EU44" si="177">IFERROR(+ES39*ET39,"")</f>
        <v>749.8805398</v>
      </c>
      <c r="EV39" s="181">
        <f t="shared" ref="EV39:EV44" si="178">IFERROR(+(IF(ES39="","0",ES39))-(IF(EU39="","0",EU39)),"")</f>
        <v>3736.052579</v>
      </c>
      <c r="EW39" s="176"/>
      <c r="EX39" s="176"/>
      <c r="EY39" s="176"/>
      <c r="EZ39" s="81"/>
      <c r="FA39" s="177">
        <v>1.0</v>
      </c>
      <c r="FB39" s="178" t="s">
        <v>71</v>
      </c>
      <c r="FC39" s="179">
        <f>'Hitung Output'!CA60</f>
        <v>361134.6164</v>
      </c>
      <c r="FD39" s="180">
        <f t="shared" ref="FD39:FD44" si="179">1.16180660667508/100</f>
        <v>0.01161806607</v>
      </c>
      <c r="FE39" s="184">
        <f t="shared" ref="FE39:FE44" si="180">IFERROR(+FD39*FC39,"0")</f>
        <v>4195.685833</v>
      </c>
      <c r="FF39" s="180">
        <v>0.16716266605705102</v>
      </c>
      <c r="FG39" s="179">
        <f t="shared" ref="FG39:FG44" si="181">IFERROR(+FE39*FF39,"")</f>
        <v>701.3620297</v>
      </c>
      <c r="FH39" s="181">
        <f t="shared" ref="FH39:FH44" si="182">IFERROR(+(IF(FE39="","0",FE39))-(IF(FG39="","0",FG39)),"")</f>
        <v>3494.323803</v>
      </c>
      <c r="FI39" s="176"/>
      <c r="FJ39" s="176"/>
      <c r="FK39" s="176"/>
      <c r="FL39" s="81"/>
      <c r="FM39" s="177">
        <v>1.0</v>
      </c>
      <c r="FN39" s="178" t="s">
        <v>71</v>
      </c>
      <c r="FO39" s="179">
        <f>'Hitung Output'!CF60</f>
        <v>330729.0904</v>
      </c>
      <c r="FP39" s="180">
        <f t="shared" ref="FP39:FP44" si="183">1.16180660667508/100</f>
        <v>0.01161806607</v>
      </c>
      <c r="FQ39" s="179">
        <f t="shared" ref="FQ39:FQ44" si="184">IFERROR(+FP39*FO39,"0")</f>
        <v>3842.432423</v>
      </c>
      <c r="FR39" s="180">
        <v>0.16716266605705102</v>
      </c>
      <c r="FS39" s="179">
        <f t="shared" ref="FS39:FS44" si="185">IFERROR(+FQ39*FR39,"")</f>
        <v>642.311248</v>
      </c>
      <c r="FT39" s="181">
        <f t="shared" ref="FT39:FT44" si="186">IFERROR(+(IF(FQ39="","0",FQ39))-(IF(FS39="","0",FS39)),"")</f>
        <v>3200.121175</v>
      </c>
      <c r="FU39" s="176"/>
      <c r="FV39" s="176"/>
      <c r="FW39" s="176"/>
      <c r="FX39" s="81"/>
      <c r="FY39" s="177">
        <v>1.0</v>
      </c>
      <c r="FZ39" s="178" t="s">
        <v>71</v>
      </c>
      <c r="GA39" s="179">
        <f>'Hitung Output'!CK60</f>
        <v>379159.1895</v>
      </c>
      <c r="GB39" s="180">
        <f t="shared" ref="GB39:GB44" si="187">1.16180660667508/100</f>
        <v>0.01161806607</v>
      </c>
      <c r="GC39" s="179">
        <f t="shared" ref="GC39:GC44" si="188">IFERROR(+GB39*GA39,"0")</f>
        <v>4405.096513</v>
      </c>
      <c r="GD39" s="180">
        <v>0.16716266605705102</v>
      </c>
      <c r="GE39" s="179">
        <f t="shared" ref="GE39:GE44" si="189">IFERROR(+GC39*GD39,"")</f>
        <v>736.3676774</v>
      </c>
      <c r="GF39" s="181">
        <f t="shared" ref="GF39:GF44" si="190">IFERROR(+(IF(GC39="","0",GC39))-(IF(GE39="","0",GE39)),"")</f>
        <v>3668.728836</v>
      </c>
      <c r="GG39" s="176"/>
      <c r="GH39" s="176"/>
      <c r="GI39" s="176"/>
      <c r="GJ39" s="81"/>
      <c r="GK39" s="177">
        <v>1.0</v>
      </c>
      <c r="GL39" s="178" t="s">
        <v>71</v>
      </c>
      <c r="GM39" s="179">
        <f>'Hitung Output'!CP60</f>
        <v>362805.8933</v>
      </c>
      <c r="GN39" s="180">
        <f t="shared" ref="GN39:GN44" si="191">1.16180660667508/100</f>
        <v>0.01161806607</v>
      </c>
      <c r="GO39" s="179">
        <f t="shared" ref="GO39:GO44" si="192">IFERROR(+GN39*GM39,"0")</f>
        <v>4215.102837</v>
      </c>
      <c r="GP39" s="180">
        <v>0.16716266605705102</v>
      </c>
      <c r="GQ39" s="179">
        <f t="shared" ref="GQ39:GQ44" si="193">IFERROR(+GO39*GP39,"")</f>
        <v>704.607828</v>
      </c>
      <c r="GR39" s="181">
        <f t="shared" ref="GR39:GR44" si="194">IFERROR(+(IF(GO39="","0",GO39))-(IF(GQ39="","0",GQ39)),"")</f>
        <v>3510.495009</v>
      </c>
      <c r="GS39" s="176"/>
      <c r="GT39" s="176"/>
      <c r="GU39" s="176"/>
      <c r="GV39" s="81"/>
      <c r="GW39" s="177">
        <v>1.0</v>
      </c>
      <c r="GX39" s="178" t="s">
        <v>71</v>
      </c>
      <c r="GY39" s="179"/>
      <c r="GZ39" s="180">
        <f t="shared" ref="GZ39:GZ44" si="195">1.16180660667508/100</f>
        <v>0.01161806607</v>
      </c>
      <c r="HA39" s="179">
        <f t="shared" ref="HA39:HA44" si="196">IFERROR(+GZ39*GY39,"0")</f>
        <v>0</v>
      </c>
      <c r="HB39" s="180">
        <v>0.16716266605705102</v>
      </c>
      <c r="HC39" s="179">
        <f t="shared" ref="HC39:HC44" si="197">IFERROR(+HA39*HB39,"")</f>
        <v>0</v>
      </c>
      <c r="HD39" s="181">
        <f t="shared" ref="HD39:HD44" si="198">IFERROR(+(IF(HA39="","0",HA39))-(IF(HC39="","0",HC39)),"")</f>
        <v>0</v>
      </c>
      <c r="HE39" s="176"/>
      <c r="HF39" s="176"/>
      <c r="HG39" s="176"/>
      <c r="HH39" s="81"/>
      <c r="HI39" s="75"/>
    </row>
    <row r="40" ht="15.75" customHeight="1">
      <c r="A40" s="177">
        <f t="shared" ref="A40:A44" si="199">A39+1</f>
        <v>2</v>
      </c>
      <c r="B40" s="178" t="s">
        <v>72</v>
      </c>
      <c r="C40" s="179"/>
      <c r="D40" s="180">
        <f t="shared" si="127"/>
        <v>0.01161806607</v>
      </c>
      <c r="E40" s="179">
        <f t="shared" si="128"/>
        <v>0</v>
      </c>
      <c r="F40" s="180">
        <v>0.16716266605705102</v>
      </c>
      <c r="G40" s="179">
        <f t="shared" si="129"/>
        <v>0</v>
      </c>
      <c r="H40" s="181">
        <f t="shared" si="130"/>
        <v>0</v>
      </c>
      <c r="I40" s="176"/>
      <c r="J40" s="176"/>
      <c r="K40" s="176"/>
      <c r="L40" s="81"/>
      <c r="M40" s="177">
        <f t="shared" ref="M40:M44" si="200">M39+1</f>
        <v>2</v>
      </c>
      <c r="N40" s="178" t="s">
        <v>72</v>
      </c>
      <c r="O40" s="179"/>
      <c r="P40" s="180">
        <f t="shared" si="131"/>
        <v>0.01161806607</v>
      </c>
      <c r="Q40" s="179">
        <f t="shared" si="132"/>
        <v>0</v>
      </c>
      <c r="R40" s="180">
        <v>0.16716266605705102</v>
      </c>
      <c r="S40" s="179">
        <f t="shared" si="133"/>
        <v>0</v>
      </c>
      <c r="T40" s="181">
        <f t="shared" si="134"/>
        <v>0</v>
      </c>
      <c r="U40" s="176"/>
      <c r="V40" s="176"/>
      <c r="W40" s="176"/>
      <c r="X40" s="81"/>
      <c r="Y40" s="177">
        <f t="shared" ref="Y40:Y44" si="201">Y39+1</f>
        <v>2</v>
      </c>
      <c r="Z40" s="178" t="s">
        <v>72</v>
      </c>
      <c r="AA40" s="179"/>
      <c r="AB40" s="180">
        <f t="shared" si="135"/>
        <v>0.01161806607</v>
      </c>
      <c r="AC40" s="179">
        <f t="shared" si="136"/>
        <v>0</v>
      </c>
      <c r="AD40" s="180">
        <v>0.16716266605705102</v>
      </c>
      <c r="AE40" s="179">
        <f t="shared" si="137"/>
        <v>0</v>
      </c>
      <c r="AF40" s="181">
        <f t="shared" si="138"/>
        <v>0</v>
      </c>
      <c r="AG40" s="176"/>
      <c r="AH40" s="176"/>
      <c r="AI40" s="176"/>
      <c r="AJ40" s="81"/>
      <c r="AK40" s="177">
        <f t="shared" ref="AK40:AK44" si="202">AK39+1</f>
        <v>2</v>
      </c>
      <c r="AL40" s="178" t="s">
        <v>72</v>
      </c>
      <c r="AM40" s="179"/>
      <c r="AN40" s="180">
        <f t="shared" si="139"/>
        <v>0.01161806607</v>
      </c>
      <c r="AO40" s="179">
        <f t="shared" si="140"/>
        <v>0</v>
      </c>
      <c r="AP40" s="180">
        <v>0.16716266605705102</v>
      </c>
      <c r="AQ40" s="179">
        <f t="shared" si="141"/>
        <v>0</v>
      </c>
      <c r="AR40" s="181">
        <f t="shared" si="142"/>
        <v>0</v>
      </c>
      <c r="AS40" s="176"/>
      <c r="AT40" s="176"/>
      <c r="AU40" s="176"/>
      <c r="AV40" s="81"/>
      <c r="AW40" s="177">
        <f t="shared" ref="AW40:AW44" si="203">AW39+1</f>
        <v>2</v>
      </c>
      <c r="AX40" s="178" t="s">
        <v>72</v>
      </c>
      <c r="AY40" s="179"/>
      <c r="AZ40" s="180">
        <f t="shared" si="143"/>
        <v>0.01161806607</v>
      </c>
      <c r="BA40" s="179">
        <f t="shared" si="144"/>
        <v>0</v>
      </c>
      <c r="BB40" s="180">
        <v>0.16716266605705102</v>
      </c>
      <c r="BC40" s="179">
        <f t="shared" si="145"/>
        <v>0</v>
      </c>
      <c r="BD40" s="181">
        <f t="shared" si="146"/>
        <v>0</v>
      </c>
      <c r="BE40" s="176"/>
      <c r="BF40" s="176"/>
      <c r="BG40" s="176"/>
      <c r="BH40" s="81"/>
      <c r="BI40" s="177">
        <f t="shared" ref="BI40:BI44" si="204">BI39+1</f>
        <v>2</v>
      </c>
      <c r="BJ40" s="178" t="s">
        <v>72</v>
      </c>
      <c r="BK40" s="179"/>
      <c r="BL40" s="180">
        <f t="shared" si="147"/>
        <v>0.01161806607</v>
      </c>
      <c r="BM40" s="179">
        <f t="shared" si="148"/>
        <v>0</v>
      </c>
      <c r="BN40" s="180">
        <v>0.16716266605705102</v>
      </c>
      <c r="BO40" s="179">
        <f t="shared" si="149"/>
        <v>0</v>
      </c>
      <c r="BP40" s="181">
        <f t="shared" si="150"/>
        <v>0</v>
      </c>
      <c r="BQ40" s="176"/>
      <c r="BR40" s="176"/>
      <c r="BS40" s="176"/>
      <c r="BT40" s="81"/>
      <c r="BU40" s="177">
        <f t="shared" ref="BU40:BU44" si="205">BU39+1</f>
        <v>2</v>
      </c>
      <c r="BV40" s="178" t="s">
        <v>72</v>
      </c>
      <c r="BW40" s="179"/>
      <c r="BX40" s="180">
        <f t="shared" si="151"/>
        <v>0.01161806607</v>
      </c>
      <c r="BY40" s="179">
        <f t="shared" si="152"/>
        <v>0</v>
      </c>
      <c r="BZ40" s="180">
        <v>0.16716266605705102</v>
      </c>
      <c r="CA40" s="179">
        <f t="shared" si="153"/>
        <v>0</v>
      </c>
      <c r="CB40" s="181">
        <f t="shared" si="154"/>
        <v>0</v>
      </c>
      <c r="CC40" s="176"/>
      <c r="CD40" s="176"/>
      <c r="CE40" s="176"/>
      <c r="CF40" s="81"/>
      <c r="CG40" s="177">
        <f t="shared" ref="CG40:CG44" si="206">CG39+1</f>
        <v>2</v>
      </c>
      <c r="CH40" s="178" t="s">
        <v>72</v>
      </c>
      <c r="CI40" s="179"/>
      <c r="CJ40" s="180">
        <f t="shared" si="155"/>
        <v>0.01161806607</v>
      </c>
      <c r="CK40" s="179">
        <f t="shared" si="156"/>
        <v>0</v>
      </c>
      <c r="CL40" s="180">
        <v>0.16716266605705102</v>
      </c>
      <c r="CM40" s="179">
        <f t="shared" si="157"/>
        <v>0</v>
      </c>
      <c r="CN40" s="181">
        <f t="shared" si="158"/>
        <v>0</v>
      </c>
      <c r="CO40" s="176"/>
      <c r="CP40" s="176"/>
      <c r="CQ40" s="176"/>
      <c r="CR40" s="81"/>
      <c r="CS40" s="177">
        <f t="shared" ref="CS40:CS44" si="207">CS39+1</f>
        <v>2</v>
      </c>
      <c r="CT40" s="178" t="s">
        <v>72</v>
      </c>
      <c r="CU40" s="179"/>
      <c r="CV40" s="180">
        <f t="shared" si="159"/>
        <v>0.01161806607</v>
      </c>
      <c r="CW40" s="179">
        <f t="shared" si="160"/>
        <v>0</v>
      </c>
      <c r="CX40" s="180">
        <v>0.16716266605705102</v>
      </c>
      <c r="CY40" s="179">
        <f t="shared" si="161"/>
        <v>0</v>
      </c>
      <c r="CZ40" s="181">
        <f t="shared" si="162"/>
        <v>0</v>
      </c>
      <c r="DA40" s="176"/>
      <c r="DB40" s="176"/>
      <c r="DC40" s="176"/>
      <c r="DD40" s="81"/>
      <c r="DE40" s="177">
        <f t="shared" ref="DE40:DE44" si="208">DE39+1</f>
        <v>2</v>
      </c>
      <c r="DF40" s="178" t="s">
        <v>72</v>
      </c>
      <c r="DG40" s="179">
        <f>'Hitung Output'!BG61</f>
        <v>86984.29138</v>
      </c>
      <c r="DH40" s="180">
        <f t="shared" si="163"/>
        <v>0.01161806607</v>
      </c>
      <c r="DI40" s="182">
        <f t="shared" si="164"/>
        <v>1010.589244</v>
      </c>
      <c r="DJ40" s="180">
        <v>0.16716266605705102</v>
      </c>
      <c r="DK40" s="179">
        <f t="shared" si="165"/>
        <v>168.9327923</v>
      </c>
      <c r="DL40" s="181">
        <f t="shared" si="166"/>
        <v>841.6564517</v>
      </c>
      <c r="DM40" s="176"/>
      <c r="DN40" s="176"/>
      <c r="DO40" s="176"/>
      <c r="DP40" s="81"/>
      <c r="DQ40" s="177">
        <f t="shared" ref="DQ40:DQ44" si="209">DQ39+1</f>
        <v>2</v>
      </c>
      <c r="DR40" s="178" t="s">
        <v>72</v>
      </c>
      <c r="DS40" s="182">
        <f>'Hitung Output'!BL61</f>
        <v>81089.18632</v>
      </c>
      <c r="DT40" s="180">
        <f t="shared" si="167"/>
        <v>0.01161806607</v>
      </c>
      <c r="DU40" s="182">
        <f t="shared" si="168"/>
        <v>942.099524</v>
      </c>
      <c r="DV40" s="180">
        <v>0.16716266605705102</v>
      </c>
      <c r="DW40" s="179">
        <f t="shared" si="169"/>
        <v>157.4838681</v>
      </c>
      <c r="DX40" s="181">
        <f t="shared" si="170"/>
        <v>784.6156559</v>
      </c>
      <c r="DY40" s="176"/>
      <c r="DZ40" s="176"/>
      <c r="EA40" s="176"/>
      <c r="EB40" s="81"/>
      <c r="EC40" s="177">
        <f t="shared" ref="EC40:EC44" si="210">EC39+1</f>
        <v>2</v>
      </c>
      <c r="ED40" s="178" t="s">
        <v>72</v>
      </c>
      <c r="EE40" s="180">
        <f>'Hitung Output'!BQ61</f>
        <v>83689.12432</v>
      </c>
      <c r="EF40" s="180">
        <f t="shared" si="171"/>
        <v>0.01161806607</v>
      </c>
      <c r="EG40" s="183">
        <f t="shared" si="172"/>
        <v>972.3057754</v>
      </c>
      <c r="EH40" s="180">
        <v>0.16716266605705102</v>
      </c>
      <c r="EI40" s="179">
        <f t="shared" si="173"/>
        <v>162.5332256</v>
      </c>
      <c r="EJ40" s="181">
        <f t="shared" si="174"/>
        <v>809.7725497</v>
      </c>
      <c r="EK40" s="176"/>
      <c r="EL40" s="176"/>
      <c r="EM40" s="176"/>
      <c r="EN40" s="81"/>
      <c r="EO40" s="177">
        <f t="shared" ref="EO40:EO44" si="211">EO39+1</f>
        <v>2</v>
      </c>
      <c r="EP40" s="178" t="s">
        <v>72</v>
      </c>
      <c r="EQ40" s="180">
        <f>'Hitung Output'!BV61</f>
        <v>82994.98209</v>
      </c>
      <c r="ER40" s="180">
        <f t="shared" si="175"/>
        <v>0.01161806607</v>
      </c>
      <c r="ES40" s="182">
        <f t="shared" si="176"/>
        <v>964.2411851</v>
      </c>
      <c r="ET40" s="180">
        <v>0.16716266605705102</v>
      </c>
      <c r="EU40" s="179">
        <f t="shared" si="177"/>
        <v>161.1851272</v>
      </c>
      <c r="EV40" s="181">
        <f t="shared" si="178"/>
        <v>803.0560579</v>
      </c>
      <c r="EW40" s="176"/>
      <c r="EX40" s="176"/>
      <c r="EY40" s="176"/>
      <c r="EZ40" s="81"/>
      <c r="FA40" s="177">
        <f t="shared" ref="FA40:FA44" si="212">FA39+1</f>
        <v>2</v>
      </c>
      <c r="FB40" s="178" t="s">
        <v>72</v>
      </c>
      <c r="FC40" s="179">
        <f>'Hitung Output'!CA61</f>
        <v>82968.47565</v>
      </c>
      <c r="FD40" s="180">
        <f t="shared" si="179"/>
        <v>0.01161806607</v>
      </c>
      <c r="FE40" s="184">
        <f t="shared" si="180"/>
        <v>963.9332315</v>
      </c>
      <c r="FF40" s="180">
        <v>0.16716266605705102</v>
      </c>
      <c r="FG40" s="179">
        <f t="shared" si="181"/>
        <v>161.1336489</v>
      </c>
      <c r="FH40" s="181">
        <f t="shared" si="182"/>
        <v>802.7995826</v>
      </c>
      <c r="FI40" s="176"/>
      <c r="FJ40" s="176"/>
      <c r="FK40" s="176"/>
      <c r="FL40" s="81"/>
      <c r="FM40" s="177">
        <f t="shared" ref="FM40:FM44" si="213">FM39+1</f>
        <v>2</v>
      </c>
      <c r="FN40" s="178" t="s">
        <v>72</v>
      </c>
      <c r="FO40" s="179">
        <f>'Hitung Output'!CF61</f>
        <v>87835.04797</v>
      </c>
      <c r="FP40" s="180">
        <f t="shared" si="183"/>
        <v>0.01161806607</v>
      </c>
      <c r="FQ40" s="179">
        <f t="shared" si="184"/>
        <v>1020.47339</v>
      </c>
      <c r="FR40" s="180">
        <v>0.16716266605705102</v>
      </c>
      <c r="FS40" s="179">
        <f t="shared" si="185"/>
        <v>170.5850526</v>
      </c>
      <c r="FT40" s="181">
        <f t="shared" si="186"/>
        <v>849.8883377</v>
      </c>
      <c r="FU40" s="176"/>
      <c r="FV40" s="176"/>
      <c r="FW40" s="176"/>
      <c r="FX40" s="81"/>
      <c r="FY40" s="177">
        <f t="shared" ref="FY40:FY44" si="214">FY39+1</f>
        <v>2</v>
      </c>
      <c r="FZ40" s="178" t="s">
        <v>72</v>
      </c>
      <c r="GA40" s="179">
        <f>'Hitung Output'!CK61</f>
        <v>87197.27605</v>
      </c>
      <c r="GB40" s="180">
        <f t="shared" si="187"/>
        <v>0.01161806607</v>
      </c>
      <c r="GC40" s="179">
        <f t="shared" si="188"/>
        <v>1013.063714</v>
      </c>
      <c r="GD40" s="180">
        <v>0.16716266605705102</v>
      </c>
      <c r="GE40" s="179">
        <f t="shared" si="189"/>
        <v>169.3464313</v>
      </c>
      <c r="GF40" s="181">
        <f t="shared" si="190"/>
        <v>843.7172827</v>
      </c>
      <c r="GG40" s="176"/>
      <c r="GH40" s="176"/>
      <c r="GI40" s="176"/>
      <c r="GJ40" s="81"/>
      <c r="GK40" s="177">
        <f t="shared" ref="GK40:GK44" si="215">GK39+1</f>
        <v>2</v>
      </c>
      <c r="GL40" s="178" t="s">
        <v>72</v>
      </c>
      <c r="GM40" s="179">
        <f>'Hitung Output'!CP61</f>
        <v>96031.0478</v>
      </c>
      <c r="GN40" s="180">
        <f t="shared" si="191"/>
        <v>0.01161806607</v>
      </c>
      <c r="GO40" s="179">
        <f t="shared" si="192"/>
        <v>1115.695058</v>
      </c>
      <c r="GP40" s="180">
        <v>0.16716266605705102</v>
      </c>
      <c r="GQ40" s="179">
        <f t="shared" si="193"/>
        <v>186.5025604</v>
      </c>
      <c r="GR40" s="181">
        <f t="shared" si="194"/>
        <v>929.1924975</v>
      </c>
      <c r="GS40" s="176"/>
      <c r="GT40" s="176"/>
      <c r="GU40" s="176"/>
      <c r="GV40" s="81"/>
      <c r="GW40" s="177">
        <f t="shared" ref="GW40:GW44" si="216">GW39+1</f>
        <v>2</v>
      </c>
      <c r="GX40" s="178" t="s">
        <v>72</v>
      </c>
      <c r="GY40" s="179"/>
      <c r="GZ40" s="180">
        <f t="shared" si="195"/>
        <v>0.01161806607</v>
      </c>
      <c r="HA40" s="179">
        <f t="shared" si="196"/>
        <v>0</v>
      </c>
      <c r="HB40" s="180">
        <v>0.16716266605705102</v>
      </c>
      <c r="HC40" s="179">
        <f t="shared" si="197"/>
        <v>0</v>
      </c>
      <c r="HD40" s="181">
        <f t="shared" si="198"/>
        <v>0</v>
      </c>
      <c r="HE40" s="176"/>
      <c r="HF40" s="176"/>
      <c r="HG40" s="176"/>
      <c r="HH40" s="81"/>
      <c r="HI40" s="75"/>
    </row>
    <row r="41" ht="15.75" customHeight="1">
      <c r="A41" s="177">
        <f t="shared" si="199"/>
        <v>3</v>
      </c>
      <c r="B41" s="178" t="s">
        <v>73</v>
      </c>
      <c r="C41" s="179"/>
      <c r="D41" s="180">
        <f t="shared" si="127"/>
        <v>0.01161806607</v>
      </c>
      <c r="E41" s="179">
        <f t="shared" si="128"/>
        <v>0</v>
      </c>
      <c r="F41" s="180">
        <v>0.16716266605705102</v>
      </c>
      <c r="G41" s="179">
        <f t="shared" si="129"/>
        <v>0</v>
      </c>
      <c r="H41" s="181">
        <f t="shared" si="130"/>
        <v>0</v>
      </c>
      <c r="I41" s="176"/>
      <c r="J41" s="176"/>
      <c r="K41" s="176"/>
      <c r="L41" s="81"/>
      <c r="M41" s="177">
        <f t="shared" si="200"/>
        <v>3</v>
      </c>
      <c r="N41" s="178" t="s">
        <v>73</v>
      </c>
      <c r="O41" s="179"/>
      <c r="P41" s="180">
        <f t="shared" si="131"/>
        <v>0.01161806607</v>
      </c>
      <c r="Q41" s="179">
        <f t="shared" si="132"/>
        <v>0</v>
      </c>
      <c r="R41" s="180">
        <v>0.16716266605705102</v>
      </c>
      <c r="S41" s="179">
        <f t="shared" si="133"/>
        <v>0</v>
      </c>
      <c r="T41" s="181">
        <f t="shared" si="134"/>
        <v>0</v>
      </c>
      <c r="U41" s="176"/>
      <c r="V41" s="176"/>
      <c r="W41" s="176"/>
      <c r="X41" s="81"/>
      <c r="Y41" s="177">
        <f t="shared" si="201"/>
        <v>3</v>
      </c>
      <c r="Z41" s="178" t="s">
        <v>73</v>
      </c>
      <c r="AA41" s="179"/>
      <c r="AB41" s="180">
        <f t="shared" si="135"/>
        <v>0.01161806607</v>
      </c>
      <c r="AC41" s="179">
        <f t="shared" si="136"/>
        <v>0</v>
      </c>
      <c r="AD41" s="180">
        <v>0.16716266605705102</v>
      </c>
      <c r="AE41" s="179">
        <f t="shared" si="137"/>
        <v>0</v>
      </c>
      <c r="AF41" s="181">
        <f t="shared" si="138"/>
        <v>0</v>
      </c>
      <c r="AG41" s="176"/>
      <c r="AH41" s="176"/>
      <c r="AI41" s="176"/>
      <c r="AJ41" s="81"/>
      <c r="AK41" s="177">
        <f t="shared" si="202"/>
        <v>3</v>
      </c>
      <c r="AL41" s="178" t="s">
        <v>73</v>
      </c>
      <c r="AM41" s="179"/>
      <c r="AN41" s="180">
        <f t="shared" si="139"/>
        <v>0.01161806607</v>
      </c>
      <c r="AO41" s="179">
        <f t="shared" si="140"/>
        <v>0</v>
      </c>
      <c r="AP41" s="180">
        <v>0.16716266605705102</v>
      </c>
      <c r="AQ41" s="179">
        <f t="shared" si="141"/>
        <v>0</v>
      </c>
      <c r="AR41" s="181">
        <f t="shared" si="142"/>
        <v>0</v>
      </c>
      <c r="AS41" s="176"/>
      <c r="AT41" s="176"/>
      <c r="AU41" s="176"/>
      <c r="AV41" s="81"/>
      <c r="AW41" s="177">
        <f t="shared" si="203"/>
        <v>3</v>
      </c>
      <c r="AX41" s="178" t="s">
        <v>73</v>
      </c>
      <c r="AY41" s="179"/>
      <c r="AZ41" s="180">
        <f t="shared" si="143"/>
        <v>0.01161806607</v>
      </c>
      <c r="BA41" s="179">
        <f t="shared" si="144"/>
        <v>0</v>
      </c>
      <c r="BB41" s="180">
        <v>0.16716266605705102</v>
      </c>
      <c r="BC41" s="179">
        <f t="shared" si="145"/>
        <v>0</v>
      </c>
      <c r="BD41" s="181">
        <f t="shared" si="146"/>
        <v>0</v>
      </c>
      <c r="BE41" s="176"/>
      <c r="BF41" s="176"/>
      <c r="BG41" s="176"/>
      <c r="BH41" s="81"/>
      <c r="BI41" s="177">
        <f t="shared" si="204"/>
        <v>3</v>
      </c>
      <c r="BJ41" s="178" t="s">
        <v>73</v>
      </c>
      <c r="BK41" s="179"/>
      <c r="BL41" s="180">
        <f t="shared" si="147"/>
        <v>0.01161806607</v>
      </c>
      <c r="BM41" s="179">
        <f t="shared" si="148"/>
        <v>0</v>
      </c>
      <c r="BN41" s="180">
        <v>0.16716266605705102</v>
      </c>
      <c r="BO41" s="179">
        <f t="shared" si="149"/>
        <v>0</v>
      </c>
      <c r="BP41" s="181">
        <f t="shared" si="150"/>
        <v>0</v>
      </c>
      <c r="BQ41" s="176"/>
      <c r="BR41" s="176"/>
      <c r="BS41" s="176"/>
      <c r="BT41" s="81"/>
      <c r="BU41" s="177">
        <f t="shared" si="205"/>
        <v>3</v>
      </c>
      <c r="BV41" s="178" t="s">
        <v>73</v>
      </c>
      <c r="BW41" s="179"/>
      <c r="BX41" s="180">
        <f t="shared" si="151"/>
        <v>0.01161806607</v>
      </c>
      <c r="BY41" s="179">
        <f t="shared" si="152"/>
        <v>0</v>
      </c>
      <c r="BZ41" s="180">
        <v>0.16716266605705102</v>
      </c>
      <c r="CA41" s="179">
        <f t="shared" si="153"/>
        <v>0</v>
      </c>
      <c r="CB41" s="181">
        <f t="shared" si="154"/>
        <v>0</v>
      </c>
      <c r="CC41" s="176"/>
      <c r="CD41" s="176"/>
      <c r="CE41" s="176"/>
      <c r="CF41" s="81"/>
      <c r="CG41" s="177">
        <f t="shared" si="206"/>
        <v>3</v>
      </c>
      <c r="CH41" s="178" t="s">
        <v>73</v>
      </c>
      <c r="CI41" s="179"/>
      <c r="CJ41" s="180">
        <f t="shared" si="155"/>
        <v>0.01161806607</v>
      </c>
      <c r="CK41" s="179">
        <f t="shared" si="156"/>
        <v>0</v>
      </c>
      <c r="CL41" s="180">
        <v>0.16716266605705102</v>
      </c>
      <c r="CM41" s="179">
        <f t="shared" si="157"/>
        <v>0</v>
      </c>
      <c r="CN41" s="181">
        <f t="shared" si="158"/>
        <v>0</v>
      </c>
      <c r="CO41" s="176"/>
      <c r="CP41" s="176"/>
      <c r="CQ41" s="176"/>
      <c r="CR41" s="81"/>
      <c r="CS41" s="177">
        <f t="shared" si="207"/>
        <v>3</v>
      </c>
      <c r="CT41" s="178" t="s">
        <v>73</v>
      </c>
      <c r="CU41" s="179"/>
      <c r="CV41" s="180">
        <f t="shared" si="159"/>
        <v>0.01161806607</v>
      </c>
      <c r="CW41" s="179">
        <f t="shared" si="160"/>
        <v>0</v>
      </c>
      <c r="CX41" s="180">
        <v>0.16716266605705102</v>
      </c>
      <c r="CY41" s="179">
        <f t="shared" si="161"/>
        <v>0</v>
      </c>
      <c r="CZ41" s="181">
        <f t="shared" si="162"/>
        <v>0</v>
      </c>
      <c r="DA41" s="176"/>
      <c r="DB41" s="176"/>
      <c r="DC41" s="176"/>
      <c r="DD41" s="81"/>
      <c r="DE41" s="177">
        <f t="shared" si="208"/>
        <v>3</v>
      </c>
      <c r="DF41" s="178" t="s">
        <v>73</v>
      </c>
      <c r="DG41" s="179">
        <f>'Hitung Output'!BG62</f>
        <v>21284.8838</v>
      </c>
      <c r="DH41" s="180">
        <f t="shared" si="163"/>
        <v>0.01161806607</v>
      </c>
      <c r="DI41" s="182">
        <f t="shared" si="164"/>
        <v>247.2891862</v>
      </c>
      <c r="DJ41" s="180">
        <v>0.16716266605705102</v>
      </c>
      <c r="DK41" s="179">
        <f t="shared" si="165"/>
        <v>41.33751965</v>
      </c>
      <c r="DL41" s="181">
        <f t="shared" si="166"/>
        <v>205.9516665</v>
      </c>
      <c r="DM41" s="176"/>
      <c r="DN41" s="176"/>
      <c r="DO41" s="176"/>
      <c r="DP41" s="81"/>
      <c r="DQ41" s="177">
        <f t="shared" si="209"/>
        <v>3</v>
      </c>
      <c r="DR41" s="178" t="s">
        <v>73</v>
      </c>
      <c r="DS41" s="182">
        <f>'Hitung Output'!BL62</f>
        <v>23328.63254</v>
      </c>
      <c r="DT41" s="180">
        <f t="shared" si="167"/>
        <v>0.01161806607</v>
      </c>
      <c r="DU41" s="182">
        <f t="shared" si="168"/>
        <v>271.0335941</v>
      </c>
      <c r="DV41" s="180">
        <v>0.16716266605705102</v>
      </c>
      <c r="DW41" s="179">
        <f t="shared" si="169"/>
        <v>45.30669819</v>
      </c>
      <c r="DX41" s="181">
        <f t="shared" si="170"/>
        <v>225.726896</v>
      </c>
      <c r="DY41" s="176"/>
      <c r="DZ41" s="176"/>
      <c r="EA41" s="176"/>
      <c r="EB41" s="81"/>
      <c r="EC41" s="177">
        <f t="shared" si="210"/>
        <v>3</v>
      </c>
      <c r="ED41" s="178" t="s">
        <v>73</v>
      </c>
      <c r="EE41" s="180">
        <f>'Hitung Output'!BQ62</f>
        <v>21143.24756</v>
      </c>
      <c r="EF41" s="180">
        <f t="shared" si="171"/>
        <v>0.01161806607</v>
      </c>
      <c r="EG41" s="183">
        <f t="shared" si="172"/>
        <v>245.643647</v>
      </c>
      <c r="EH41" s="180">
        <v>0.16716266605705102</v>
      </c>
      <c r="EI41" s="179">
        <f t="shared" si="173"/>
        <v>41.06244694</v>
      </c>
      <c r="EJ41" s="181">
        <f t="shared" si="174"/>
        <v>204.5812001</v>
      </c>
      <c r="EK41" s="176"/>
      <c r="EL41" s="176"/>
      <c r="EM41" s="176"/>
      <c r="EN41" s="81"/>
      <c r="EO41" s="177">
        <f t="shared" si="211"/>
        <v>3</v>
      </c>
      <c r="EP41" s="178" t="s">
        <v>73</v>
      </c>
      <c r="EQ41" s="180">
        <f>'Hitung Output'!BV62</f>
        <v>27889.58216</v>
      </c>
      <c r="ER41" s="180">
        <f t="shared" si="175"/>
        <v>0.01161806607</v>
      </c>
      <c r="ES41" s="182">
        <f t="shared" si="176"/>
        <v>324.0230081</v>
      </c>
      <c r="ET41" s="180">
        <v>0.16716266605705102</v>
      </c>
      <c r="EU41" s="179">
        <f t="shared" si="177"/>
        <v>54.1645499</v>
      </c>
      <c r="EV41" s="181">
        <f t="shared" si="178"/>
        <v>269.8584582</v>
      </c>
      <c r="EW41" s="176"/>
      <c r="EX41" s="176"/>
      <c r="EY41" s="176"/>
      <c r="EZ41" s="81"/>
      <c r="FA41" s="177">
        <f t="shared" si="212"/>
        <v>3</v>
      </c>
      <c r="FB41" s="178" t="s">
        <v>73</v>
      </c>
      <c r="FC41" s="179">
        <f>'Hitung Output'!CA62</f>
        <v>21626.36974</v>
      </c>
      <c r="FD41" s="180">
        <f t="shared" si="179"/>
        <v>0.01161806607</v>
      </c>
      <c r="FE41" s="184">
        <f t="shared" si="180"/>
        <v>251.2565924</v>
      </c>
      <c r="FF41" s="180">
        <v>0.16716266605705102</v>
      </c>
      <c r="FG41" s="179">
        <f t="shared" si="181"/>
        <v>42.00072184</v>
      </c>
      <c r="FH41" s="181">
        <f t="shared" si="182"/>
        <v>209.2558705</v>
      </c>
      <c r="FI41" s="176"/>
      <c r="FJ41" s="176"/>
      <c r="FK41" s="176"/>
      <c r="FL41" s="81"/>
      <c r="FM41" s="177">
        <f t="shared" si="213"/>
        <v>3</v>
      </c>
      <c r="FN41" s="178" t="s">
        <v>73</v>
      </c>
      <c r="FO41" s="179">
        <f>'Hitung Output'!CF62</f>
        <v>21281.4186</v>
      </c>
      <c r="FP41" s="180">
        <f t="shared" si="183"/>
        <v>0.01161806607</v>
      </c>
      <c r="FQ41" s="179">
        <f t="shared" si="184"/>
        <v>247.2489273</v>
      </c>
      <c r="FR41" s="180">
        <v>0.16716266605705102</v>
      </c>
      <c r="FS41" s="179">
        <f t="shared" si="185"/>
        <v>41.33078986</v>
      </c>
      <c r="FT41" s="181">
        <f t="shared" si="186"/>
        <v>205.9181374</v>
      </c>
      <c r="FU41" s="176"/>
      <c r="FV41" s="176"/>
      <c r="FW41" s="176"/>
      <c r="FX41" s="81"/>
      <c r="FY41" s="177">
        <f t="shared" si="214"/>
        <v>3</v>
      </c>
      <c r="FZ41" s="178" t="s">
        <v>73</v>
      </c>
      <c r="GA41" s="179">
        <f>'Hitung Output'!CK62</f>
        <v>60824.43158</v>
      </c>
      <c r="GB41" s="180">
        <f t="shared" si="187"/>
        <v>0.01161806607</v>
      </c>
      <c r="GC41" s="179">
        <f t="shared" si="188"/>
        <v>706.6622646</v>
      </c>
      <c r="GD41" s="180">
        <v>0.16716266605705102</v>
      </c>
      <c r="GE41" s="179">
        <f t="shared" si="189"/>
        <v>118.1275482</v>
      </c>
      <c r="GF41" s="181">
        <f t="shared" si="190"/>
        <v>588.5347165</v>
      </c>
      <c r="GG41" s="176"/>
      <c r="GH41" s="176"/>
      <c r="GI41" s="176"/>
      <c r="GJ41" s="81"/>
      <c r="GK41" s="177">
        <f t="shared" si="215"/>
        <v>3</v>
      </c>
      <c r="GL41" s="178" t="s">
        <v>73</v>
      </c>
      <c r="GM41" s="179">
        <f>'Hitung Output'!CP62</f>
        <v>59990.25514</v>
      </c>
      <c r="GN41" s="180">
        <f t="shared" si="191"/>
        <v>0.01161806607</v>
      </c>
      <c r="GO41" s="179">
        <f t="shared" si="192"/>
        <v>696.9707475</v>
      </c>
      <c r="GP41" s="180">
        <v>0.16716266605705102</v>
      </c>
      <c r="GQ41" s="179">
        <f t="shared" si="193"/>
        <v>116.5074883</v>
      </c>
      <c r="GR41" s="181">
        <f t="shared" si="194"/>
        <v>580.4632592</v>
      </c>
      <c r="GS41" s="176"/>
      <c r="GT41" s="176"/>
      <c r="GU41" s="176"/>
      <c r="GV41" s="81"/>
      <c r="GW41" s="177">
        <f t="shared" si="216"/>
        <v>3</v>
      </c>
      <c r="GX41" s="178" t="s">
        <v>73</v>
      </c>
      <c r="GY41" s="179"/>
      <c r="GZ41" s="180">
        <f t="shared" si="195"/>
        <v>0.01161806607</v>
      </c>
      <c r="HA41" s="179">
        <f t="shared" si="196"/>
        <v>0</v>
      </c>
      <c r="HB41" s="180">
        <v>0.16716266605705102</v>
      </c>
      <c r="HC41" s="179">
        <f t="shared" si="197"/>
        <v>0</v>
      </c>
      <c r="HD41" s="181">
        <f t="shared" si="198"/>
        <v>0</v>
      </c>
      <c r="HE41" s="176"/>
      <c r="HF41" s="176"/>
      <c r="HG41" s="176"/>
      <c r="HH41" s="81"/>
      <c r="HI41" s="75"/>
    </row>
    <row r="42" ht="15.75" customHeight="1">
      <c r="A42" s="177">
        <f t="shared" si="199"/>
        <v>4</v>
      </c>
      <c r="B42" s="178" t="s">
        <v>74</v>
      </c>
      <c r="C42" s="179"/>
      <c r="D42" s="180">
        <f t="shared" si="127"/>
        <v>0.01161806607</v>
      </c>
      <c r="E42" s="179">
        <f t="shared" si="128"/>
        <v>0</v>
      </c>
      <c r="F42" s="180">
        <v>0.16716266605705102</v>
      </c>
      <c r="G42" s="179">
        <f t="shared" si="129"/>
        <v>0</v>
      </c>
      <c r="H42" s="181">
        <f t="shared" si="130"/>
        <v>0</v>
      </c>
      <c r="I42" s="176"/>
      <c r="J42" s="176"/>
      <c r="K42" s="176"/>
      <c r="L42" s="81"/>
      <c r="M42" s="177">
        <f t="shared" si="200"/>
        <v>4</v>
      </c>
      <c r="N42" s="178" t="s">
        <v>74</v>
      </c>
      <c r="O42" s="179"/>
      <c r="P42" s="180">
        <f t="shared" si="131"/>
        <v>0.01161806607</v>
      </c>
      <c r="Q42" s="179">
        <f t="shared" si="132"/>
        <v>0</v>
      </c>
      <c r="R42" s="180">
        <v>0.16716266605705102</v>
      </c>
      <c r="S42" s="179">
        <f t="shared" si="133"/>
        <v>0</v>
      </c>
      <c r="T42" s="181">
        <f t="shared" si="134"/>
        <v>0</v>
      </c>
      <c r="U42" s="176"/>
      <c r="V42" s="176"/>
      <c r="W42" s="176"/>
      <c r="X42" s="81"/>
      <c r="Y42" s="177">
        <f t="shared" si="201"/>
        <v>4</v>
      </c>
      <c r="Z42" s="178" t="s">
        <v>74</v>
      </c>
      <c r="AA42" s="179"/>
      <c r="AB42" s="180">
        <f t="shared" si="135"/>
        <v>0.01161806607</v>
      </c>
      <c r="AC42" s="179">
        <f t="shared" si="136"/>
        <v>0</v>
      </c>
      <c r="AD42" s="180">
        <v>0.16716266605705102</v>
      </c>
      <c r="AE42" s="179">
        <f t="shared" si="137"/>
        <v>0</v>
      </c>
      <c r="AF42" s="181">
        <f t="shared" si="138"/>
        <v>0</v>
      </c>
      <c r="AG42" s="176"/>
      <c r="AH42" s="176"/>
      <c r="AI42" s="176"/>
      <c r="AJ42" s="81"/>
      <c r="AK42" s="177">
        <f t="shared" si="202"/>
        <v>4</v>
      </c>
      <c r="AL42" s="178" t="s">
        <v>74</v>
      </c>
      <c r="AM42" s="179"/>
      <c r="AN42" s="180">
        <f t="shared" si="139"/>
        <v>0.01161806607</v>
      </c>
      <c r="AO42" s="179">
        <f t="shared" si="140"/>
        <v>0</v>
      </c>
      <c r="AP42" s="180">
        <v>0.16716266605705102</v>
      </c>
      <c r="AQ42" s="179">
        <f t="shared" si="141"/>
        <v>0</v>
      </c>
      <c r="AR42" s="181">
        <f t="shared" si="142"/>
        <v>0</v>
      </c>
      <c r="AS42" s="176"/>
      <c r="AT42" s="176"/>
      <c r="AU42" s="176"/>
      <c r="AV42" s="81"/>
      <c r="AW42" s="177">
        <f t="shared" si="203"/>
        <v>4</v>
      </c>
      <c r="AX42" s="178" t="s">
        <v>74</v>
      </c>
      <c r="AY42" s="179"/>
      <c r="AZ42" s="180">
        <f t="shared" si="143"/>
        <v>0.01161806607</v>
      </c>
      <c r="BA42" s="179">
        <f t="shared" si="144"/>
        <v>0</v>
      </c>
      <c r="BB42" s="180">
        <v>0.16716266605705102</v>
      </c>
      <c r="BC42" s="179">
        <f t="shared" si="145"/>
        <v>0</v>
      </c>
      <c r="BD42" s="181">
        <f t="shared" si="146"/>
        <v>0</v>
      </c>
      <c r="BE42" s="176"/>
      <c r="BF42" s="176"/>
      <c r="BG42" s="176"/>
      <c r="BH42" s="81"/>
      <c r="BI42" s="177">
        <f t="shared" si="204"/>
        <v>4</v>
      </c>
      <c r="BJ42" s="178" t="s">
        <v>74</v>
      </c>
      <c r="BK42" s="179"/>
      <c r="BL42" s="180">
        <f t="shared" si="147"/>
        <v>0.01161806607</v>
      </c>
      <c r="BM42" s="179">
        <f t="shared" si="148"/>
        <v>0</v>
      </c>
      <c r="BN42" s="180">
        <v>0.16716266605705102</v>
      </c>
      <c r="BO42" s="179">
        <f t="shared" si="149"/>
        <v>0</v>
      </c>
      <c r="BP42" s="181">
        <f t="shared" si="150"/>
        <v>0</v>
      </c>
      <c r="BQ42" s="176"/>
      <c r="BR42" s="176"/>
      <c r="BS42" s="176"/>
      <c r="BT42" s="81"/>
      <c r="BU42" s="177">
        <f t="shared" si="205"/>
        <v>4</v>
      </c>
      <c r="BV42" s="178" t="s">
        <v>74</v>
      </c>
      <c r="BW42" s="179"/>
      <c r="BX42" s="180">
        <f t="shared" si="151"/>
        <v>0.01161806607</v>
      </c>
      <c r="BY42" s="179">
        <f t="shared" si="152"/>
        <v>0</v>
      </c>
      <c r="BZ42" s="180">
        <v>0.16716266605705102</v>
      </c>
      <c r="CA42" s="179">
        <f t="shared" si="153"/>
        <v>0</v>
      </c>
      <c r="CB42" s="181">
        <f t="shared" si="154"/>
        <v>0</v>
      </c>
      <c r="CC42" s="176"/>
      <c r="CD42" s="176"/>
      <c r="CE42" s="176"/>
      <c r="CF42" s="81"/>
      <c r="CG42" s="177">
        <f t="shared" si="206"/>
        <v>4</v>
      </c>
      <c r="CH42" s="178" t="s">
        <v>74</v>
      </c>
      <c r="CI42" s="179"/>
      <c r="CJ42" s="180">
        <f t="shared" si="155"/>
        <v>0.01161806607</v>
      </c>
      <c r="CK42" s="179">
        <f t="shared" si="156"/>
        <v>0</v>
      </c>
      <c r="CL42" s="180">
        <v>0.16716266605705102</v>
      </c>
      <c r="CM42" s="179">
        <f t="shared" si="157"/>
        <v>0</v>
      </c>
      <c r="CN42" s="181">
        <f t="shared" si="158"/>
        <v>0</v>
      </c>
      <c r="CO42" s="176"/>
      <c r="CP42" s="176"/>
      <c r="CQ42" s="176"/>
      <c r="CR42" s="81"/>
      <c r="CS42" s="177">
        <f t="shared" si="207"/>
        <v>4</v>
      </c>
      <c r="CT42" s="178" t="s">
        <v>74</v>
      </c>
      <c r="CU42" s="179"/>
      <c r="CV42" s="180">
        <f t="shared" si="159"/>
        <v>0.01161806607</v>
      </c>
      <c r="CW42" s="179">
        <f t="shared" si="160"/>
        <v>0</v>
      </c>
      <c r="CX42" s="180">
        <v>0.16716266605705102</v>
      </c>
      <c r="CY42" s="179">
        <f t="shared" si="161"/>
        <v>0</v>
      </c>
      <c r="CZ42" s="181">
        <f t="shared" si="162"/>
        <v>0</v>
      </c>
      <c r="DA42" s="176"/>
      <c r="DB42" s="176"/>
      <c r="DC42" s="176"/>
      <c r="DD42" s="81"/>
      <c r="DE42" s="177">
        <f t="shared" si="208"/>
        <v>4</v>
      </c>
      <c r="DF42" s="178" t="s">
        <v>74</v>
      </c>
      <c r="DG42" s="179">
        <f>'Hitung Output'!BG63</f>
        <v>188045.0228</v>
      </c>
      <c r="DH42" s="180">
        <f t="shared" si="163"/>
        <v>0.01161806607</v>
      </c>
      <c r="DI42" s="182">
        <f t="shared" si="164"/>
        <v>2184.719498</v>
      </c>
      <c r="DJ42" s="180">
        <v>0.16716266605705102</v>
      </c>
      <c r="DK42" s="179">
        <f t="shared" si="165"/>
        <v>365.2035359</v>
      </c>
      <c r="DL42" s="181">
        <f t="shared" si="166"/>
        <v>1819.515962</v>
      </c>
      <c r="DM42" s="176"/>
      <c r="DN42" s="176"/>
      <c r="DO42" s="176"/>
      <c r="DP42" s="81"/>
      <c r="DQ42" s="177">
        <f t="shared" si="209"/>
        <v>4</v>
      </c>
      <c r="DR42" s="178" t="s">
        <v>74</v>
      </c>
      <c r="DS42" s="182">
        <f>'Hitung Output'!BL63</f>
        <v>185856.2801</v>
      </c>
      <c r="DT42" s="180">
        <f t="shared" si="167"/>
        <v>0.01161806607</v>
      </c>
      <c r="DU42" s="182">
        <f t="shared" si="168"/>
        <v>2159.290542</v>
      </c>
      <c r="DV42" s="180">
        <v>0.16716266605705102</v>
      </c>
      <c r="DW42" s="179">
        <f t="shared" si="169"/>
        <v>360.9527637</v>
      </c>
      <c r="DX42" s="181">
        <f t="shared" si="170"/>
        <v>1798.337778</v>
      </c>
      <c r="DY42" s="176"/>
      <c r="DZ42" s="176"/>
      <c r="EA42" s="176"/>
      <c r="EB42" s="81"/>
      <c r="EC42" s="177">
        <f t="shared" si="210"/>
        <v>4</v>
      </c>
      <c r="ED42" s="178" t="s">
        <v>74</v>
      </c>
      <c r="EE42" s="180">
        <f>'Hitung Output'!BQ63</f>
        <v>183307.828</v>
      </c>
      <c r="EF42" s="180">
        <f t="shared" si="171"/>
        <v>0.01161806607</v>
      </c>
      <c r="EG42" s="183">
        <f t="shared" si="172"/>
        <v>2129.682457</v>
      </c>
      <c r="EH42" s="180">
        <v>0.16716266605705102</v>
      </c>
      <c r="EI42" s="179">
        <f t="shared" si="173"/>
        <v>356.0033973</v>
      </c>
      <c r="EJ42" s="181">
        <f t="shared" si="174"/>
        <v>1773.679059</v>
      </c>
      <c r="EK42" s="176"/>
      <c r="EL42" s="176"/>
      <c r="EM42" s="176"/>
      <c r="EN42" s="81"/>
      <c r="EO42" s="177">
        <f t="shared" si="211"/>
        <v>4</v>
      </c>
      <c r="EP42" s="178" t="s">
        <v>74</v>
      </c>
      <c r="EQ42" s="180">
        <f>'Hitung Output'!BV63</f>
        <v>183264.4395</v>
      </c>
      <c r="ER42" s="180">
        <f t="shared" si="175"/>
        <v>0.01161806607</v>
      </c>
      <c r="ES42" s="182">
        <f t="shared" si="176"/>
        <v>2129.178366</v>
      </c>
      <c r="ET42" s="180">
        <v>0.16716266605705102</v>
      </c>
      <c r="EU42" s="179">
        <f t="shared" si="177"/>
        <v>355.9191322</v>
      </c>
      <c r="EV42" s="181">
        <f t="shared" si="178"/>
        <v>1773.259234</v>
      </c>
      <c r="EW42" s="176"/>
      <c r="EX42" s="176"/>
      <c r="EY42" s="176"/>
      <c r="EZ42" s="81"/>
      <c r="FA42" s="177">
        <f t="shared" si="212"/>
        <v>4</v>
      </c>
      <c r="FB42" s="178" t="s">
        <v>74</v>
      </c>
      <c r="FC42" s="179">
        <f>'Hitung Output'!CA63</f>
        <v>201412.395</v>
      </c>
      <c r="FD42" s="180">
        <f t="shared" si="179"/>
        <v>0.01161806607</v>
      </c>
      <c r="FE42" s="184">
        <f t="shared" si="180"/>
        <v>2340.022511</v>
      </c>
      <c r="FF42" s="180">
        <v>0.16716266605705102</v>
      </c>
      <c r="FG42" s="179">
        <f t="shared" si="181"/>
        <v>391.1644016</v>
      </c>
      <c r="FH42" s="181">
        <f t="shared" si="182"/>
        <v>1948.85811</v>
      </c>
      <c r="FI42" s="176"/>
      <c r="FJ42" s="176"/>
      <c r="FK42" s="176"/>
      <c r="FL42" s="81"/>
      <c r="FM42" s="177">
        <f t="shared" si="213"/>
        <v>4</v>
      </c>
      <c r="FN42" s="178" t="s">
        <v>74</v>
      </c>
      <c r="FO42" s="179">
        <f>'Hitung Output'!CF63</f>
        <v>210079.1747</v>
      </c>
      <c r="FP42" s="180">
        <f t="shared" si="183"/>
        <v>0.01161806607</v>
      </c>
      <c r="FQ42" s="179">
        <f t="shared" si="184"/>
        <v>2440.713731</v>
      </c>
      <c r="FR42" s="180">
        <v>0.16716266605705102</v>
      </c>
      <c r="FS42" s="179">
        <f t="shared" si="185"/>
        <v>407.9962144</v>
      </c>
      <c r="FT42" s="181">
        <f t="shared" si="186"/>
        <v>2032.717517</v>
      </c>
      <c r="FU42" s="176"/>
      <c r="FV42" s="176"/>
      <c r="FW42" s="176"/>
      <c r="FX42" s="81"/>
      <c r="FY42" s="177">
        <f t="shared" si="214"/>
        <v>4</v>
      </c>
      <c r="FZ42" s="178" t="s">
        <v>74</v>
      </c>
      <c r="GA42" s="179">
        <f>'Hitung Output'!CK63</f>
        <v>201742.4774</v>
      </c>
      <c r="GB42" s="180">
        <f t="shared" si="187"/>
        <v>0.01161806607</v>
      </c>
      <c r="GC42" s="179">
        <f t="shared" si="188"/>
        <v>2343.857431</v>
      </c>
      <c r="GD42" s="180">
        <v>0.16716266605705102</v>
      </c>
      <c r="GE42" s="179">
        <f t="shared" si="189"/>
        <v>391.805457</v>
      </c>
      <c r="GF42" s="181">
        <f t="shared" si="190"/>
        <v>1952.051974</v>
      </c>
      <c r="GG42" s="176"/>
      <c r="GH42" s="176"/>
      <c r="GI42" s="176"/>
      <c r="GJ42" s="81"/>
      <c r="GK42" s="177">
        <f t="shared" si="215"/>
        <v>4</v>
      </c>
      <c r="GL42" s="178" t="s">
        <v>74</v>
      </c>
      <c r="GM42" s="179">
        <f>'Hitung Output'!CP63</f>
        <v>197059.7044</v>
      </c>
      <c r="GN42" s="180">
        <f t="shared" si="191"/>
        <v>0.01161806607</v>
      </c>
      <c r="GO42" s="179">
        <f t="shared" si="192"/>
        <v>2289.452665</v>
      </c>
      <c r="GP42" s="180">
        <v>0.16716266605705102</v>
      </c>
      <c r="GQ42" s="179">
        <f t="shared" si="193"/>
        <v>382.7110113</v>
      </c>
      <c r="GR42" s="181">
        <f t="shared" si="194"/>
        <v>1906.741654</v>
      </c>
      <c r="GS42" s="176"/>
      <c r="GT42" s="176"/>
      <c r="GU42" s="176"/>
      <c r="GV42" s="81"/>
      <c r="GW42" s="177">
        <f t="shared" si="216"/>
        <v>4</v>
      </c>
      <c r="GX42" s="178" t="s">
        <v>74</v>
      </c>
      <c r="GY42" s="179"/>
      <c r="GZ42" s="180">
        <f t="shared" si="195"/>
        <v>0.01161806607</v>
      </c>
      <c r="HA42" s="179">
        <f t="shared" si="196"/>
        <v>0</v>
      </c>
      <c r="HB42" s="180">
        <v>0.16716266605705102</v>
      </c>
      <c r="HC42" s="179">
        <f t="shared" si="197"/>
        <v>0</v>
      </c>
      <c r="HD42" s="181">
        <f t="shared" si="198"/>
        <v>0</v>
      </c>
      <c r="HE42" s="176"/>
      <c r="HF42" s="176"/>
      <c r="HG42" s="176"/>
      <c r="HH42" s="81"/>
      <c r="HI42" s="75"/>
    </row>
    <row r="43" ht="15.75" customHeight="1">
      <c r="A43" s="177">
        <f t="shared" si="199"/>
        <v>5</v>
      </c>
      <c r="B43" s="178" t="s">
        <v>75</v>
      </c>
      <c r="C43" s="179"/>
      <c r="D43" s="180">
        <f t="shared" si="127"/>
        <v>0.01161806607</v>
      </c>
      <c r="E43" s="179">
        <f t="shared" si="128"/>
        <v>0</v>
      </c>
      <c r="F43" s="180">
        <v>0.16716266605705102</v>
      </c>
      <c r="G43" s="179">
        <f t="shared" si="129"/>
        <v>0</v>
      </c>
      <c r="H43" s="181">
        <f t="shared" si="130"/>
        <v>0</v>
      </c>
      <c r="I43" s="176"/>
      <c r="J43" s="176"/>
      <c r="K43" s="176"/>
      <c r="L43" s="81"/>
      <c r="M43" s="177">
        <f t="shared" si="200"/>
        <v>5</v>
      </c>
      <c r="N43" s="178" t="s">
        <v>75</v>
      </c>
      <c r="O43" s="179"/>
      <c r="P43" s="180">
        <f t="shared" si="131"/>
        <v>0.01161806607</v>
      </c>
      <c r="Q43" s="179">
        <f t="shared" si="132"/>
        <v>0</v>
      </c>
      <c r="R43" s="180">
        <v>0.16716266605705102</v>
      </c>
      <c r="S43" s="179">
        <f t="shared" si="133"/>
        <v>0</v>
      </c>
      <c r="T43" s="181">
        <f t="shared" si="134"/>
        <v>0</v>
      </c>
      <c r="U43" s="176"/>
      <c r="V43" s="176"/>
      <c r="W43" s="176"/>
      <c r="X43" s="81"/>
      <c r="Y43" s="177">
        <f t="shared" si="201"/>
        <v>5</v>
      </c>
      <c r="Z43" s="178" t="s">
        <v>75</v>
      </c>
      <c r="AA43" s="179"/>
      <c r="AB43" s="180">
        <f t="shared" si="135"/>
        <v>0.01161806607</v>
      </c>
      <c r="AC43" s="179">
        <f t="shared" si="136"/>
        <v>0</v>
      </c>
      <c r="AD43" s="180">
        <v>0.16716266605705102</v>
      </c>
      <c r="AE43" s="179">
        <f t="shared" si="137"/>
        <v>0</v>
      </c>
      <c r="AF43" s="181">
        <f t="shared" si="138"/>
        <v>0</v>
      </c>
      <c r="AG43" s="176"/>
      <c r="AH43" s="176"/>
      <c r="AI43" s="176"/>
      <c r="AJ43" s="81"/>
      <c r="AK43" s="177">
        <f t="shared" si="202"/>
        <v>5</v>
      </c>
      <c r="AL43" s="178" t="s">
        <v>75</v>
      </c>
      <c r="AM43" s="179"/>
      <c r="AN43" s="180">
        <f t="shared" si="139"/>
        <v>0.01161806607</v>
      </c>
      <c r="AO43" s="179">
        <f t="shared" si="140"/>
        <v>0</v>
      </c>
      <c r="AP43" s="180">
        <v>0.16716266605705102</v>
      </c>
      <c r="AQ43" s="179">
        <f t="shared" si="141"/>
        <v>0</v>
      </c>
      <c r="AR43" s="181">
        <f t="shared" si="142"/>
        <v>0</v>
      </c>
      <c r="AS43" s="176"/>
      <c r="AT43" s="176"/>
      <c r="AU43" s="176"/>
      <c r="AV43" s="81"/>
      <c r="AW43" s="177">
        <f t="shared" si="203"/>
        <v>5</v>
      </c>
      <c r="AX43" s="178" t="s">
        <v>75</v>
      </c>
      <c r="AY43" s="179"/>
      <c r="AZ43" s="180">
        <f t="shared" si="143"/>
        <v>0.01161806607</v>
      </c>
      <c r="BA43" s="179">
        <f t="shared" si="144"/>
        <v>0</v>
      </c>
      <c r="BB43" s="180">
        <v>0.16716266605705102</v>
      </c>
      <c r="BC43" s="179">
        <f t="shared" si="145"/>
        <v>0</v>
      </c>
      <c r="BD43" s="181">
        <f t="shared" si="146"/>
        <v>0</v>
      </c>
      <c r="BE43" s="176"/>
      <c r="BF43" s="176"/>
      <c r="BG43" s="176"/>
      <c r="BH43" s="81"/>
      <c r="BI43" s="177">
        <f t="shared" si="204"/>
        <v>5</v>
      </c>
      <c r="BJ43" s="178" t="s">
        <v>75</v>
      </c>
      <c r="BK43" s="179"/>
      <c r="BL43" s="180">
        <f t="shared" si="147"/>
        <v>0.01161806607</v>
      </c>
      <c r="BM43" s="179">
        <f t="shared" si="148"/>
        <v>0</v>
      </c>
      <c r="BN43" s="180">
        <v>0.16716266605705102</v>
      </c>
      <c r="BO43" s="179">
        <f t="shared" si="149"/>
        <v>0</v>
      </c>
      <c r="BP43" s="181">
        <f t="shared" si="150"/>
        <v>0</v>
      </c>
      <c r="BQ43" s="176"/>
      <c r="BR43" s="176"/>
      <c r="BS43" s="176"/>
      <c r="BT43" s="81"/>
      <c r="BU43" s="177">
        <f t="shared" si="205"/>
        <v>5</v>
      </c>
      <c r="BV43" s="178" t="s">
        <v>75</v>
      </c>
      <c r="BW43" s="179"/>
      <c r="BX43" s="180">
        <f t="shared" si="151"/>
        <v>0.01161806607</v>
      </c>
      <c r="BY43" s="179">
        <f t="shared" si="152"/>
        <v>0</v>
      </c>
      <c r="BZ43" s="180">
        <v>0.16716266605705102</v>
      </c>
      <c r="CA43" s="179">
        <f t="shared" si="153"/>
        <v>0</v>
      </c>
      <c r="CB43" s="181">
        <f t="shared" si="154"/>
        <v>0</v>
      </c>
      <c r="CC43" s="176"/>
      <c r="CD43" s="176"/>
      <c r="CE43" s="176"/>
      <c r="CF43" s="81"/>
      <c r="CG43" s="177">
        <f t="shared" si="206"/>
        <v>5</v>
      </c>
      <c r="CH43" s="178" t="s">
        <v>75</v>
      </c>
      <c r="CI43" s="179"/>
      <c r="CJ43" s="180">
        <f t="shared" si="155"/>
        <v>0.01161806607</v>
      </c>
      <c r="CK43" s="179">
        <f t="shared" si="156"/>
        <v>0</v>
      </c>
      <c r="CL43" s="180">
        <v>0.16716266605705102</v>
      </c>
      <c r="CM43" s="179">
        <f t="shared" si="157"/>
        <v>0</v>
      </c>
      <c r="CN43" s="181">
        <f t="shared" si="158"/>
        <v>0</v>
      </c>
      <c r="CO43" s="176"/>
      <c r="CP43" s="176"/>
      <c r="CQ43" s="176"/>
      <c r="CR43" s="81"/>
      <c r="CS43" s="177">
        <f t="shared" si="207"/>
        <v>5</v>
      </c>
      <c r="CT43" s="178" t="s">
        <v>75</v>
      </c>
      <c r="CU43" s="179"/>
      <c r="CV43" s="180">
        <f t="shared" si="159"/>
        <v>0.01161806607</v>
      </c>
      <c r="CW43" s="179">
        <f t="shared" si="160"/>
        <v>0</v>
      </c>
      <c r="CX43" s="180">
        <v>0.16716266605705102</v>
      </c>
      <c r="CY43" s="179">
        <f t="shared" si="161"/>
        <v>0</v>
      </c>
      <c r="CZ43" s="181">
        <f t="shared" si="162"/>
        <v>0</v>
      </c>
      <c r="DA43" s="176"/>
      <c r="DB43" s="176"/>
      <c r="DC43" s="176"/>
      <c r="DD43" s="81"/>
      <c r="DE43" s="177">
        <f t="shared" si="208"/>
        <v>5</v>
      </c>
      <c r="DF43" s="178" t="s">
        <v>75</v>
      </c>
      <c r="DG43" s="179">
        <f>'Hitung Output'!BG64</f>
        <v>1775837.402</v>
      </c>
      <c r="DH43" s="180">
        <f t="shared" si="163"/>
        <v>0.01161806607</v>
      </c>
      <c r="DI43" s="182">
        <f t="shared" si="164"/>
        <v>20631.79625</v>
      </c>
      <c r="DJ43" s="180">
        <v>0.16716266605705102</v>
      </c>
      <c r="DK43" s="179">
        <f t="shared" si="165"/>
        <v>3448.866067</v>
      </c>
      <c r="DL43" s="181">
        <f t="shared" si="166"/>
        <v>17182.93019</v>
      </c>
      <c r="DM43" s="176"/>
      <c r="DN43" s="176"/>
      <c r="DO43" s="176"/>
      <c r="DP43" s="81"/>
      <c r="DQ43" s="177">
        <f t="shared" si="209"/>
        <v>5</v>
      </c>
      <c r="DR43" s="178" t="s">
        <v>75</v>
      </c>
      <c r="DS43" s="182">
        <f>'Hitung Output'!BL64</f>
        <v>1875003.444</v>
      </c>
      <c r="DT43" s="180">
        <f t="shared" si="167"/>
        <v>0.01161806607</v>
      </c>
      <c r="DU43" s="182">
        <f t="shared" si="168"/>
        <v>21783.91389</v>
      </c>
      <c r="DV43" s="180">
        <v>0.16716266605705102</v>
      </c>
      <c r="DW43" s="179">
        <f t="shared" si="169"/>
        <v>3641.457122</v>
      </c>
      <c r="DX43" s="181">
        <f t="shared" si="170"/>
        <v>18142.45676</v>
      </c>
      <c r="DY43" s="176"/>
      <c r="DZ43" s="176"/>
      <c r="EA43" s="176"/>
      <c r="EB43" s="81"/>
      <c r="EC43" s="177">
        <f t="shared" si="210"/>
        <v>5</v>
      </c>
      <c r="ED43" s="178" t="s">
        <v>75</v>
      </c>
      <c r="EE43" s="180">
        <f>'Hitung Output'!BQ64</f>
        <v>1975958.109</v>
      </c>
      <c r="EF43" s="180">
        <f t="shared" si="171"/>
        <v>0.01161806607</v>
      </c>
      <c r="EG43" s="183">
        <f t="shared" si="172"/>
        <v>22956.81186</v>
      </c>
      <c r="EH43" s="180">
        <v>0.16716266605705102</v>
      </c>
      <c r="EI43" s="179">
        <f t="shared" si="173"/>
        <v>3837.521875</v>
      </c>
      <c r="EJ43" s="181">
        <f t="shared" si="174"/>
        <v>19119.28999</v>
      </c>
      <c r="EK43" s="176"/>
      <c r="EL43" s="176"/>
      <c r="EM43" s="176"/>
      <c r="EN43" s="81"/>
      <c r="EO43" s="177">
        <f t="shared" si="211"/>
        <v>5</v>
      </c>
      <c r="EP43" s="178" t="s">
        <v>75</v>
      </c>
      <c r="EQ43" s="180">
        <f>'Hitung Output'!BV64</f>
        <v>2085992.69</v>
      </c>
      <c r="ER43" s="180">
        <f t="shared" si="175"/>
        <v>0.01161806607</v>
      </c>
      <c r="ES43" s="182">
        <f t="shared" si="176"/>
        <v>24235.20089</v>
      </c>
      <c r="ET43" s="180">
        <v>0.16716266605705102</v>
      </c>
      <c r="EU43" s="179">
        <f t="shared" si="177"/>
        <v>4051.220793</v>
      </c>
      <c r="EV43" s="181">
        <f t="shared" si="178"/>
        <v>20183.9801</v>
      </c>
      <c r="EW43" s="176"/>
      <c r="EX43" s="176"/>
      <c r="EY43" s="176"/>
      <c r="EZ43" s="81"/>
      <c r="FA43" s="177">
        <f t="shared" si="212"/>
        <v>5</v>
      </c>
      <c r="FB43" s="178" t="s">
        <v>75</v>
      </c>
      <c r="FC43" s="179">
        <f>'Hitung Output'!CA64</f>
        <v>2200210.148</v>
      </c>
      <c r="FD43" s="180">
        <f t="shared" si="179"/>
        <v>0.01161806607</v>
      </c>
      <c r="FE43" s="184">
        <f t="shared" si="180"/>
        <v>25562.18686</v>
      </c>
      <c r="FF43" s="180">
        <v>0.16716266605705102</v>
      </c>
      <c r="FG43" s="179">
        <f t="shared" si="181"/>
        <v>4273.043306</v>
      </c>
      <c r="FH43" s="181">
        <f t="shared" si="182"/>
        <v>21289.14356</v>
      </c>
      <c r="FI43" s="176"/>
      <c r="FJ43" s="176"/>
      <c r="FK43" s="176"/>
      <c r="FL43" s="81"/>
      <c r="FM43" s="177">
        <f t="shared" si="213"/>
        <v>5</v>
      </c>
      <c r="FN43" s="178" t="s">
        <v>75</v>
      </c>
      <c r="FO43" s="179">
        <f>'Hitung Output'!CF64</f>
        <v>2275241.306</v>
      </c>
      <c r="FP43" s="180">
        <f t="shared" si="183"/>
        <v>0.01161806607</v>
      </c>
      <c r="FQ43" s="179">
        <f t="shared" si="184"/>
        <v>26433.90381</v>
      </c>
      <c r="FR43" s="180">
        <v>0.16716266605705102</v>
      </c>
      <c r="FS43" s="179">
        <f t="shared" si="185"/>
        <v>4418.761834</v>
      </c>
      <c r="FT43" s="181">
        <f t="shared" si="186"/>
        <v>22015.14197</v>
      </c>
      <c r="FU43" s="176"/>
      <c r="FV43" s="176"/>
      <c r="FW43" s="176"/>
      <c r="FX43" s="81"/>
      <c r="FY43" s="177">
        <f t="shared" si="214"/>
        <v>5</v>
      </c>
      <c r="FZ43" s="178" t="s">
        <v>75</v>
      </c>
      <c r="GA43" s="179">
        <f>'Hitung Output'!CK64</f>
        <v>2299874.365</v>
      </c>
      <c r="GB43" s="180">
        <f t="shared" si="187"/>
        <v>0.01161806607</v>
      </c>
      <c r="GC43" s="179">
        <f t="shared" si="188"/>
        <v>26720.09231</v>
      </c>
      <c r="GD43" s="180">
        <v>0.16716266605705102</v>
      </c>
      <c r="GE43" s="179">
        <f t="shared" si="189"/>
        <v>4466.601868</v>
      </c>
      <c r="GF43" s="181">
        <f t="shared" si="190"/>
        <v>22253.49044</v>
      </c>
      <c r="GG43" s="176"/>
      <c r="GH43" s="176"/>
      <c r="GI43" s="176"/>
      <c r="GJ43" s="81"/>
      <c r="GK43" s="177">
        <f t="shared" si="215"/>
        <v>5</v>
      </c>
      <c r="GL43" s="178" t="s">
        <v>75</v>
      </c>
      <c r="GM43" s="179">
        <f>'Hitung Output'!CP64</f>
        <v>2359838.764</v>
      </c>
      <c r="GN43" s="180">
        <f t="shared" si="191"/>
        <v>0.01161806607</v>
      </c>
      <c r="GO43" s="179">
        <f t="shared" si="192"/>
        <v>27416.76266</v>
      </c>
      <c r="GP43" s="180">
        <v>0.16716266605705102</v>
      </c>
      <c r="GQ43" s="179">
        <f t="shared" si="193"/>
        <v>4583.059142</v>
      </c>
      <c r="GR43" s="181">
        <f t="shared" si="194"/>
        <v>22833.70352</v>
      </c>
      <c r="GS43" s="176"/>
      <c r="GT43" s="176"/>
      <c r="GU43" s="176"/>
      <c r="GV43" s="81"/>
      <c r="GW43" s="177">
        <f t="shared" si="216"/>
        <v>5</v>
      </c>
      <c r="GX43" s="178" t="s">
        <v>75</v>
      </c>
      <c r="GY43" s="179"/>
      <c r="GZ43" s="180">
        <f t="shared" si="195"/>
        <v>0.01161806607</v>
      </c>
      <c r="HA43" s="179">
        <f t="shared" si="196"/>
        <v>0</v>
      </c>
      <c r="HB43" s="180">
        <v>0.16716266605705102</v>
      </c>
      <c r="HC43" s="179">
        <f t="shared" si="197"/>
        <v>0</v>
      </c>
      <c r="HD43" s="181">
        <f t="shared" si="198"/>
        <v>0</v>
      </c>
      <c r="HE43" s="176"/>
      <c r="HF43" s="176"/>
      <c r="HG43" s="176"/>
      <c r="HH43" s="81"/>
      <c r="HI43" s="75"/>
    </row>
    <row r="44" ht="15.75" customHeight="1">
      <c r="A44" s="177">
        <f t="shared" si="199"/>
        <v>6</v>
      </c>
      <c r="B44" s="178" t="s">
        <v>76</v>
      </c>
      <c r="C44" s="179"/>
      <c r="D44" s="180">
        <f t="shared" si="127"/>
        <v>0.01161806607</v>
      </c>
      <c r="E44" s="179">
        <f t="shared" si="128"/>
        <v>0</v>
      </c>
      <c r="F44" s="180">
        <v>0.16716266605705102</v>
      </c>
      <c r="G44" s="179">
        <f t="shared" si="129"/>
        <v>0</v>
      </c>
      <c r="H44" s="181">
        <f t="shared" si="130"/>
        <v>0</v>
      </c>
      <c r="I44" s="176"/>
      <c r="J44" s="176"/>
      <c r="K44" s="176"/>
      <c r="L44" s="81"/>
      <c r="M44" s="177">
        <f t="shared" si="200"/>
        <v>6</v>
      </c>
      <c r="N44" s="178" t="s">
        <v>76</v>
      </c>
      <c r="O44" s="179"/>
      <c r="P44" s="180">
        <f t="shared" si="131"/>
        <v>0.01161806607</v>
      </c>
      <c r="Q44" s="179">
        <f t="shared" si="132"/>
        <v>0</v>
      </c>
      <c r="R44" s="180">
        <v>0.16716266605705102</v>
      </c>
      <c r="S44" s="179">
        <f t="shared" si="133"/>
        <v>0</v>
      </c>
      <c r="T44" s="181">
        <f t="shared" si="134"/>
        <v>0</v>
      </c>
      <c r="U44" s="176"/>
      <c r="V44" s="176"/>
      <c r="W44" s="176"/>
      <c r="X44" s="81"/>
      <c r="Y44" s="177">
        <f t="shared" si="201"/>
        <v>6</v>
      </c>
      <c r="Z44" s="178" t="s">
        <v>76</v>
      </c>
      <c r="AA44" s="179"/>
      <c r="AB44" s="180">
        <f t="shared" si="135"/>
        <v>0.01161806607</v>
      </c>
      <c r="AC44" s="179">
        <f t="shared" si="136"/>
        <v>0</v>
      </c>
      <c r="AD44" s="180">
        <v>0.16716266605705102</v>
      </c>
      <c r="AE44" s="179">
        <f t="shared" si="137"/>
        <v>0</v>
      </c>
      <c r="AF44" s="181">
        <f t="shared" si="138"/>
        <v>0</v>
      </c>
      <c r="AG44" s="176"/>
      <c r="AH44" s="176"/>
      <c r="AI44" s="176"/>
      <c r="AJ44" s="81"/>
      <c r="AK44" s="177">
        <f t="shared" si="202"/>
        <v>6</v>
      </c>
      <c r="AL44" s="178" t="s">
        <v>76</v>
      </c>
      <c r="AM44" s="179"/>
      <c r="AN44" s="180">
        <f t="shared" si="139"/>
        <v>0.01161806607</v>
      </c>
      <c r="AO44" s="179">
        <f t="shared" si="140"/>
        <v>0</v>
      </c>
      <c r="AP44" s="180">
        <v>0.16716266605705102</v>
      </c>
      <c r="AQ44" s="179">
        <f t="shared" si="141"/>
        <v>0</v>
      </c>
      <c r="AR44" s="181">
        <f t="shared" si="142"/>
        <v>0</v>
      </c>
      <c r="AS44" s="176"/>
      <c r="AT44" s="176"/>
      <c r="AU44" s="176"/>
      <c r="AV44" s="81"/>
      <c r="AW44" s="177">
        <f t="shared" si="203"/>
        <v>6</v>
      </c>
      <c r="AX44" s="178" t="s">
        <v>76</v>
      </c>
      <c r="AY44" s="179"/>
      <c r="AZ44" s="180">
        <f t="shared" si="143"/>
        <v>0.01161806607</v>
      </c>
      <c r="BA44" s="179">
        <f t="shared" si="144"/>
        <v>0</v>
      </c>
      <c r="BB44" s="180">
        <v>0.16716266605705102</v>
      </c>
      <c r="BC44" s="179">
        <f t="shared" si="145"/>
        <v>0</v>
      </c>
      <c r="BD44" s="181">
        <f t="shared" si="146"/>
        <v>0</v>
      </c>
      <c r="BE44" s="176"/>
      <c r="BF44" s="176"/>
      <c r="BG44" s="176"/>
      <c r="BH44" s="81"/>
      <c r="BI44" s="177">
        <f t="shared" si="204"/>
        <v>6</v>
      </c>
      <c r="BJ44" s="178" t="s">
        <v>76</v>
      </c>
      <c r="BK44" s="179"/>
      <c r="BL44" s="180">
        <f t="shared" si="147"/>
        <v>0.01161806607</v>
      </c>
      <c r="BM44" s="179">
        <f t="shared" si="148"/>
        <v>0</v>
      </c>
      <c r="BN44" s="180">
        <v>0.16716266605705102</v>
      </c>
      <c r="BO44" s="179">
        <f t="shared" si="149"/>
        <v>0</v>
      </c>
      <c r="BP44" s="181">
        <f t="shared" si="150"/>
        <v>0</v>
      </c>
      <c r="BQ44" s="176"/>
      <c r="BR44" s="176"/>
      <c r="BS44" s="176"/>
      <c r="BT44" s="81"/>
      <c r="BU44" s="177">
        <f t="shared" si="205"/>
        <v>6</v>
      </c>
      <c r="BV44" s="178" t="s">
        <v>76</v>
      </c>
      <c r="BW44" s="179"/>
      <c r="BX44" s="180">
        <f t="shared" si="151"/>
        <v>0.01161806607</v>
      </c>
      <c r="BY44" s="179">
        <f t="shared" si="152"/>
        <v>0</v>
      </c>
      <c r="BZ44" s="180">
        <v>0.16716266605705102</v>
      </c>
      <c r="CA44" s="179">
        <f t="shared" si="153"/>
        <v>0</v>
      </c>
      <c r="CB44" s="181">
        <f t="shared" si="154"/>
        <v>0</v>
      </c>
      <c r="CC44" s="176"/>
      <c r="CD44" s="176"/>
      <c r="CE44" s="176"/>
      <c r="CF44" s="81"/>
      <c r="CG44" s="177">
        <f t="shared" si="206"/>
        <v>6</v>
      </c>
      <c r="CH44" s="178" t="s">
        <v>76</v>
      </c>
      <c r="CI44" s="179"/>
      <c r="CJ44" s="180">
        <f t="shared" si="155"/>
        <v>0.01161806607</v>
      </c>
      <c r="CK44" s="179">
        <f t="shared" si="156"/>
        <v>0</v>
      </c>
      <c r="CL44" s="180">
        <v>0.16716266605705102</v>
      </c>
      <c r="CM44" s="179">
        <f t="shared" si="157"/>
        <v>0</v>
      </c>
      <c r="CN44" s="181">
        <f t="shared" si="158"/>
        <v>0</v>
      </c>
      <c r="CO44" s="176"/>
      <c r="CP44" s="176"/>
      <c r="CQ44" s="176"/>
      <c r="CR44" s="81"/>
      <c r="CS44" s="177">
        <f t="shared" si="207"/>
        <v>6</v>
      </c>
      <c r="CT44" s="178" t="s">
        <v>76</v>
      </c>
      <c r="CU44" s="179"/>
      <c r="CV44" s="180">
        <f t="shared" si="159"/>
        <v>0.01161806607</v>
      </c>
      <c r="CW44" s="179">
        <f t="shared" si="160"/>
        <v>0</v>
      </c>
      <c r="CX44" s="180">
        <v>0.16716266605705102</v>
      </c>
      <c r="CY44" s="179">
        <f t="shared" si="161"/>
        <v>0</v>
      </c>
      <c r="CZ44" s="181">
        <f t="shared" si="162"/>
        <v>0</v>
      </c>
      <c r="DA44" s="176"/>
      <c r="DB44" s="176"/>
      <c r="DC44" s="176"/>
      <c r="DD44" s="81"/>
      <c r="DE44" s="177">
        <f t="shared" si="208"/>
        <v>6</v>
      </c>
      <c r="DF44" s="178" t="s">
        <v>76</v>
      </c>
      <c r="DG44" s="179">
        <f>'Hitung Output'!BG65</f>
        <v>737713.3288</v>
      </c>
      <c r="DH44" s="180">
        <f t="shared" si="163"/>
        <v>0.01161806607</v>
      </c>
      <c r="DI44" s="182">
        <f t="shared" si="164"/>
        <v>8570.802192</v>
      </c>
      <c r="DJ44" s="180">
        <v>0.16716266605705102</v>
      </c>
      <c r="DK44" s="179">
        <f t="shared" si="165"/>
        <v>1432.718145</v>
      </c>
      <c r="DL44" s="181">
        <f t="shared" si="166"/>
        <v>7138.084047</v>
      </c>
      <c r="DM44" s="176"/>
      <c r="DN44" s="176"/>
      <c r="DO44" s="176"/>
      <c r="DP44" s="81"/>
      <c r="DQ44" s="177">
        <f t="shared" si="209"/>
        <v>6</v>
      </c>
      <c r="DR44" s="178" t="s">
        <v>76</v>
      </c>
      <c r="DS44" s="182">
        <f>'Hitung Output'!BL65</f>
        <v>782291.7634</v>
      </c>
      <c r="DT44" s="180">
        <f t="shared" si="167"/>
        <v>0.01161806607</v>
      </c>
      <c r="DU44" s="182">
        <f t="shared" si="168"/>
        <v>9088.717391</v>
      </c>
      <c r="DV44" s="180">
        <v>0.16716266605705102</v>
      </c>
      <c r="DW44" s="179">
        <f t="shared" si="169"/>
        <v>1519.29423</v>
      </c>
      <c r="DX44" s="181">
        <f t="shared" si="170"/>
        <v>7569.423161</v>
      </c>
      <c r="DY44" s="176"/>
      <c r="DZ44" s="176"/>
      <c r="EA44" s="176"/>
      <c r="EB44" s="81"/>
      <c r="EC44" s="177">
        <f t="shared" si="210"/>
        <v>6</v>
      </c>
      <c r="ED44" s="178" t="s">
        <v>76</v>
      </c>
      <c r="EE44" s="180">
        <f>'Hitung Output'!BQ65</f>
        <v>787655.5155</v>
      </c>
      <c r="EF44" s="180">
        <f t="shared" si="171"/>
        <v>0.01161806607</v>
      </c>
      <c r="EG44" s="183">
        <f t="shared" si="172"/>
        <v>9151.033817</v>
      </c>
      <c r="EH44" s="180">
        <v>0.16716266605705102</v>
      </c>
      <c r="EI44" s="179">
        <f t="shared" si="173"/>
        <v>1529.71121</v>
      </c>
      <c r="EJ44" s="181">
        <f t="shared" si="174"/>
        <v>7621.322607</v>
      </c>
      <c r="EK44" s="176"/>
      <c r="EL44" s="176"/>
      <c r="EM44" s="176"/>
      <c r="EN44" s="81"/>
      <c r="EO44" s="177">
        <f t="shared" si="211"/>
        <v>6</v>
      </c>
      <c r="EP44" s="178" t="s">
        <v>76</v>
      </c>
      <c r="EQ44" s="180">
        <f>'Hitung Output'!BV65</f>
        <v>838932.2303</v>
      </c>
      <c r="ER44" s="180">
        <f t="shared" si="175"/>
        <v>0.01161806607</v>
      </c>
      <c r="ES44" s="182">
        <f t="shared" si="176"/>
        <v>9746.770078</v>
      </c>
      <c r="ET44" s="180">
        <v>0.16716266605705102</v>
      </c>
      <c r="EU44" s="179">
        <f t="shared" si="177"/>
        <v>1629.296072</v>
      </c>
      <c r="EV44" s="181">
        <f t="shared" si="178"/>
        <v>8117.474006</v>
      </c>
      <c r="EW44" s="176"/>
      <c r="EX44" s="176"/>
      <c r="EY44" s="176"/>
      <c r="EZ44" s="81"/>
      <c r="FA44" s="177">
        <f t="shared" si="212"/>
        <v>6</v>
      </c>
      <c r="FB44" s="178" t="s">
        <v>76</v>
      </c>
      <c r="FC44" s="179">
        <f>'Hitung Output'!CA65</f>
        <v>871374.402</v>
      </c>
      <c r="FD44" s="180">
        <f t="shared" si="179"/>
        <v>0.01161806607</v>
      </c>
      <c r="FE44" s="184">
        <f t="shared" si="180"/>
        <v>10123.68537</v>
      </c>
      <c r="FF44" s="180">
        <v>0.16716266605705102</v>
      </c>
      <c r="FG44" s="179">
        <f t="shared" si="181"/>
        <v>1692.302237</v>
      </c>
      <c r="FH44" s="181">
        <f t="shared" si="182"/>
        <v>8431.383134</v>
      </c>
      <c r="FI44" s="176"/>
      <c r="FJ44" s="176"/>
      <c r="FK44" s="176"/>
      <c r="FL44" s="81"/>
      <c r="FM44" s="177">
        <f t="shared" si="213"/>
        <v>6</v>
      </c>
      <c r="FN44" s="178" t="s">
        <v>76</v>
      </c>
      <c r="FO44" s="179">
        <f>'Hitung Output'!CF65</f>
        <v>873427.1681</v>
      </c>
      <c r="FP44" s="180">
        <f t="shared" si="183"/>
        <v>0.01161806607</v>
      </c>
      <c r="FQ44" s="179">
        <f t="shared" si="184"/>
        <v>10147.53454</v>
      </c>
      <c r="FR44" s="180">
        <v>0.16716266605705102</v>
      </c>
      <c r="FS44" s="179">
        <f t="shared" si="185"/>
        <v>1696.288928</v>
      </c>
      <c r="FT44" s="181">
        <f t="shared" si="186"/>
        <v>8451.245615</v>
      </c>
      <c r="FU44" s="176"/>
      <c r="FV44" s="176"/>
      <c r="FW44" s="176"/>
      <c r="FX44" s="81"/>
      <c r="FY44" s="177">
        <f t="shared" si="214"/>
        <v>6</v>
      </c>
      <c r="FZ44" s="178" t="s">
        <v>76</v>
      </c>
      <c r="GA44" s="179">
        <f>'Hitung Output'!CK65</f>
        <v>956192.8074</v>
      </c>
      <c r="GB44" s="180">
        <f t="shared" si="187"/>
        <v>0.01161806607</v>
      </c>
      <c r="GC44" s="179">
        <f t="shared" si="188"/>
        <v>11109.11121</v>
      </c>
      <c r="GD44" s="180">
        <v>0.16716266605705102</v>
      </c>
      <c r="GE44" s="179">
        <f t="shared" si="189"/>
        <v>1857.028647</v>
      </c>
      <c r="GF44" s="181">
        <f t="shared" si="190"/>
        <v>9252.082562</v>
      </c>
      <c r="GG44" s="176"/>
      <c r="GH44" s="176"/>
      <c r="GI44" s="176"/>
      <c r="GJ44" s="81"/>
      <c r="GK44" s="177">
        <f t="shared" si="215"/>
        <v>6</v>
      </c>
      <c r="GL44" s="178" t="s">
        <v>76</v>
      </c>
      <c r="GM44" s="179">
        <f>'Hitung Output'!CP65</f>
        <v>1063902.266</v>
      </c>
      <c r="GN44" s="180">
        <f t="shared" si="191"/>
        <v>0.01161806607</v>
      </c>
      <c r="GO44" s="179">
        <f t="shared" si="192"/>
        <v>12360.48682</v>
      </c>
      <c r="GP44" s="180">
        <v>0.16716266605705102</v>
      </c>
      <c r="GQ44" s="179">
        <f t="shared" si="193"/>
        <v>2066.21193</v>
      </c>
      <c r="GR44" s="181">
        <f t="shared" si="194"/>
        <v>10294.27489</v>
      </c>
      <c r="GS44" s="176"/>
      <c r="GT44" s="176"/>
      <c r="GU44" s="176"/>
      <c r="GV44" s="81"/>
      <c r="GW44" s="177">
        <f t="shared" si="216"/>
        <v>6</v>
      </c>
      <c r="GX44" s="178" t="s">
        <v>76</v>
      </c>
      <c r="GY44" s="179"/>
      <c r="GZ44" s="180">
        <f t="shared" si="195"/>
        <v>0.01161806607</v>
      </c>
      <c r="HA44" s="179">
        <f t="shared" si="196"/>
        <v>0</v>
      </c>
      <c r="HB44" s="180">
        <v>0.16716266605705102</v>
      </c>
      <c r="HC44" s="179">
        <f t="shared" si="197"/>
        <v>0</v>
      </c>
      <c r="HD44" s="181">
        <f t="shared" si="198"/>
        <v>0</v>
      </c>
      <c r="HE44" s="176"/>
      <c r="HF44" s="176"/>
      <c r="HG44" s="176"/>
      <c r="HH44" s="81"/>
      <c r="HI44" s="75"/>
    </row>
    <row r="45" ht="15.75" customHeight="1">
      <c r="A45" s="177"/>
      <c r="B45" s="185"/>
      <c r="C45" s="179"/>
      <c r="D45" s="179"/>
      <c r="E45" s="179"/>
      <c r="F45" s="179"/>
      <c r="G45" s="179"/>
      <c r="H45" s="181"/>
      <c r="I45" s="176"/>
      <c r="J45" s="176"/>
      <c r="K45" s="176"/>
      <c r="L45" s="81"/>
      <c r="M45" s="177"/>
      <c r="N45" s="185"/>
      <c r="O45" s="179"/>
      <c r="P45" s="179"/>
      <c r="Q45" s="179"/>
      <c r="R45" s="179"/>
      <c r="S45" s="179"/>
      <c r="T45" s="181"/>
      <c r="U45" s="176"/>
      <c r="V45" s="176"/>
      <c r="W45" s="176"/>
      <c r="X45" s="81"/>
      <c r="Y45" s="177"/>
      <c r="Z45" s="185"/>
      <c r="AA45" s="179"/>
      <c r="AB45" s="179"/>
      <c r="AC45" s="179"/>
      <c r="AD45" s="179"/>
      <c r="AE45" s="179"/>
      <c r="AF45" s="181"/>
      <c r="AG45" s="176"/>
      <c r="AH45" s="176"/>
      <c r="AI45" s="176"/>
      <c r="AJ45" s="81"/>
      <c r="AK45" s="177"/>
      <c r="AL45" s="185"/>
      <c r="AM45" s="179"/>
      <c r="AN45" s="179"/>
      <c r="AO45" s="179"/>
      <c r="AP45" s="179"/>
      <c r="AQ45" s="179"/>
      <c r="AR45" s="181"/>
      <c r="AS45" s="176"/>
      <c r="AT45" s="176"/>
      <c r="AU45" s="176"/>
      <c r="AV45" s="81"/>
      <c r="AW45" s="177"/>
      <c r="AX45" s="185"/>
      <c r="AY45" s="179"/>
      <c r="AZ45" s="179"/>
      <c r="BA45" s="179"/>
      <c r="BB45" s="179"/>
      <c r="BC45" s="179"/>
      <c r="BD45" s="181"/>
      <c r="BE45" s="176"/>
      <c r="BF45" s="176"/>
      <c r="BG45" s="176"/>
      <c r="BH45" s="81"/>
      <c r="BI45" s="177"/>
      <c r="BJ45" s="185"/>
      <c r="BK45" s="179"/>
      <c r="BL45" s="179"/>
      <c r="BM45" s="179"/>
      <c r="BN45" s="179"/>
      <c r="BO45" s="179"/>
      <c r="BP45" s="181"/>
      <c r="BQ45" s="176"/>
      <c r="BR45" s="176"/>
      <c r="BS45" s="176"/>
      <c r="BT45" s="81"/>
      <c r="BU45" s="177"/>
      <c r="BV45" s="185"/>
      <c r="BW45" s="179"/>
      <c r="BX45" s="179"/>
      <c r="BY45" s="179"/>
      <c r="BZ45" s="179"/>
      <c r="CA45" s="179"/>
      <c r="CB45" s="181"/>
      <c r="CC45" s="176"/>
      <c r="CD45" s="176"/>
      <c r="CE45" s="176"/>
      <c r="CF45" s="81"/>
      <c r="CG45" s="177"/>
      <c r="CH45" s="185"/>
      <c r="CI45" s="179"/>
      <c r="CJ45" s="179"/>
      <c r="CK45" s="179"/>
      <c r="CL45" s="179"/>
      <c r="CM45" s="179"/>
      <c r="CN45" s="181"/>
      <c r="CO45" s="176"/>
      <c r="CP45" s="176"/>
      <c r="CQ45" s="176"/>
      <c r="CR45" s="81"/>
      <c r="CS45" s="177"/>
      <c r="CT45" s="185"/>
      <c r="CU45" s="179"/>
      <c r="CV45" s="179"/>
      <c r="CW45" s="179"/>
      <c r="CX45" s="179"/>
      <c r="CY45" s="179"/>
      <c r="CZ45" s="181"/>
      <c r="DA45" s="176"/>
      <c r="DB45" s="176"/>
      <c r="DC45" s="176"/>
      <c r="DD45" s="81"/>
      <c r="DE45" s="177"/>
      <c r="DF45" s="185"/>
      <c r="DG45" s="179"/>
      <c r="DH45" s="179"/>
      <c r="DI45" s="179"/>
      <c r="DJ45" s="179"/>
      <c r="DK45" s="179"/>
      <c r="DL45" s="181"/>
      <c r="DM45" s="176"/>
      <c r="DN45" s="176"/>
      <c r="DO45" s="176"/>
      <c r="DP45" s="81"/>
      <c r="DQ45" s="177"/>
      <c r="DR45" s="185"/>
      <c r="DS45" s="179"/>
      <c r="DT45" s="179"/>
      <c r="DU45" s="179"/>
      <c r="DV45" s="179"/>
      <c r="DW45" s="179"/>
      <c r="DX45" s="181"/>
      <c r="DY45" s="176"/>
      <c r="DZ45" s="176"/>
      <c r="EA45" s="176"/>
      <c r="EB45" s="81"/>
      <c r="EC45" s="177"/>
      <c r="ED45" s="185"/>
      <c r="EE45" s="179"/>
      <c r="EF45" s="179"/>
      <c r="EG45" s="179"/>
      <c r="EH45" s="179"/>
      <c r="EI45" s="179"/>
      <c r="EJ45" s="181"/>
      <c r="EK45" s="176"/>
      <c r="EL45" s="176"/>
      <c r="EM45" s="176"/>
      <c r="EN45" s="81"/>
      <c r="EO45" s="177"/>
      <c r="EP45" s="185"/>
      <c r="EQ45" s="179"/>
      <c r="ER45" s="179"/>
      <c r="ES45" s="179"/>
      <c r="ET45" s="179"/>
      <c r="EU45" s="179"/>
      <c r="EV45" s="181"/>
      <c r="EW45" s="176"/>
      <c r="EX45" s="176"/>
      <c r="EY45" s="176"/>
      <c r="EZ45" s="81"/>
      <c r="FA45" s="177"/>
      <c r="FB45" s="185"/>
      <c r="FC45" s="179"/>
      <c r="FD45" s="179"/>
      <c r="FE45" s="179"/>
      <c r="FF45" s="179"/>
      <c r="FG45" s="179"/>
      <c r="FH45" s="181"/>
      <c r="FI45" s="176"/>
      <c r="FJ45" s="176"/>
      <c r="FK45" s="176"/>
      <c r="FL45" s="81"/>
      <c r="FM45" s="177"/>
      <c r="FN45" s="185"/>
      <c r="FO45" s="179"/>
      <c r="FP45" s="179"/>
      <c r="FQ45" s="179"/>
      <c r="FR45" s="179"/>
      <c r="FS45" s="179"/>
      <c r="FT45" s="181"/>
      <c r="FU45" s="176"/>
      <c r="FV45" s="176"/>
      <c r="FW45" s="176"/>
      <c r="FX45" s="81"/>
      <c r="FY45" s="177"/>
      <c r="FZ45" s="185"/>
      <c r="GA45" s="179"/>
      <c r="GB45" s="179"/>
      <c r="GC45" s="179"/>
      <c r="GD45" s="179"/>
      <c r="GE45" s="179"/>
      <c r="GF45" s="181"/>
      <c r="GG45" s="176"/>
      <c r="GH45" s="176"/>
      <c r="GI45" s="176"/>
      <c r="GJ45" s="81"/>
      <c r="GK45" s="177"/>
      <c r="GL45" s="185"/>
      <c r="GM45" s="179"/>
      <c r="GN45" s="179"/>
      <c r="GO45" s="179"/>
      <c r="GP45" s="179"/>
      <c r="GQ45" s="179"/>
      <c r="GR45" s="181"/>
      <c r="GS45" s="176"/>
      <c r="GT45" s="176"/>
      <c r="GU45" s="176"/>
      <c r="GV45" s="81"/>
      <c r="GW45" s="177"/>
      <c r="GX45" s="185"/>
      <c r="GY45" s="179"/>
      <c r="GZ45" s="179"/>
      <c r="HA45" s="179"/>
      <c r="HB45" s="179"/>
      <c r="HC45" s="179"/>
      <c r="HD45" s="181"/>
      <c r="HE45" s="176"/>
      <c r="HF45" s="176"/>
      <c r="HG45" s="176"/>
      <c r="HH45" s="81"/>
      <c r="HI45" s="75"/>
    </row>
    <row r="46" ht="15.75" customHeight="1">
      <c r="A46" s="186" t="s">
        <v>77</v>
      </c>
      <c r="B46" s="127"/>
      <c r="C46" s="187">
        <f>SUM(C39:C45)</f>
        <v>0</v>
      </c>
      <c r="D46" s="188"/>
      <c r="E46" s="187">
        <f>SUM(E39:E45)</f>
        <v>0</v>
      </c>
      <c r="F46" s="189"/>
      <c r="G46" s="187">
        <f t="shared" ref="G46:H46" si="217">SUM(G39:G45)</f>
        <v>0</v>
      </c>
      <c r="H46" s="190">
        <f t="shared" si="217"/>
        <v>0</v>
      </c>
      <c r="I46" s="191"/>
      <c r="J46" s="191"/>
      <c r="K46" s="191"/>
      <c r="L46" s="133"/>
      <c r="M46" s="186" t="s">
        <v>77</v>
      </c>
      <c r="N46" s="127"/>
      <c r="O46" s="187">
        <f>SUM(O39:O45)</f>
        <v>0</v>
      </c>
      <c r="P46" s="188"/>
      <c r="Q46" s="187">
        <f>SUM(Q39:Q45)</f>
        <v>0</v>
      </c>
      <c r="R46" s="189"/>
      <c r="S46" s="187">
        <f t="shared" ref="S46:T46" si="218">SUM(S39:S45)</f>
        <v>0</v>
      </c>
      <c r="T46" s="190">
        <f t="shared" si="218"/>
        <v>0</v>
      </c>
      <c r="U46" s="191"/>
      <c r="V46" s="191"/>
      <c r="W46" s="191"/>
      <c r="X46" s="133"/>
      <c r="Y46" s="186" t="s">
        <v>77</v>
      </c>
      <c r="Z46" s="127"/>
      <c r="AA46" s="187">
        <f>SUM(AA39:AA45)</f>
        <v>0</v>
      </c>
      <c r="AB46" s="188"/>
      <c r="AC46" s="187">
        <f>SUM(AC39:AC45)</f>
        <v>0</v>
      </c>
      <c r="AD46" s="189"/>
      <c r="AE46" s="187">
        <f t="shared" ref="AE46:AF46" si="219">SUM(AE39:AE45)</f>
        <v>0</v>
      </c>
      <c r="AF46" s="190">
        <f t="shared" si="219"/>
        <v>0</v>
      </c>
      <c r="AG46" s="191"/>
      <c r="AH46" s="191"/>
      <c r="AI46" s="191"/>
      <c r="AJ46" s="133"/>
      <c r="AK46" s="186" t="s">
        <v>77</v>
      </c>
      <c r="AL46" s="127"/>
      <c r="AM46" s="187">
        <f>SUM(AM39:AM45)</f>
        <v>0</v>
      </c>
      <c r="AN46" s="188"/>
      <c r="AO46" s="187">
        <f>SUM(AO39:AO45)</f>
        <v>0</v>
      </c>
      <c r="AP46" s="189"/>
      <c r="AQ46" s="187">
        <f t="shared" ref="AQ46:AR46" si="220">SUM(AQ39:AQ45)</f>
        <v>0</v>
      </c>
      <c r="AR46" s="190">
        <f t="shared" si="220"/>
        <v>0</v>
      </c>
      <c r="AS46" s="191"/>
      <c r="AT46" s="191"/>
      <c r="AU46" s="191"/>
      <c r="AV46" s="133"/>
      <c r="AW46" s="186" t="s">
        <v>77</v>
      </c>
      <c r="AX46" s="127"/>
      <c r="AY46" s="187">
        <f>SUM(AY39:AY45)</f>
        <v>0</v>
      </c>
      <c r="AZ46" s="188"/>
      <c r="BA46" s="187">
        <f>SUM(BA39:BA45)</f>
        <v>0</v>
      </c>
      <c r="BB46" s="189"/>
      <c r="BC46" s="187">
        <f t="shared" ref="BC46:BD46" si="221">SUM(BC39:BC45)</f>
        <v>0</v>
      </c>
      <c r="BD46" s="190">
        <f t="shared" si="221"/>
        <v>0</v>
      </c>
      <c r="BE46" s="191"/>
      <c r="BF46" s="191"/>
      <c r="BG46" s="191"/>
      <c r="BH46" s="133"/>
      <c r="BI46" s="186" t="s">
        <v>77</v>
      </c>
      <c r="BJ46" s="127"/>
      <c r="BK46" s="187">
        <f>SUM(BK39:BK45)</f>
        <v>0</v>
      </c>
      <c r="BL46" s="188"/>
      <c r="BM46" s="187">
        <f>SUM(BM39:BM45)</f>
        <v>0</v>
      </c>
      <c r="BN46" s="189"/>
      <c r="BO46" s="187">
        <f t="shared" ref="BO46:BP46" si="222">SUM(BO39:BO45)</f>
        <v>0</v>
      </c>
      <c r="BP46" s="190">
        <f t="shared" si="222"/>
        <v>0</v>
      </c>
      <c r="BQ46" s="191"/>
      <c r="BR46" s="191"/>
      <c r="BS46" s="191"/>
      <c r="BT46" s="133"/>
      <c r="BU46" s="186" t="s">
        <v>77</v>
      </c>
      <c r="BV46" s="127"/>
      <c r="BW46" s="187">
        <f>SUM(BW39:BW45)</f>
        <v>0</v>
      </c>
      <c r="BX46" s="188"/>
      <c r="BY46" s="187">
        <f>SUM(BY39:BY45)</f>
        <v>0</v>
      </c>
      <c r="BZ46" s="189"/>
      <c r="CA46" s="187">
        <f t="shared" ref="CA46:CB46" si="223">SUM(CA39:CA45)</f>
        <v>0</v>
      </c>
      <c r="CB46" s="190">
        <f t="shared" si="223"/>
        <v>0</v>
      </c>
      <c r="CC46" s="191"/>
      <c r="CD46" s="191"/>
      <c r="CE46" s="191"/>
      <c r="CF46" s="133"/>
      <c r="CG46" s="186" t="s">
        <v>77</v>
      </c>
      <c r="CH46" s="127"/>
      <c r="CI46" s="187">
        <f>SUM(CI39:CI45)</f>
        <v>0</v>
      </c>
      <c r="CJ46" s="188"/>
      <c r="CK46" s="187">
        <f>SUM(CK39:CK45)</f>
        <v>0</v>
      </c>
      <c r="CL46" s="189"/>
      <c r="CM46" s="187">
        <f t="shared" ref="CM46:CN46" si="224">SUM(CM39:CM45)</f>
        <v>0</v>
      </c>
      <c r="CN46" s="190">
        <f t="shared" si="224"/>
        <v>0</v>
      </c>
      <c r="CO46" s="191"/>
      <c r="CP46" s="191"/>
      <c r="CQ46" s="191"/>
      <c r="CR46" s="133"/>
      <c r="CS46" s="186" t="s">
        <v>77</v>
      </c>
      <c r="CT46" s="127"/>
      <c r="CU46" s="187">
        <f>SUM(CU39:CU45)</f>
        <v>0</v>
      </c>
      <c r="CV46" s="188"/>
      <c r="CW46" s="187">
        <f>SUM(CW39:CW45)</f>
        <v>0</v>
      </c>
      <c r="CX46" s="189"/>
      <c r="CY46" s="187">
        <f t="shared" ref="CY46:CZ46" si="225">SUM(CY39:CY45)</f>
        <v>0</v>
      </c>
      <c r="CZ46" s="190">
        <f t="shared" si="225"/>
        <v>0</v>
      </c>
      <c r="DA46" s="191"/>
      <c r="DB46" s="191"/>
      <c r="DC46" s="191"/>
      <c r="DD46" s="133"/>
      <c r="DE46" s="186" t="s">
        <v>77</v>
      </c>
      <c r="DF46" s="127"/>
      <c r="DG46" s="187">
        <f>SUM(DG39:DG45)</f>
        <v>3254087.016</v>
      </c>
      <c r="DH46" s="188"/>
      <c r="DI46" s="187">
        <f>SUM(DI39:DI45)</f>
        <v>37806.19793</v>
      </c>
      <c r="DJ46" s="189"/>
      <c r="DK46" s="187">
        <f t="shared" ref="DK46:DL46" si="226">SUM(DK39:DK45)</f>
        <v>6319.78484</v>
      </c>
      <c r="DL46" s="190">
        <f t="shared" si="226"/>
        <v>31486.41309</v>
      </c>
      <c r="DM46" s="191"/>
      <c r="DN46" s="191"/>
      <c r="DO46" s="191"/>
      <c r="DP46" s="133"/>
      <c r="DQ46" s="186" t="s">
        <v>77</v>
      </c>
      <c r="DR46" s="127"/>
      <c r="DS46" s="187">
        <f>SUM(DS39:DS45)</f>
        <v>3376274.845</v>
      </c>
      <c r="DT46" s="188"/>
      <c r="DU46" s="187">
        <f>SUM(DU39:DU45)</f>
        <v>39225.78421</v>
      </c>
      <c r="DV46" s="189"/>
      <c r="DW46" s="187">
        <f t="shared" ref="DW46:DX46" si="227">SUM(DW39:DW45)</f>
        <v>6557.086667</v>
      </c>
      <c r="DX46" s="190">
        <f t="shared" si="227"/>
        <v>32668.69755</v>
      </c>
      <c r="DY46" s="191"/>
      <c r="DZ46" s="191"/>
      <c r="EA46" s="191"/>
      <c r="EB46" s="133"/>
      <c r="EC46" s="186" t="s">
        <v>77</v>
      </c>
      <c r="ED46" s="127"/>
      <c r="EE46" s="187">
        <f>SUM(EE39:EE45)</f>
        <v>3430532.839</v>
      </c>
      <c r="EF46" s="188"/>
      <c r="EG46" s="187">
        <f>SUM(EG39:EG45)</f>
        <v>39856.15717</v>
      </c>
      <c r="EH46" s="189"/>
      <c r="EI46" s="187">
        <f t="shared" ref="EI46:EJ46" si="228">SUM(EI39:EI45)</f>
        <v>6662.461492</v>
      </c>
      <c r="EJ46" s="190">
        <f t="shared" si="228"/>
        <v>33193.69568</v>
      </c>
      <c r="EK46" s="191"/>
      <c r="EL46" s="191"/>
      <c r="EM46" s="191"/>
      <c r="EN46" s="133"/>
      <c r="EO46" s="186" t="s">
        <v>77</v>
      </c>
      <c r="EP46" s="127"/>
      <c r="EQ46" s="187">
        <f>SUM(EQ39:EQ45)</f>
        <v>3605190.95</v>
      </c>
      <c r="ER46" s="188"/>
      <c r="ES46" s="187">
        <f>SUM(ES39:ES45)</f>
        <v>41885.34664</v>
      </c>
      <c r="ET46" s="189"/>
      <c r="EU46" s="187">
        <f t="shared" ref="EU46:EV46" si="229">SUM(EU39:EU45)</f>
        <v>7001.666214</v>
      </c>
      <c r="EV46" s="190">
        <f t="shared" si="229"/>
        <v>34883.68043</v>
      </c>
      <c r="EW46" s="191"/>
      <c r="EX46" s="191"/>
      <c r="EY46" s="191"/>
      <c r="EZ46" s="133"/>
      <c r="FA46" s="186" t="s">
        <v>77</v>
      </c>
      <c r="FB46" s="127"/>
      <c r="FC46" s="187">
        <f>SUM(FC39:FC45)</f>
        <v>3738726.407</v>
      </c>
      <c r="FD46" s="188"/>
      <c r="FE46" s="187">
        <f>SUM(FE39:FE45)</f>
        <v>43436.7704</v>
      </c>
      <c r="FF46" s="189"/>
      <c r="FG46" s="187">
        <f t="shared" ref="FG46:FH46" si="230">SUM(FG39:FG45)</f>
        <v>7261.006345</v>
      </c>
      <c r="FH46" s="190">
        <f t="shared" si="230"/>
        <v>36175.76406</v>
      </c>
      <c r="FI46" s="191"/>
      <c r="FJ46" s="191"/>
      <c r="FK46" s="191"/>
      <c r="FL46" s="133"/>
      <c r="FM46" s="186" t="s">
        <v>77</v>
      </c>
      <c r="FN46" s="127"/>
      <c r="FO46" s="187">
        <f>SUM(FO39:FO45)</f>
        <v>3798593.205</v>
      </c>
      <c r="FP46" s="188"/>
      <c r="FQ46" s="187">
        <f>SUM(FQ39:FQ45)</f>
        <v>44132.30682</v>
      </c>
      <c r="FR46" s="189"/>
      <c r="FS46" s="187">
        <f t="shared" ref="FS46:FT46" si="231">SUM(FS39:FS45)</f>
        <v>7377.274067</v>
      </c>
      <c r="FT46" s="190">
        <f t="shared" si="231"/>
        <v>36755.03275</v>
      </c>
      <c r="FU46" s="191"/>
      <c r="FV46" s="191"/>
      <c r="FW46" s="191"/>
      <c r="FX46" s="133"/>
      <c r="FY46" s="186" t="s">
        <v>77</v>
      </c>
      <c r="FZ46" s="127"/>
      <c r="GA46" s="187">
        <f>SUM(GA39:GA45)</f>
        <v>3984990.547</v>
      </c>
      <c r="GB46" s="188"/>
      <c r="GC46" s="187">
        <f>SUM(GC39:GC45)</f>
        <v>46297.88344</v>
      </c>
      <c r="GD46" s="189"/>
      <c r="GE46" s="187">
        <f t="shared" ref="GE46:GF46" si="232">SUM(GE39:GE45)</f>
        <v>7739.277629</v>
      </c>
      <c r="GF46" s="190">
        <f t="shared" si="232"/>
        <v>38558.60582</v>
      </c>
      <c r="GG46" s="191"/>
      <c r="GH46" s="191"/>
      <c r="GI46" s="191"/>
      <c r="GJ46" s="133"/>
      <c r="GK46" s="186" t="s">
        <v>77</v>
      </c>
      <c r="GL46" s="127"/>
      <c r="GM46" s="187">
        <f>SUM(GM39:GM45)</f>
        <v>4139627.93</v>
      </c>
      <c r="GN46" s="188"/>
      <c r="GO46" s="187">
        <f>SUM(GO39:GO45)</f>
        <v>48094.47079</v>
      </c>
      <c r="GP46" s="189"/>
      <c r="GQ46" s="187">
        <f t="shared" ref="GQ46:GR46" si="233">SUM(GQ39:GQ45)</f>
        <v>8039.599959</v>
      </c>
      <c r="GR46" s="190">
        <f t="shared" si="233"/>
        <v>40054.87083</v>
      </c>
      <c r="GS46" s="191"/>
      <c r="GT46" s="191"/>
      <c r="GU46" s="191"/>
      <c r="GV46" s="133"/>
      <c r="GW46" s="186" t="s">
        <v>77</v>
      </c>
      <c r="GX46" s="127"/>
      <c r="GY46" s="187">
        <f>SUM(GY39:GY45)</f>
        <v>0</v>
      </c>
      <c r="GZ46" s="188"/>
      <c r="HA46" s="187">
        <f>SUM(HA39:HA45)</f>
        <v>0</v>
      </c>
      <c r="HB46" s="189"/>
      <c r="HC46" s="187">
        <f t="shared" ref="HC46:HD46" si="234">SUM(HC39:HC45)</f>
        <v>0</v>
      </c>
      <c r="HD46" s="190">
        <f t="shared" si="234"/>
        <v>0</v>
      </c>
      <c r="HE46" s="191"/>
      <c r="HF46" s="191"/>
      <c r="HG46" s="191"/>
      <c r="HH46" s="133"/>
      <c r="HI46" s="132"/>
    </row>
    <row r="47" ht="15.75" customHeight="1">
      <c r="A47" s="177"/>
      <c r="B47" s="178"/>
      <c r="C47" s="178"/>
      <c r="D47" s="178"/>
      <c r="E47" s="179"/>
      <c r="F47" s="179"/>
      <c r="G47" s="179"/>
      <c r="H47" s="192"/>
      <c r="I47" s="193"/>
      <c r="J47" s="193"/>
      <c r="K47" s="193"/>
      <c r="L47" s="136"/>
      <c r="M47" s="177"/>
      <c r="N47" s="178"/>
      <c r="O47" s="178"/>
      <c r="P47" s="178"/>
      <c r="Q47" s="179"/>
      <c r="R47" s="179"/>
      <c r="S47" s="179"/>
      <c r="T47" s="192"/>
      <c r="U47" s="193"/>
      <c r="V47" s="193"/>
      <c r="W47" s="193"/>
      <c r="X47" s="136"/>
      <c r="Y47" s="177"/>
      <c r="Z47" s="178"/>
      <c r="AA47" s="178"/>
      <c r="AB47" s="178"/>
      <c r="AC47" s="179"/>
      <c r="AD47" s="179"/>
      <c r="AE47" s="179"/>
      <c r="AF47" s="192"/>
      <c r="AG47" s="193"/>
      <c r="AH47" s="193"/>
      <c r="AI47" s="193"/>
      <c r="AJ47" s="136"/>
      <c r="AK47" s="177"/>
      <c r="AL47" s="178"/>
      <c r="AM47" s="178"/>
      <c r="AN47" s="178"/>
      <c r="AO47" s="179"/>
      <c r="AP47" s="179"/>
      <c r="AQ47" s="179"/>
      <c r="AR47" s="192"/>
      <c r="AS47" s="193"/>
      <c r="AT47" s="193"/>
      <c r="AU47" s="193"/>
      <c r="AV47" s="136"/>
      <c r="AW47" s="177"/>
      <c r="AX47" s="178"/>
      <c r="AY47" s="178"/>
      <c r="AZ47" s="178"/>
      <c r="BA47" s="179"/>
      <c r="BB47" s="179"/>
      <c r="BC47" s="179"/>
      <c r="BD47" s="192"/>
      <c r="BE47" s="193"/>
      <c r="BF47" s="193"/>
      <c r="BG47" s="193"/>
      <c r="BH47" s="136"/>
      <c r="BI47" s="177"/>
      <c r="BJ47" s="178"/>
      <c r="BK47" s="178"/>
      <c r="BL47" s="178"/>
      <c r="BM47" s="179"/>
      <c r="BN47" s="179"/>
      <c r="BO47" s="179"/>
      <c r="BP47" s="192"/>
      <c r="BQ47" s="193"/>
      <c r="BR47" s="193"/>
      <c r="BS47" s="193"/>
      <c r="BT47" s="136"/>
      <c r="BU47" s="177"/>
      <c r="BV47" s="178"/>
      <c r="BW47" s="178"/>
      <c r="BX47" s="178"/>
      <c r="BY47" s="179"/>
      <c r="BZ47" s="179"/>
      <c r="CA47" s="179"/>
      <c r="CB47" s="192"/>
      <c r="CC47" s="193"/>
      <c r="CD47" s="193"/>
      <c r="CE47" s="193"/>
      <c r="CF47" s="136"/>
      <c r="CG47" s="177"/>
      <c r="CH47" s="178"/>
      <c r="CI47" s="178"/>
      <c r="CJ47" s="178"/>
      <c r="CK47" s="179"/>
      <c r="CL47" s="179"/>
      <c r="CM47" s="179"/>
      <c r="CN47" s="192"/>
      <c r="CO47" s="193"/>
      <c r="CP47" s="193"/>
      <c r="CQ47" s="193"/>
      <c r="CR47" s="136"/>
      <c r="CS47" s="177"/>
      <c r="CT47" s="178"/>
      <c r="CU47" s="178"/>
      <c r="CV47" s="178"/>
      <c r="CW47" s="179"/>
      <c r="CX47" s="179"/>
      <c r="CY47" s="179"/>
      <c r="CZ47" s="192"/>
      <c r="DA47" s="193"/>
      <c r="DB47" s="193"/>
      <c r="DC47" s="193"/>
      <c r="DD47" s="136"/>
      <c r="DE47" s="177"/>
      <c r="DF47" s="178"/>
      <c r="DG47" s="178"/>
      <c r="DH47" s="178"/>
      <c r="DI47" s="179"/>
      <c r="DJ47" s="179"/>
      <c r="DK47" s="179"/>
      <c r="DL47" s="192"/>
      <c r="DM47" s="193"/>
      <c r="DN47" s="193"/>
      <c r="DO47" s="193"/>
      <c r="DP47" s="136"/>
      <c r="DQ47" s="177"/>
      <c r="DR47" s="178"/>
      <c r="DS47" s="178"/>
      <c r="DT47" s="178"/>
      <c r="DU47" s="179"/>
      <c r="DV47" s="179"/>
      <c r="DW47" s="179"/>
      <c r="DX47" s="192"/>
      <c r="DY47" s="193"/>
      <c r="DZ47" s="193"/>
      <c r="EA47" s="193"/>
      <c r="EB47" s="136"/>
      <c r="EC47" s="177"/>
      <c r="ED47" s="178"/>
      <c r="EE47" s="178"/>
      <c r="EF47" s="178"/>
      <c r="EG47" s="179"/>
      <c r="EH47" s="179"/>
      <c r="EI47" s="179"/>
      <c r="EJ47" s="192"/>
      <c r="EK47" s="193"/>
      <c r="EL47" s="193"/>
      <c r="EM47" s="193"/>
      <c r="EN47" s="136"/>
      <c r="EO47" s="177"/>
      <c r="EP47" s="178"/>
      <c r="EQ47" s="178"/>
      <c r="ER47" s="178"/>
      <c r="ES47" s="179"/>
      <c r="ET47" s="179"/>
      <c r="EU47" s="179"/>
      <c r="EV47" s="192"/>
      <c r="EW47" s="193"/>
      <c r="EX47" s="193"/>
      <c r="EY47" s="193"/>
      <c r="EZ47" s="136"/>
      <c r="FA47" s="177"/>
      <c r="FB47" s="178"/>
      <c r="FC47" s="178"/>
      <c r="FD47" s="178"/>
      <c r="FE47" s="179"/>
      <c r="FF47" s="179"/>
      <c r="FG47" s="179"/>
      <c r="FH47" s="192"/>
      <c r="FI47" s="193"/>
      <c r="FJ47" s="193"/>
      <c r="FK47" s="193"/>
      <c r="FL47" s="136"/>
      <c r="FM47" s="177"/>
      <c r="FN47" s="178"/>
      <c r="FO47" s="178"/>
      <c r="FP47" s="178"/>
      <c r="FQ47" s="179"/>
      <c r="FR47" s="179"/>
      <c r="FS47" s="179"/>
      <c r="FT47" s="192"/>
      <c r="FU47" s="193"/>
      <c r="FV47" s="193"/>
      <c r="FW47" s="193"/>
      <c r="FX47" s="136"/>
      <c r="FY47" s="177"/>
      <c r="FZ47" s="178"/>
      <c r="GA47" s="178"/>
      <c r="GB47" s="178"/>
      <c r="GC47" s="179"/>
      <c r="GD47" s="179"/>
      <c r="GE47" s="179"/>
      <c r="GF47" s="192"/>
      <c r="GG47" s="193"/>
      <c r="GH47" s="193"/>
      <c r="GI47" s="193"/>
      <c r="GJ47" s="136"/>
      <c r="GK47" s="177"/>
      <c r="GL47" s="178"/>
      <c r="GM47" s="178"/>
      <c r="GN47" s="178"/>
      <c r="GO47" s="179"/>
      <c r="GP47" s="179"/>
      <c r="GQ47" s="179"/>
      <c r="GR47" s="192"/>
      <c r="GS47" s="193"/>
      <c r="GT47" s="193"/>
      <c r="GU47" s="193"/>
      <c r="GV47" s="136"/>
      <c r="GW47" s="177"/>
      <c r="GX47" s="178"/>
      <c r="GY47" s="178"/>
      <c r="GZ47" s="178"/>
      <c r="HA47" s="179"/>
      <c r="HB47" s="179"/>
      <c r="HC47" s="179"/>
      <c r="HD47" s="192"/>
      <c r="HE47" s="193"/>
      <c r="HF47" s="193"/>
      <c r="HG47" s="193"/>
      <c r="HH47" s="136"/>
      <c r="HI47" s="135"/>
    </row>
    <row r="48" ht="15.75" customHeight="1">
      <c r="A48" s="177"/>
      <c r="B48" s="194" t="str">
        <f>"Adjusment "&amp;" %"</f>
        <v>Adjusment  %</v>
      </c>
      <c r="C48" s="195"/>
      <c r="D48" s="196"/>
      <c r="E48" s="197">
        <f>C48/100*E46</f>
        <v>0</v>
      </c>
      <c r="F48" s="198"/>
      <c r="G48" s="179">
        <f>IFERROR(+E48-H48,"")</f>
        <v>0</v>
      </c>
      <c r="H48" s="199">
        <f>C48/100*H46</f>
        <v>0</v>
      </c>
      <c r="I48" s="176"/>
      <c r="J48" s="176"/>
      <c r="K48" s="176"/>
      <c r="L48" s="81"/>
      <c r="M48" s="177"/>
      <c r="N48" s="194" t="str">
        <f>"Adjusment "&amp;" %"</f>
        <v>Adjusment  %</v>
      </c>
      <c r="O48" s="195"/>
      <c r="P48" s="196"/>
      <c r="Q48" s="197">
        <f>O48/100*Q46</f>
        <v>0</v>
      </c>
      <c r="R48" s="198"/>
      <c r="S48" s="179">
        <f>IFERROR(+Q48-T48,"")</f>
        <v>0</v>
      </c>
      <c r="T48" s="199">
        <f>O48/100*T46</f>
        <v>0</v>
      </c>
      <c r="U48" s="176"/>
      <c r="V48" s="176"/>
      <c r="W48" s="176"/>
      <c r="X48" s="81"/>
      <c r="Y48" s="177"/>
      <c r="Z48" s="194" t="str">
        <f>"Adjusment "&amp;" %"</f>
        <v>Adjusment  %</v>
      </c>
      <c r="AA48" s="195"/>
      <c r="AB48" s="196"/>
      <c r="AC48" s="197">
        <f>AA48/100*AC46</f>
        <v>0</v>
      </c>
      <c r="AD48" s="198"/>
      <c r="AE48" s="179">
        <f>IFERROR(+AC48-AF48,"")</f>
        <v>0</v>
      </c>
      <c r="AF48" s="199">
        <f>AA48/100*AF46</f>
        <v>0</v>
      </c>
      <c r="AG48" s="176"/>
      <c r="AH48" s="176"/>
      <c r="AI48" s="176"/>
      <c r="AJ48" s="81"/>
      <c r="AK48" s="177"/>
      <c r="AL48" s="194" t="str">
        <f>"Adjusment "&amp;" %"</f>
        <v>Adjusment  %</v>
      </c>
      <c r="AM48" s="195"/>
      <c r="AN48" s="196"/>
      <c r="AO48" s="197">
        <f>AM48/100*AO46</f>
        <v>0</v>
      </c>
      <c r="AP48" s="198"/>
      <c r="AQ48" s="179">
        <f>IFERROR(+AO48-AR48,"")</f>
        <v>0</v>
      </c>
      <c r="AR48" s="199">
        <f>AM48/100*AR46</f>
        <v>0</v>
      </c>
      <c r="AS48" s="176"/>
      <c r="AT48" s="176"/>
      <c r="AU48" s="176"/>
      <c r="AV48" s="81"/>
      <c r="AW48" s="177"/>
      <c r="AX48" s="194" t="str">
        <f>"Adjusment "&amp;" %"</f>
        <v>Adjusment  %</v>
      </c>
      <c r="AY48" s="195"/>
      <c r="AZ48" s="196"/>
      <c r="BA48" s="197">
        <f>AY48/100*BA46</f>
        <v>0</v>
      </c>
      <c r="BB48" s="198"/>
      <c r="BC48" s="179">
        <f>IFERROR(+BA48-BD48,"")</f>
        <v>0</v>
      </c>
      <c r="BD48" s="199">
        <f>AY48/100*BD46</f>
        <v>0</v>
      </c>
      <c r="BE48" s="176"/>
      <c r="BF48" s="176"/>
      <c r="BG48" s="176"/>
      <c r="BH48" s="81"/>
      <c r="BI48" s="177"/>
      <c r="BJ48" s="194" t="str">
        <f>"Adjusment "&amp;" %"</f>
        <v>Adjusment  %</v>
      </c>
      <c r="BK48" s="195"/>
      <c r="BL48" s="196"/>
      <c r="BM48" s="197">
        <f>BK48/100*BM46</f>
        <v>0</v>
      </c>
      <c r="BN48" s="198"/>
      <c r="BO48" s="179">
        <f>IFERROR(+BM48-BP48,"")</f>
        <v>0</v>
      </c>
      <c r="BP48" s="199">
        <f>BK48/100*BP46</f>
        <v>0</v>
      </c>
      <c r="BQ48" s="176"/>
      <c r="BR48" s="176"/>
      <c r="BS48" s="176"/>
      <c r="BT48" s="81"/>
      <c r="BU48" s="177"/>
      <c r="BV48" s="194" t="str">
        <f>"Adjusment "&amp;" %"</f>
        <v>Adjusment  %</v>
      </c>
      <c r="BW48" s="195"/>
      <c r="BX48" s="196"/>
      <c r="BY48" s="197">
        <f>BW48/100*BY46</f>
        <v>0</v>
      </c>
      <c r="BZ48" s="198"/>
      <c r="CA48" s="179">
        <f>IFERROR(+BY48-CB48,"")</f>
        <v>0</v>
      </c>
      <c r="CB48" s="199">
        <f>BW48/100*CB46</f>
        <v>0</v>
      </c>
      <c r="CC48" s="176"/>
      <c r="CD48" s="176"/>
      <c r="CE48" s="176"/>
      <c r="CF48" s="81"/>
      <c r="CG48" s="177"/>
      <c r="CH48" s="194" t="str">
        <f>"Adjusment "&amp;" %"</f>
        <v>Adjusment  %</v>
      </c>
      <c r="CI48" s="195"/>
      <c r="CJ48" s="196"/>
      <c r="CK48" s="197">
        <f>CI48/100*CK46</f>
        <v>0</v>
      </c>
      <c r="CL48" s="198"/>
      <c r="CM48" s="179">
        <f>IFERROR(+CK48-CN48,"")</f>
        <v>0</v>
      </c>
      <c r="CN48" s="199">
        <f>CI48/100*CN46</f>
        <v>0</v>
      </c>
      <c r="CO48" s="176"/>
      <c r="CP48" s="176"/>
      <c r="CQ48" s="176"/>
      <c r="CR48" s="81"/>
      <c r="CS48" s="177"/>
      <c r="CT48" s="194" t="str">
        <f>"Adjusment "&amp;" %"</f>
        <v>Adjusment  %</v>
      </c>
      <c r="CU48" s="195"/>
      <c r="CV48" s="196"/>
      <c r="CW48" s="197">
        <f>CU48/100*CW46</f>
        <v>0</v>
      </c>
      <c r="CX48" s="198"/>
      <c r="CY48" s="179">
        <f>IFERROR(+CW48-CZ48,"")</f>
        <v>0</v>
      </c>
      <c r="CZ48" s="199">
        <f>CU48/100*CZ46</f>
        <v>0</v>
      </c>
      <c r="DA48" s="176"/>
      <c r="DB48" s="176"/>
      <c r="DC48" s="176"/>
      <c r="DD48" s="81"/>
      <c r="DE48" s="177"/>
      <c r="DF48" s="194" t="str">
        <f>"Adjusment "&amp;" %"</f>
        <v>Adjusment  %</v>
      </c>
      <c r="DG48" s="195"/>
      <c r="DH48" s="196"/>
      <c r="DI48" s="197">
        <f>DG48/100*DI46</f>
        <v>0</v>
      </c>
      <c r="DJ48" s="198"/>
      <c r="DK48" s="179">
        <f>IFERROR(+DI48-DL48,"")</f>
        <v>0</v>
      </c>
      <c r="DL48" s="199">
        <f>DG48/100*DL46</f>
        <v>0</v>
      </c>
      <c r="DM48" s="176"/>
      <c r="DN48" s="176"/>
      <c r="DO48" s="176"/>
      <c r="DP48" s="81"/>
      <c r="DQ48" s="177"/>
      <c r="DR48" s="194" t="str">
        <f>"Adjusment "&amp;" %"</f>
        <v>Adjusment  %</v>
      </c>
      <c r="DS48" s="195"/>
      <c r="DT48" s="196"/>
      <c r="DU48" s="197">
        <f>DS48/100*DU46</f>
        <v>0</v>
      </c>
      <c r="DV48" s="198"/>
      <c r="DW48" s="179">
        <f>IFERROR(+DU48-DX48,"")</f>
        <v>0</v>
      </c>
      <c r="DX48" s="199">
        <f>DS48/100*DX46</f>
        <v>0</v>
      </c>
      <c r="DY48" s="176"/>
      <c r="DZ48" s="176"/>
      <c r="EA48" s="176"/>
      <c r="EB48" s="81"/>
      <c r="EC48" s="177"/>
      <c r="ED48" s="194" t="str">
        <f>"Adjusment "&amp;" %"</f>
        <v>Adjusment  %</v>
      </c>
      <c r="EE48" s="195"/>
      <c r="EF48" s="196"/>
      <c r="EG48" s="197">
        <f>EE48/100*EG46</f>
        <v>0</v>
      </c>
      <c r="EH48" s="198"/>
      <c r="EI48" s="179">
        <f>IFERROR(+EG48-EJ48,"")</f>
        <v>0</v>
      </c>
      <c r="EJ48" s="199">
        <f>EE48/100*EJ46</f>
        <v>0</v>
      </c>
      <c r="EK48" s="176"/>
      <c r="EL48" s="176"/>
      <c r="EM48" s="176"/>
      <c r="EN48" s="81"/>
      <c r="EO48" s="177"/>
      <c r="EP48" s="194" t="str">
        <f>"Adjusment "&amp;" %"</f>
        <v>Adjusment  %</v>
      </c>
      <c r="EQ48" s="195"/>
      <c r="ER48" s="196"/>
      <c r="ES48" s="197">
        <f>EQ48/100*ES46</f>
        <v>0</v>
      </c>
      <c r="ET48" s="198"/>
      <c r="EU48" s="179">
        <f>IFERROR(+ES48-EV48,"")</f>
        <v>0</v>
      </c>
      <c r="EV48" s="199">
        <f>EQ48/100*EV46</f>
        <v>0</v>
      </c>
      <c r="EW48" s="176"/>
      <c r="EX48" s="176"/>
      <c r="EY48" s="176"/>
      <c r="EZ48" s="81"/>
      <c r="FA48" s="177"/>
      <c r="FB48" s="194" t="str">
        <f>"Adjusment "&amp;" %"</f>
        <v>Adjusment  %</v>
      </c>
      <c r="FC48" s="195"/>
      <c r="FD48" s="196"/>
      <c r="FE48" s="197">
        <f>FC48/100*FE46</f>
        <v>0</v>
      </c>
      <c r="FF48" s="198"/>
      <c r="FG48" s="179">
        <f>IFERROR(+FE48-FH48,"")</f>
        <v>0</v>
      </c>
      <c r="FH48" s="199">
        <f>FC48/100*FH46</f>
        <v>0</v>
      </c>
      <c r="FI48" s="176"/>
      <c r="FJ48" s="176"/>
      <c r="FK48" s="176"/>
      <c r="FL48" s="81"/>
      <c r="FM48" s="177"/>
      <c r="FN48" s="194" t="str">
        <f>"Adjusment "&amp;" %"</f>
        <v>Adjusment  %</v>
      </c>
      <c r="FO48" s="195"/>
      <c r="FP48" s="196"/>
      <c r="FQ48" s="197">
        <f>FO48/100*FQ46</f>
        <v>0</v>
      </c>
      <c r="FR48" s="198"/>
      <c r="FS48" s="179">
        <f>IFERROR(+FQ48-FT48,"")</f>
        <v>0</v>
      </c>
      <c r="FT48" s="199">
        <f>FO48/100*FT46</f>
        <v>0</v>
      </c>
      <c r="FU48" s="176"/>
      <c r="FV48" s="176"/>
      <c r="FW48" s="176"/>
      <c r="FX48" s="81"/>
      <c r="FY48" s="177"/>
      <c r="FZ48" s="194" t="str">
        <f>"Adjusment "&amp;" %"</f>
        <v>Adjusment  %</v>
      </c>
      <c r="GA48" s="195"/>
      <c r="GB48" s="196"/>
      <c r="GC48" s="197">
        <f>GA48/100*GC46</f>
        <v>0</v>
      </c>
      <c r="GD48" s="198"/>
      <c r="GE48" s="179">
        <f>IFERROR(+GC48-GF48,"")</f>
        <v>0</v>
      </c>
      <c r="GF48" s="199">
        <f>GA48/100*GF46</f>
        <v>0</v>
      </c>
      <c r="GG48" s="176"/>
      <c r="GH48" s="176"/>
      <c r="GI48" s="176"/>
      <c r="GJ48" s="81"/>
      <c r="GK48" s="177"/>
      <c r="GL48" s="194" t="str">
        <f>"Adjusment "&amp;" %"</f>
        <v>Adjusment  %</v>
      </c>
      <c r="GM48" s="195"/>
      <c r="GN48" s="196"/>
      <c r="GO48" s="197">
        <f>GM48/100*GO46</f>
        <v>0</v>
      </c>
      <c r="GP48" s="198"/>
      <c r="GQ48" s="179">
        <f>IFERROR(+GO48-GR48,"")</f>
        <v>0</v>
      </c>
      <c r="GR48" s="199">
        <f>GM48/100*GR46</f>
        <v>0</v>
      </c>
      <c r="GS48" s="176"/>
      <c r="GT48" s="176"/>
      <c r="GU48" s="176"/>
      <c r="GV48" s="81"/>
      <c r="GW48" s="177"/>
      <c r="GX48" s="194" t="str">
        <f>"Adjusment "&amp;" %"</f>
        <v>Adjusment  %</v>
      </c>
      <c r="GY48" s="195"/>
      <c r="GZ48" s="196"/>
      <c r="HA48" s="197">
        <f>GY48/100*HA46</f>
        <v>0</v>
      </c>
      <c r="HB48" s="198"/>
      <c r="HC48" s="179">
        <f>IFERROR(+HA48-HD48,"")</f>
        <v>0</v>
      </c>
      <c r="HD48" s="199">
        <f>GY48/100*HD46</f>
        <v>0</v>
      </c>
      <c r="HE48" s="176"/>
      <c r="HF48" s="176"/>
      <c r="HG48" s="176"/>
      <c r="HH48" s="81"/>
      <c r="HI48" s="75"/>
    </row>
    <row r="49" ht="15.75" customHeight="1">
      <c r="A49" s="177"/>
      <c r="B49" s="185"/>
      <c r="C49" s="179"/>
      <c r="D49" s="179"/>
      <c r="E49" s="179"/>
      <c r="F49" s="179"/>
      <c r="G49" s="179"/>
      <c r="H49" s="181"/>
      <c r="I49" s="176"/>
      <c r="J49" s="176"/>
      <c r="K49" s="176"/>
      <c r="L49" s="81"/>
      <c r="M49" s="177"/>
      <c r="N49" s="185"/>
      <c r="O49" s="179"/>
      <c r="P49" s="179"/>
      <c r="Q49" s="179"/>
      <c r="R49" s="179"/>
      <c r="S49" s="179"/>
      <c r="T49" s="181"/>
      <c r="U49" s="176"/>
      <c r="V49" s="176"/>
      <c r="W49" s="176"/>
      <c r="X49" s="81"/>
      <c r="Y49" s="177"/>
      <c r="Z49" s="185"/>
      <c r="AA49" s="179"/>
      <c r="AB49" s="179"/>
      <c r="AC49" s="179"/>
      <c r="AD49" s="179"/>
      <c r="AE49" s="179"/>
      <c r="AF49" s="181"/>
      <c r="AG49" s="176"/>
      <c r="AH49" s="176"/>
      <c r="AI49" s="176"/>
      <c r="AJ49" s="81"/>
      <c r="AK49" s="177"/>
      <c r="AL49" s="185"/>
      <c r="AM49" s="179"/>
      <c r="AN49" s="179"/>
      <c r="AO49" s="179"/>
      <c r="AP49" s="179"/>
      <c r="AQ49" s="179"/>
      <c r="AR49" s="181"/>
      <c r="AS49" s="176"/>
      <c r="AT49" s="176"/>
      <c r="AU49" s="176"/>
      <c r="AV49" s="81"/>
      <c r="AW49" s="177"/>
      <c r="AX49" s="185"/>
      <c r="AY49" s="179"/>
      <c r="AZ49" s="179"/>
      <c r="BA49" s="179"/>
      <c r="BB49" s="179"/>
      <c r="BC49" s="179"/>
      <c r="BD49" s="181"/>
      <c r="BE49" s="176"/>
      <c r="BF49" s="176"/>
      <c r="BG49" s="176"/>
      <c r="BH49" s="81"/>
      <c r="BI49" s="177"/>
      <c r="BJ49" s="185"/>
      <c r="BK49" s="179"/>
      <c r="BL49" s="179"/>
      <c r="BM49" s="179"/>
      <c r="BN49" s="179"/>
      <c r="BO49" s="179"/>
      <c r="BP49" s="181"/>
      <c r="BQ49" s="176"/>
      <c r="BR49" s="176"/>
      <c r="BS49" s="176"/>
      <c r="BT49" s="81"/>
      <c r="BU49" s="177"/>
      <c r="BV49" s="185"/>
      <c r="BW49" s="179"/>
      <c r="BX49" s="179"/>
      <c r="BY49" s="179"/>
      <c r="BZ49" s="179"/>
      <c r="CA49" s="179"/>
      <c r="CB49" s="181"/>
      <c r="CC49" s="176"/>
      <c r="CD49" s="176"/>
      <c r="CE49" s="176"/>
      <c r="CF49" s="81"/>
      <c r="CG49" s="177"/>
      <c r="CH49" s="185"/>
      <c r="CI49" s="179"/>
      <c r="CJ49" s="179"/>
      <c r="CK49" s="179"/>
      <c r="CL49" s="179"/>
      <c r="CM49" s="179"/>
      <c r="CN49" s="181"/>
      <c r="CO49" s="176"/>
      <c r="CP49" s="176"/>
      <c r="CQ49" s="176"/>
      <c r="CR49" s="81"/>
      <c r="CS49" s="177"/>
      <c r="CT49" s="185"/>
      <c r="CU49" s="179"/>
      <c r="CV49" s="179"/>
      <c r="CW49" s="179"/>
      <c r="CX49" s="179"/>
      <c r="CY49" s="179"/>
      <c r="CZ49" s="181"/>
      <c r="DA49" s="176"/>
      <c r="DB49" s="176"/>
      <c r="DC49" s="176"/>
      <c r="DD49" s="81"/>
      <c r="DE49" s="177"/>
      <c r="DF49" s="185"/>
      <c r="DG49" s="179"/>
      <c r="DH49" s="179"/>
      <c r="DI49" s="179"/>
      <c r="DJ49" s="179"/>
      <c r="DK49" s="179"/>
      <c r="DL49" s="181"/>
      <c r="DM49" s="176"/>
      <c r="DN49" s="176"/>
      <c r="DO49" s="176"/>
      <c r="DP49" s="81"/>
      <c r="DQ49" s="177"/>
      <c r="DR49" s="185"/>
      <c r="DS49" s="179"/>
      <c r="DT49" s="179"/>
      <c r="DU49" s="179"/>
      <c r="DV49" s="179"/>
      <c r="DW49" s="179"/>
      <c r="DX49" s="181"/>
      <c r="DY49" s="176"/>
      <c r="DZ49" s="176"/>
      <c r="EA49" s="176"/>
      <c r="EB49" s="81"/>
      <c r="EC49" s="177"/>
      <c r="ED49" s="185"/>
      <c r="EE49" s="179"/>
      <c r="EF49" s="179"/>
      <c r="EG49" s="179"/>
      <c r="EH49" s="179"/>
      <c r="EI49" s="179"/>
      <c r="EJ49" s="181"/>
      <c r="EK49" s="176"/>
      <c r="EL49" s="176"/>
      <c r="EM49" s="176"/>
      <c r="EN49" s="81"/>
      <c r="EO49" s="177"/>
      <c r="EP49" s="185"/>
      <c r="EQ49" s="179"/>
      <c r="ER49" s="179"/>
      <c r="ES49" s="179"/>
      <c r="ET49" s="179"/>
      <c r="EU49" s="179"/>
      <c r="EV49" s="181"/>
      <c r="EW49" s="176"/>
      <c r="EX49" s="176"/>
      <c r="EY49" s="176"/>
      <c r="EZ49" s="81"/>
      <c r="FA49" s="177"/>
      <c r="FB49" s="185"/>
      <c r="FC49" s="179"/>
      <c r="FD49" s="179"/>
      <c r="FE49" s="179"/>
      <c r="FF49" s="179"/>
      <c r="FG49" s="179"/>
      <c r="FH49" s="181"/>
      <c r="FI49" s="176"/>
      <c r="FJ49" s="176"/>
      <c r="FK49" s="176"/>
      <c r="FL49" s="81"/>
      <c r="FM49" s="177"/>
      <c r="FN49" s="185"/>
      <c r="FO49" s="179"/>
      <c r="FP49" s="179"/>
      <c r="FQ49" s="179"/>
      <c r="FR49" s="179"/>
      <c r="FS49" s="179"/>
      <c r="FT49" s="181"/>
      <c r="FU49" s="176"/>
      <c r="FV49" s="176"/>
      <c r="FW49" s="176"/>
      <c r="FX49" s="81"/>
      <c r="FY49" s="177"/>
      <c r="FZ49" s="185"/>
      <c r="GA49" s="179"/>
      <c r="GB49" s="179"/>
      <c r="GC49" s="179"/>
      <c r="GD49" s="179"/>
      <c r="GE49" s="179"/>
      <c r="GF49" s="181"/>
      <c r="GG49" s="176"/>
      <c r="GH49" s="176"/>
      <c r="GI49" s="176"/>
      <c r="GJ49" s="81"/>
      <c r="GK49" s="177"/>
      <c r="GL49" s="185"/>
      <c r="GM49" s="179"/>
      <c r="GN49" s="179"/>
      <c r="GO49" s="179"/>
      <c r="GP49" s="179"/>
      <c r="GQ49" s="179"/>
      <c r="GR49" s="181"/>
      <c r="GS49" s="176"/>
      <c r="GT49" s="176"/>
      <c r="GU49" s="176"/>
      <c r="GV49" s="81"/>
      <c r="GW49" s="177"/>
      <c r="GX49" s="185"/>
      <c r="GY49" s="179"/>
      <c r="GZ49" s="179"/>
      <c r="HA49" s="179"/>
      <c r="HB49" s="179"/>
      <c r="HC49" s="179"/>
      <c r="HD49" s="181"/>
      <c r="HE49" s="176"/>
      <c r="HF49" s="176"/>
      <c r="HG49" s="176"/>
      <c r="HH49" s="81"/>
      <c r="HI49" s="75"/>
    </row>
    <row r="50" ht="24.0" customHeight="1">
      <c r="A50" s="200" t="s">
        <v>78</v>
      </c>
      <c r="B50" s="144"/>
      <c r="C50" s="201">
        <f>SUM(C46:C49)</f>
        <v>0</v>
      </c>
      <c r="D50" s="202"/>
      <c r="E50" s="201">
        <f>SUM(E46:E49)</f>
        <v>0</v>
      </c>
      <c r="F50" s="202"/>
      <c r="G50" s="201">
        <f t="shared" ref="G50:H50" si="235">SUM(G46:G49)</f>
        <v>0</v>
      </c>
      <c r="H50" s="203">
        <f t="shared" si="235"/>
        <v>0</v>
      </c>
      <c r="I50" s="176"/>
      <c r="J50" s="176"/>
      <c r="K50" s="176"/>
      <c r="L50" s="81"/>
      <c r="M50" s="200" t="s">
        <v>78</v>
      </c>
      <c r="N50" s="144"/>
      <c r="O50" s="201">
        <f>SUM(O46:O49)</f>
        <v>0</v>
      </c>
      <c r="P50" s="202"/>
      <c r="Q50" s="201">
        <f>SUM(Q46:Q49)</f>
        <v>0</v>
      </c>
      <c r="R50" s="202"/>
      <c r="S50" s="201">
        <f t="shared" ref="S50:T50" si="236">SUM(S46:S49)</f>
        <v>0</v>
      </c>
      <c r="T50" s="203">
        <f t="shared" si="236"/>
        <v>0</v>
      </c>
      <c r="U50" s="176"/>
      <c r="V50" s="176"/>
      <c r="W50" s="176"/>
      <c r="X50" s="81"/>
      <c r="Y50" s="200" t="s">
        <v>78</v>
      </c>
      <c r="Z50" s="144"/>
      <c r="AA50" s="201">
        <f>SUM(AA46:AA49)</f>
        <v>0</v>
      </c>
      <c r="AB50" s="202"/>
      <c r="AC50" s="201">
        <f>SUM(AC46:AC49)</f>
        <v>0</v>
      </c>
      <c r="AD50" s="202"/>
      <c r="AE50" s="201">
        <f t="shared" ref="AE50:AF50" si="237">SUM(AE46:AE49)</f>
        <v>0</v>
      </c>
      <c r="AF50" s="203">
        <f t="shared" si="237"/>
        <v>0</v>
      </c>
      <c r="AG50" s="176"/>
      <c r="AH50" s="176"/>
      <c r="AI50" s="176"/>
      <c r="AJ50" s="81"/>
      <c r="AK50" s="200" t="s">
        <v>78</v>
      </c>
      <c r="AL50" s="144"/>
      <c r="AM50" s="201">
        <f>SUM(AM46:AM49)</f>
        <v>0</v>
      </c>
      <c r="AN50" s="202"/>
      <c r="AO50" s="201">
        <f>SUM(AO46:AO49)</f>
        <v>0</v>
      </c>
      <c r="AP50" s="202"/>
      <c r="AQ50" s="201">
        <f t="shared" ref="AQ50:AR50" si="238">SUM(AQ46:AQ49)</f>
        <v>0</v>
      </c>
      <c r="AR50" s="203">
        <f t="shared" si="238"/>
        <v>0</v>
      </c>
      <c r="AS50" s="176"/>
      <c r="AT50" s="176"/>
      <c r="AU50" s="176"/>
      <c r="AV50" s="81"/>
      <c r="AW50" s="200" t="s">
        <v>78</v>
      </c>
      <c r="AX50" s="144"/>
      <c r="AY50" s="201">
        <f>SUM(AY46:AY49)</f>
        <v>0</v>
      </c>
      <c r="AZ50" s="202"/>
      <c r="BA50" s="201">
        <f>SUM(BA46:BA49)</f>
        <v>0</v>
      </c>
      <c r="BB50" s="202"/>
      <c r="BC50" s="201">
        <f t="shared" ref="BC50:BD50" si="239">SUM(BC46:BC49)</f>
        <v>0</v>
      </c>
      <c r="BD50" s="203">
        <f t="shared" si="239"/>
        <v>0</v>
      </c>
      <c r="BE50" s="176"/>
      <c r="BF50" s="176"/>
      <c r="BG50" s="176"/>
      <c r="BH50" s="81"/>
      <c r="BI50" s="200" t="s">
        <v>78</v>
      </c>
      <c r="BJ50" s="144"/>
      <c r="BK50" s="201">
        <f>SUM(BK46:BK49)</f>
        <v>0</v>
      </c>
      <c r="BL50" s="202"/>
      <c r="BM50" s="201">
        <f>SUM(BM46:BM49)</f>
        <v>0</v>
      </c>
      <c r="BN50" s="202"/>
      <c r="BO50" s="201">
        <f t="shared" ref="BO50:BP50" si="240">SUM(BO46:BO49)</f>
        <v>0</v>
      </c>
      <c r="BP50" s="203">
        <f t="shared" si="240"/>
        <v>0</v>
      </c>
      <c r="BQ50" s="176"/>
      <c r="BR50" s="176"/>
      <c r="BS50" s="176"/>
      <c r="BT50" s="81"/>
      <c r="BU50" s="200" t="s">
        <v>78</v>
      </c>
      <c r="BV50" s="144"/>
      <c r="BW50" s="201">
        <f>SUM(BW46:BW49)</f>
        <v>0</v>
      </c>
      <c r="BX50" s="202"/>
      <c r="BY50" s="201">
        <f>SUM(BY46:BY49)</f>
        <v>0</v>
      </c>
      <c r="BZ50" s="202"/>
      <c r="CA50" s="201">
        <f t="shared" ref="CA50:CB50" si="241">SUM(CA46:CA49)</f>
        <v>0</v>
      </c>
      <c r="CB50" s="203">
        <f t="shared" si="241"/>
        <v>0</v>
      </c>
      <c r="CC50" s="176"/>
      <c r="CD50" s="176"/>
      <c r="CE50" s="176"/>
      <c r="CF50" s="81"/>
      <c r="CG50" s="200" t="s">
        <v>78</v>
      </c>
      <c r="CH50" s="144"/>
      <c r="CI50" s="201">
        <f>SUM(CI46:CI49)</f>
        <v>0</v>
      </c>
      <c r="CJ50" s="202"/>
      <c r="CK50" s="201">
        <f>SUM(CK46:CK49)</f>
        <v>0</v>
      </c>
      <c r="CL50" s="202"/>
      <c r="CM50" s="201">
        <f t="shared" ref="CM50:CN50" si="242">SUM(CM46:CM49)</f>
        <v>0</v>
      </c>
      <c r="CN50" s="203">
        <f t="shared" si="242"/>
        <v>0</v>
      </c>
      <c r="CO50" s="176"/>
      <c r="CP50" s="176"/>
      <c r="CQ50" s="176"/>
      <c r="CR50" s="81"/>
      <c r="CS50" s="200" t="s">
        <v>78</v>
      </c>
      <c r="CT50" s="144"/>
      <c r="CU50" s="201">
        <f>SUM(CU46:CU49)</f>
        <v>0</v>
      </c>
      <c r="CV50" s="202"/>
      <c r="CW50" s="201">
        <f>SUM(CW46:CW49)</f>
        <v>0</v>
      </c>
      <c r="CX50" s="202"/>
      <c r="CY50" s="201">
        <f t="shared" ref="CY50:CZ50" si="243">SUM(CY46:CY49)</f>
        <v>0</v>
      </c>
      <c r="CZ50" s="203">
        <f t="shared" si="243"/>
        <v>0</v>
      </c>
      <c r="DA50" s="176"/>
      <c r="DB50" s="176"/>
      <c r="DC50" s="176"/>
      <c r="DD50" s="81"/>
      <c r="DE50" s="200" t="s">
        <v>78</v>
      </c>
      <c r="DF50" s="144"/>
      <c r="DG50" s="201">
        <f>SUM(DG46:DG49)</f>
        <v>3254087.016</v>
      </c>
      <c r="DH50" s="202"/>
      <c r="DI50" s="201">
        <f>SUM(DI46:DI49)</f>
        <v>37806.19793</v>
      </c>
      <c r="DJ50" s="202"/>
      <c r="DK50" s="201">
        <f t="shared" ref="DK50:DL50" si="244">SUM(DK46:DK49)</f>
        <v>6319.78484</v>
      </c>
      <c r="DL50" s="203">
        <f t="shared" si="244"/>
        <v>31486.41309</v>
      </c>
      <c r="DM50" s="176"/>
      <c r="DN50" s="176"/>
      <c r="DO50" s="176"/>
      <c r="DP50" s="81"/>
      <c r="DQ50" s="200" t="s">
        <v>78</v>
      </c>
      <c r="DR50" s="144"/>
      <c r="DS50" s="201">
        <f>SUM(DS46:DS49)</f>
        <v>3376274.845</v>
      </c>
      <c r="DT50" s="202"/>
      <c r="DU50" s="201">
        <f>SUM(DU46:DU49)</f>
        <v>39225.78421</v>
      </c>
      <c r="DV50" s="202"/>
      <c r="DW50" s="201">
        <f t="shared" ref="DW50:DX50" si="245">SUM(DW46:DW49)</f>
        <v>6557.086667</v>
      </c>
      <c r="DX50" s="203">
        <f t="shared" si="245"/>
        <v>32668.69755</v>
      </c>
      <c r="DY50" s="176"/>
      <c r="DZ50" s="176"/>
      <c r="EA50" s="176"/>
      <c r="EB50" s="81"/>
      <c r="EC50" s="200" t="s">
        <v>78</v>
      </c>
      <c r="ED50" s="144"/>
      <c r="EE50" s="201">
        <f>SUM(EE46:EE49)</f>
        <v>3430532.839</v>
      </c>
      <c r="EF50" s="202"/>
      <c r="EG50" s="201">
        <f>SUM(EG46:EG49)</f>
        <v>39856.15717</v>
      </c>
      <c r="EH50" s="202"/>
      <c r="EI50" s="201">
        <f t="shared" ref="EI50:EJ50" si="246">SUM(EI46:EI49)</f>
        <v>6662.461492</v>
      </c>
      <c r="EJ50" s="203">
        <f t="shared" si="246"/>
        <v>33193.69568</v>
      </c>
      <c r="EK50" s="176"/>
      <c r="EL50" s="176"/>
      <c r="EM50" s="176"/>
      <c r="EN50" s="81"/>
      <c r="EO50" s="200" t="s">
        <v>78</v>
      </c>
      <c r="EP50" s="144"/>
      <c r="EQ50" s="201">
        <f>SUM(EQ46:EQ49)</f>
        <v>3605190.95</v>
      </c>
      <c r="ER50" s="202"/>
      <c r="ES50" s="201">
        <f>SUM(ES46:ES49)</f>
        <v>41885.34664</v>
      </c>
      <c r="ET50" s="202"/>
      <c r="EU50" s="201">
        <f t="shared" ref="EU50:EV50" si="247">SUM(EU46:EU49)</f>
        <v>7001.666214</v>
      </c>
      <c r="EV50" s="203">
        <f t="shared" si="247"/>
        <v>34883.68043</v>
      </c>
      <c r="EW50" s="176"/>
      <c r="EX50" s="176"/>
      <c r="EY50" s="176"/>
      <c r="EZ50" s="81"/>
      <c r="FA50" s="200" t="s">
        <v>78</v>
      </c>
      <c r="FB50" s="144"/>
      <c r="FC50" s="201">
        <f>SUM(FC46:FC49)</f>
        <v>3738726.407</v>
      </c>
      <c r="FD50" s="202"/>
      <c r="FE50" s="201">
        <f>SUM(FE46:FE49)</f>
        <v>43436.7704</v>
      </c>
      <c r="FF50" s="202"/>
      <c r="FG50" s="201">
        <f t="shared" ref="FG50:FH50" si="248">SUM(FG46:FG49)</f>
        <v>7261.006345</v>
      </c>
      <c r="FH50" s="203">
        <f t="shared" si="248"/>
        <v>36175.76406</v>
      </c>
      <c r="FI50" s="176"/>
      <c r="FJ50" s="176"/>
      <c r="FK50" s="176"/>
      <c r="FL50" s="81"/>
      <c r="FM50" s="200" t="s">
        <v>78</v>
      </c>
      <c r="FN50" s="144"/>
      <c r="FO50" s="201">
        <f>SUM(FO46:FO49)</f>
        <v>3798593.205</v>
      </c>
      <c r="FP50" s="202"/>
      <c r="FQ50" s="201">
        <f>SUM(FQ46:FQ49)</f>
        <v>44132.30682</v>
      </c>
      <c r="FR50" s="202"/>
      <c r="FS50" s="201">
        <f t="shared" ref="FS50:FT50" si="249">SUM(FS46:FS49)</f>
        <v>7377.274067</v>
      </c>
      <c r="FT50" s="203">
        <f t="shared" si="249"/>
        <v>36755.03275</v>
      </c>
      <c r="FU50" s="176"/>
      <c r="FV50" s="176"/>
      <c r="FW50" s="176"/>
      <c r="FX50" s="81"/>
      <c r="FY50" s="200" t="s">
        <v>78</v>
      </c>
      <c r="FZ50" s="144"/>
      <c r="GA50" s="201">
        <f>SUM(GA46:GA49)</f>
        <v>3984990.547</v>
      </c>
      <c r="GB50" s="202"/>
      <c r="GC50" s="201">
        <f>SUM(GC46:GC49)</f>
        <v>46297.88344</v>
      </c>
      <c r="GD50" s="202"/>
      <c r="GE50" s="201">
        <f t="shared" ref="GE50:GF50" si="250">SUM(GE46:GE49)</f>
        <v>7739.277629</v>
      </c>
      <c r="GF50" s="203">
        <f t="shared" si="250"/>
        <v>38558.60582</v>
      </c>
      <c r="GG50" s="176"/>
      <c r="GH50" s="176"/>
      <c r="GI50" s="176"/>
      <c r="GJ50" s="81"/>
      <c r="GK50" s="200" t="s">
        <v>78</v>
      </c>
      <c r="GL50" s="144"/>
      <c r="GM50" s="201">
        <f>SUM(GM46:GM49)</f>
        <v>4139627.93</v>
      </c>
      <c r="GN50" s="202"/>
      <c r="GO50" s="201">
        <f>SUM(GO46:GO49)</f>
        <v>48094.47079</v>
      </c>
      <c r="GP50" s="202"/>
      <c r="GQ50" s="201">
        <f t="shared" ref="GQ50:GR50" si="251">SUM(GQ46:GQ49)</f>
        <v>8039.599959</v>
      </c>
      <c r="GR50" s="203">
        <f t="shared" si="251"/>
        <v>40054.87083</v>
      </c>
      <c r="GS50" s="176"/>
      <c r="GT50" s="176"/>
      <c r="GU50" s="176"/>
      <c r="GV50" s="81"/>
      <c r="GW50" s="200" t="s">
        <v>78</v>
      </c>
      <c r="GX50" s="144"/>
      <c r="GY50" s="201">
        <f>SUM(GY46:GY49)</f>
        <v>0</v>
      </c>
      <c r="GZ50" s="202"/>
      <c r="HA50" s="201">
        <f>SUM(HA46:HA49)</f>
        <v>0</v>
      </c>
      <c r="HB50" s="202"/>
      <c r="HC50" s="201">
        <f t="shared" ref="HC50:HD50" si="252">SUM(HC46:HC49)</f>
        <v>0</v>
      </c>
      <c r="HD50" s="203">
        <f t="shared" si="252"/>
        <v>0</v>
      </c>
      <c r="HE50" s="176"/>
      <c r="HF50" s="176"/>
      <c r="HG50" s="176"/>
      <c r="HH50" s="81"/>
      <c r="HI50" s="75"/>
    </row>
    <row r="51" ht="15.0" customHeight="1">
      <c r="A51" s="74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81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81"/>
      <c r="Y51" s="74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81"/>
      <c r="AK51" s="74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81"/>
      <c r="AW51" s="74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81"/>
      <c r="BI51" s="74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81"/>
      <c r="BU51" s="74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81"/>
      <c r="CG51" s="74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81"/>
      <c r="CS51" s="74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81"/>
      <c r="DE51" s="74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81"/>
      <c r="DQ51" s="74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81"/>
      <c r="EC51" s="74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81"/>
      <c r="EO51" s="74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81"/>
      <c r="FA51" s="74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81"/>
      <c r="FM51" s="74"/>
      <c r="FN51" s="75"/>
      <c r="FO51" s="75"/>
      <c r="FP51" s="75"/>
      <c r="FQ51" s="75"/>
      <c r="FR51" s="75"/>
      <c r="FS51" s="75"/>
      <c r="FT51" s="75"/>
      <c r="FU51" s="75"/>
      <c r="FV51" s="75"/>
      <c r="FW51" s="75"/>
      <c r="FX51" s="81"/>
      <c r="FY51" s="74"/>
      <c r="FZ51" s="75"/>
      <c r="GA51" s="75"/>
      <c r="GB51" s="75"/>
      <c r="GC51" s="75"/>
      <c r="GD51" s="75"/>
      <c r="GE51" s="75"/>
      <c r="GF51" s="75"/>
      <c r="GG51" s="75"/>
      <c r="GH51" s="75"/>
      <c r="GI51" s="75"/>
      <c r="GJ51" s="81"/>
      <c r="GK51" s="74"/>
      <c r="GL51" s="75"/>
      <c r="GM51" s="75"/>
      <c r="GN51" s="75"/>
      <c r="GO51" s="75"/>
      <c r="GP51" s="75"/>
      <c r="GQ51" s="75"/>
      <c r="GR51" s="75"/>
      <c r="GS51" s="75"/>
      <c r="GT51" s="75"/>
      <c r="GU51" s="75"/>
      <c r="GV51" s="81"/>
      <c r="GW51" s="74"/>
      <c r="GX51" s="75"/>
      <c r="GY51" s="75"/>
      <c r="GZ51" s="75"/>
      <c r="HA51" s="75"/>
      <c r="HB51" s="75"/>
      <c r="HC51" s="75"/>
      <c r="HD51" s="75"/>
      <c r="HE51" s="75"/>
      <c r="HF51" s="75"/>
      <c r="HG51" s="75"/>
      <c r="HH51" s="81"/>
      <c r="HI51" s="75"/>
    </row>
    <row r="52" ht="15.0" customHeight="1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81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81"/>
      <c r="Y52" s="74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81"/>
      <c r="AK52" s="74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81"/>
      <c r="AW52" s="74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81"/>
      <c r="BI52" s="74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81"/>
      <c r="BU52" s="74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81"/>
      <c r="CG52" s="74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81"/>
      <c r="CS52" s="74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81"/>
      <c r="DE52" s="74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81"/>
      <c r="DQ52" s="74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81"/>
      <c r="EC52" s="74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81"/>
      <c r="EO52" s="74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81"/>
      <c r="FA52" s="74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81"/>
      <c r="FM52" s="74"/>
      <c r="FN52" s="75"/>
      <c r="FO52" s="75"/>
      <c r="FP52" s="75"/>
      <c r="FQ52" s="75"/>
      <c r="FR52" s="75"/>
      <c r="FS52" s="75"/>
      <c r="FT52" s="75"/>
      <c r="FU52" s="75"/>
      <c r="FV52" s="75"/>
      <c r="FW52" s="75"/>
      <c r="FX52" s="81"/>
      <c r="FY52" s="74"/>
      <c r="FZ52" s="75"/>
      <c r="GA52" s="75"/>
      <c r="GB52" s="75"/>
      <c r="GC52" s="75"/>
      <c r="GD52" s="75"/>
      <c r="GE52" s="75"/>
      <c r="GF52" s="75"/>
      <c r="GG52" s="75"/>
      <c r="GH52" s="75"/>
      <c r="GI52" s="75"/>
      <c r="GJ52" s="81"/>
      <c r="GK52" s="74"/>
      <c r="GL52" s="75"/>
      <c r="GM52" s="75"/>
      <c r="GN52" s="75"/>
      <c r="GO52" s="75"/>
      <c r="GP52" s="75"/>
      <c r="GQ52" s="75"/>
      <c r="GR52" s="75"/>
      <c r="GS52" s="75"/>
      <c r="GT52" s="75"/>
      <c r="GU52" s="75"/>
      <c r="GV52" s="81"/>
      <c r="GW52" s="74"/>
      <c r="GX52" s="75"/>
      <c r="GY52" s="75"/>
      <c r="GZ52" s="75"/>
      <c r="HA52" s="75"/>
      <c r="HB52" s="75"/>
      <c r="HC52" s="75"/>
      <c r="HD52" s="75"/>
      <c r="HE52" s="75"/>
      <c r="HF52" s="75"/>
      <c r="HG52" s="75"/>
      <c r="HH52" s="81"/>
      <c r="HI52" s="75"/>
    </row>
    <row r="53" ht="15.0" customHeight="1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81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81"/>
      <c r="Y53" s="74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81"/>
      <c r="AK53" s="74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81"/>
      <c r="AW53" s="74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81"/>
      <c r="BI53" s="74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81"/>
      <c r="BU53" s="74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81"/>
      <c r="CG53" s="74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81"/>
      <c r="CS53" s="74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81"/>
      <c r="DE53" s="74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81"/>
      <c r="DQ53" s="74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81"/>
      <c r="EC53" s="74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81"/>
      <c r="EO53" s="74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81"/>
      <c r="FA53" s="74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81"/>
      <c r="FM53" s="74"/>
      <c r="FN53" s="75"/>
      <c r="FO53" s="75"/>
      <c r="FP53" s="75"/>
      <c r="FQ53" s="75"/>
      <c r="FR53" s="75"/>
      <c r="FS53" s="75"/>
      <c r="FT53" s="75"/>
      <c r="FU53" s="75"/>
      <c r="FV53" s="75"/>
      <c r="FW53" s="75"/>
      <c r="FX53" s="81"/>
      <c r="FY53" s="74"/>
      <c r="FZ53" s="75"/>
      <c r="GA53" s="75"/>
      <c r="GB53" s="75"/>
      <c r="GC53" s="75"/>
      <c r="GD53" s="75"/>
      <c r="GE53" s="75"/>
      <c r="GF53" s="75"/>
      <c r="GG53" s="75"/>
      <c r="GH53" s="75"/>
      <c r="GI53" s="75"/>
      <c r="GJ53" s="81"/>
      <c r="GK53" s="74"/>
      <c r="GL53" s="75"/>
      <c r="GM53" s="75"/>
      <c r="GN53" s="75"/>
      <c r="GO53" s="75"/>
      <c r="GP53" s="75"/>
      <c r="GQ53" s="75"/>
      <c r="GR53" s="75"/>
      <c r="GS53" s="75"/>
      <c r="GT53" s="75"/>
      <c r="GU53" s="75"/>
      <c r="GV53" s="81"/>
      <c r="GW53" s="74"/>
      <c r="GX53" s="75"/>
      <c r="GY53" s="75"/>
      <c r="GZ53" s="75"/>
      <c r="HA53" s="75"/>
      <c r="HB53" s="75"/>
      <c r="HC53" s="75"/>
      <c r="HD53" s="75"/>
      <c r="HE53" s="75"/>
      <c r="HF53" s="75"/>
      <c r="HG53" s="75"/>
      <c r="HH53" s="81"/>
      <c r="HI53" s="75"/>
    </row>
    <row r="54" ht="15.75" customHeight="1">
      <c r="A54" s="204"/>
      <c r="B54" s="205" t="s">
        <v>49</v>
      </c>
      <c r="C54" s="206" t="s">
        <v>50</v>
      </c>
      <c r="D54" s="207"/>
      <c r="E54" s="207"/>
      <c r="F54" s="207"/>
      <c r="G54" s="205" t="s">
        <v>51</v>
      </c>
      <c r="H54" s="207"/>
      <c r="I54" s="208"/>
      <c r="J54" s="87"/>
      <c r="K54" s="88" t="s">
        <v>52</v>
      </c>
      <c r="L54" s="89"/>
      <c r="M54" s="204"/>
      <c r="N54" s="205" t="s">
        <v>49</v>
      </c>
      <c r="O54" s="206" t="s">
        <v>50</v>
      </c>
      <c r="P54" s="207"/>
      <c r="Q54" s="207"/>
      <c r="R54" s="207"/>
      <c r="S54" s="205" t="s">
        <v>51</v>
      </c>
      <c r="T54" s="207"/>
      <c r="U54" s="208"/>
      <c r="V54" s="87"/>
      <c r="W54" s="88" t="s">
        <v>52</v>
      </c>
      <c r="X54" s="89"/>
      <c r="Y54" s="204"/>
      <c r="Z54" s="205" t="s">
        <v>49</v>
      </c>
      <c r="AA54" s="206" t="s">
        <v>50</v>
      </c>
      <c r="AB54" s="207"/>
      <c r="AC54" s="207"/>
      <c r="AD54" s="207"/>
      <c r="AE54" s="205" t="s">
        <v>51</v>
      </c>
      <c r="AF54" s="207"/>
      <c r="AG54" s="208"/>
      <c r="AH54" s="87"/>
      <c r="AI54" s="88" t="s">
        <v>52</v>
      </c>
      <c r="AJ54" s="89"/>
      <c r="AK54" s="204"/>
      <c r="AL54" s="205" t="s">
        <v>49</v>
      </c>
      <c r="AM54" s="206" t="s">
        <v>50</v>
      </c>
      <c r="AN54" s="207"/>
      <c r="AO54" s="207"/>
      <c r="AP54" s="207"/>
      <c r="AQ54" s="205" t="s">
        <v>51</v>
      </c>
      <c r="AR54" s="207"/>
      <c r="AS54" s="208"/>
      <c r="AT54" s="87"/>
      <c r="AU54" s="88" t="s">
        <v>52</v>
      </c>
      <c r="AV54" s="89"/>
      <c r="AW54" s="204"/>
      <c r="AX54" s="205" t="s">
        <v>49</v>
      </c>
      <c r="AY54" s="206" t="s">
        <v>50</v>
      </c>
      <c r="AZ54" s="207"/>
      <c r="BA54" s="207"/>
      <c r="BB54" s="207"/>
      <c r="BC54" s="205" t="s">
        <v>51</v>
      </c>
      <c r="BD54" s="207"/>
      <c r="BE54" s="208"/>
      <c r="BF54" s="87"/>
      <c r="BG54" s="88" t="s">
        <v>52</v>
      </c>
      <c r="BH54" s="89"/>
      <c r="BI54" s="204"/>
      <c r="BJ54" s="205" t="s">
        <v>49</v>
      </c>
      <c r="BK54" s="206" t="s">
        <v>50</v>
      </c>
      <c r="BL54" s="207"/>
      <c r="BM54" s="207"/>
      <c r="BN54" s="207"/>
      <c r="BO54" s="205" t="s">
        <v>51</v>
      </c>
      <c r="BP54" s="207"/>
      <c r="BQ54" s="208"/>
      <c r="BR54" s="87"/>
      <c r="BS54" s="88" t="s">
        <v>52</v>
      </c>
      <c r="BT54" s="89"/>
      <c r="BU54" s="204"/>
      <c r="BV54" s="205" t="s">
        <v>49</v>
      </c>
      <c r="BW54" s="206" t="s">
        <v>50</v>
      </c>
      <c r="BX54" s="207"/>
      <c r="BY54" s="207"/>
      <c r="BZ54" s="207"/>
      <c r="CA54" s="205" t="s">
        <v>51</v>
      </c>
      <c r="CB54" s="207"/>
      <c r="CC54" s="208"/>
      <c r="CD54" s="87"/>
      <c r="CE54" s="88" t="s">
        <v>52</v>
      </c>
      <c r="CF54" s="89"/>
      <c r="CG54" s="204"/>
      <c r="CH54" s="205" t="s">
        <v>49</v>
      </c>
      <c r="CI54" s="206" t="s">
        <v>50</v>
      </c>
      <c r="CJ54" s="207"/>
      <c r="CK54" s="207"/>
      <c r="CL54" s="207"/>
      <c r="CM54" s="205" t="s">
        <v>51</v>
      </c>
      <c r="CN54" s="207"/>
      <c r="CO54" s="208"/>
      <c r="CP54" s="87"/>
      <c r="CQ54" s="88" t="s">
        <v>52</v>
      </c>
      <c r="CR54" s="89"/>
      <c r="CS54" s="204"/>
      <c r="CT54" s="205" t="s">
        <v>49</v>
      </c>
      <c r="CU54" s="206" t="s">
        <v>50</v>
      </c>
      <c r="CV54" s="207"/>
      <c r="CW54" s="207"/>
      <c r="CX54" s="207"/>
      <c r="CY54" s="205" t="s">
        <v>51</v>
      </c>
      <c r="CZ54" s="207"/>
      <c r="DA54" s="208"/>
      <c r="DB54" s="87"/>
      <c r="DC54" s="88" t="s">
        <v>52</v>
      </c>
      <c r="DD54" s="89"/>
      <c r="DE54" s="204"/>
      <c r="DF54" s="205" t="s">
        <v>49</v>
      </c>
      <c r="DG54" s="206" t="s">
        <v>50</v>
      </c>
      <c r="DH54" s="207"/>
      <c r="DI54" s="207"/>
      <c r="DJ54" s="207"/>
      <c r="DK54" s="205" t="s">
        <v>51</v>
      </c>
      <c r="DL54" s="207"/>
      <c r="DM54" s="208"/>
      <c r="DN54" s="87"/>
      <c r="DO54" s="88" t="s">
        <v>52</v>
      </c>
      <c r="DP54" s="89"/>
      <c r="DQ54" s="204"/>
      <c r="DR54" s="205" t="s">
        <v>49</v>
      </c>
      <c r="DS54" s="206" t="s">
        <v>50</v>
      </c>
      <c r="DT54" s="207"/>
      <c r="DU54" s="207"/>
      <c r="DV54" s="207"/>
      <c r="DW54" s="205" t="s">
        <v>51</v>
      </c>
      <c r="DX54" s="207"/>
      <c r="DY54" s="208"/>
      <c r="DZ54" s="87"/>
      <c r="EA54" s="88" t="s">
        <v>52</v>
      </c>
      <c r="EB54" s="89"/>
      <c r="EC54" s="204"/>
      <c r="ED54" s="205" t="s">
        <v>49</v>
      </c>
      <c r="EE54" s="206" t="s">
        <v>50</v>
      </c>
      <c r="EF54" s="207"/>
      <c r="EG54" s="207"/>
      <c r="EH54" s="207"/>
      <c r="EI54" s="205" t="s">
        <v>51</v>
      </c>
      <c r="EJ54" s="207"/>
      <c r="EK54" s="208"/>
      <c r="EL54" s="87"/>
      <c r="EM54" s="88" t="s">
        <v>52</v>
      </c>
      <c r="EN54" s="89"/>
      <c r="EO54" s="204"/>
      <c r="EP54" s="205" t="s">
        <v>49</v>
      </c>
      <c r="EQ54" s="206" t="s">
        <v>50</v>
      </c>
      <c r="ER54" s="207"/>
      <c r="ES54" s="207"/>
      <c r="ET54" s="207"/>
      <c r="EU54" s="205" t="s">
        <v>51</v>
      </c>
      <c r="EV54" s="207"/>
      <c r="EW54" s="208"/>
      <c r="EX54" s="87"/>
      <c r="EY54" s="88" t="s">
        <v>52</v>
      </c>
      <c r="EZ54" s="89"/>
      <c r="FA54" s="204"/>
      <c r="FB54" s="205" t="s">
        <v>49</v>
      </c>
      <c r="FC54" s="206" t="s">
        <v>50</v>
      </c>
      <c r="FD54" s="207"/>
      <c r="FE54" s="207"/>
      <c r="FF54" s="207"/>
      <c r="FG54" s="205" t="s">
        <v>51</v>
      </c>
      <c r="FH54" s="207"/>
      <c r="FI54" s="208"/>
      <c r="FJ54" s="87"/>
      <c r="FK54" s="88" t="s">
        <v>52</v>
      </c>
      <c r="FL54" s="89"/>
      <c r="FM54" s="204"/>
      <c r="FN54" s="205" t="s">
        <v>49</v>
      </c>
      <c r="FO54" s="206" t="s">
        <v>50</v>
      </c>
      <c r="FP54" s="207"/>
      <c r="FQ54" s="207"/>
      <c r="FR54" s="207"/>
      <c r="FS54" s="205" t="s">
        <v>51</v>
      </c>
      <c r="FT54" s="207"/>
      <c r="FU54" s="208"/>
      <c r="FV54" s="87"/>
      <c r="FW54" s="88" t="s">
        <v>52</v>
      </c>
      <c r="FX54" s="89"/>
      <c r="FY54" s="204"/>
      <c r="FZ54" s="205" t="s">
        <v>49</v>
      </c>
      <c r="GA54" s="206" t="s">
        <v>50</v>
      </c>
      <c r="GB54" s="207"/>
      <c r="GC54" s="207"/>
      <c r="GD54" s="207"/>
      <c r="GE54" s="205" t="s">
        <v>51</v>
      </c>
      <c r="GF54" s="207"/>
      <c r="GG54" s="208"/>
      <c r="GH54" s="87"/>
      <c r="GI54" s="88" t="s">
        <v>52</v>
      </c>
      <c r="GJ54" s="89"/>
      <c r="GK54" s="204"/>
      <c r="GL54" s="205" t="s">
        <v>49</v>
      </c>
      <c r="GM54" s="206" t="s">
        <v>50</v>
      </c>
      <c r="GN54" s="207"/>
      <c r="GO54" s="207"/>
      <c r="GP54" s="207"/>
      <c r="GQ54" s="205" t="s">
        <v>51</v>
      </c>
      <c r="GR54" s="207"/>
      <c r="GS54" s="208"/>
      <c r="GT54" s="87"/>
      <c r="GU54" s="88" t="s">
        <v>52</v>
      </c>
      <c r="GV54" s="89"/>
      <c r="GW54" s="204"/>
      <c r="GX54" s="205" t="s">
        <v>49</v>
      </c>
      <c r="GY54" s="206" t="s">
        <v>50</v>
      </c>
      <c r="GZ54" s="207"/>
      <c r="HA54" s="207"/>
      <c r="HB54" s="207"/>
      <c r="HC54" s="205" t="s">
        <v>51</v>
      </c>
      <c r="HD54" s="207"/>
      <c r="HE54" s="208"/>
      <c r="HF54" s="87"/>
      <c r="HG54" s="88" t="s">
        <v>52</v>
      </c>
      <c r="HH54" s="89"/>
      <c r="HI54" s="87"/>
    </row>
    <row r="55" ht="15.75" customHeight="1">
      <c r="A55" s="209"/>
      <c r="B55" s="210" t="s">
        <v>23</v>
      </c>
      <c r="C55" s="211" t="s">
        <v>53</v>
      </c>
      <c r="D55" s="211"/>
      <c r="E55" s="211"/>
      <c r="F55" s="211"/>
      <c r="G55" s="210" t="s">
        <v>54</v>
      </c>
      <c r="H55" s="211"/>
      <c r="I55" s="212"/>
      <c r="J55" s="87"/>
      <c r="K55" s="94"/>
      <c r="L55" s="89"/>
      <c r="M55" s="209"/>
      <c r="N55" s="210" t="s">
        <v>23</v>
      </c>
      <c r="O55" s="211" t="s">
        <v>53</v>
      </c>
      <c r="P55" s="211"/>
      <c r="Q55" s="211"/>
      <c r="R55" s="211"/>
      <c r="S55" s="210" t="s">
        <v>54</v>
      </c>
      <c r="T55" s="211"/>
      <c r="U55" s="212"/>
      <c r="V55" s="87"/>
      <c r="W55" s="94"/>
      <c r="X55" s="89"/>
      <c r="Y55" s="209"/>
      <c r="Z55" s="210" t="s">
        <v>23</v>
      </c>
      <c r="AA55" s="211" t="s">
        <v>53</v>
      </c>
      <c r="AB55" s="211"/>
      <c r="AC55" s="211"/>
      <c r="AD55" s="211"/>
      <c r="AE55" s="210" t="s">
        <v>54</v>
      </c>
      <c r="AF55" s="211"/>
      <c r="AG55" s="212"/>
      <c r="AH55" s="87"/>
      <c r="AI55" s="94"/>
      <c r="AJ55" s="89"/>
      <c r="AK55" s="209"/>
      <c r="AL55" s="210" t="s">
        <v>23</v>
      </c>
      <c r="AM55" s="211" t="s">
        <v>53</v>
      </c>
      <c r="AN55" s="211"/>
      <c r="AO55" s="211"/>
      <c r="AP55" s="211"/>
      <c r="AQ55" s="210" t="s">
        <v>54</v>
      </c>
      <c r="AR55" s="211"/>
      <c r="AS55" s="212"/>
      <c r="AT55" s="87"/>
      <c r="AU55" s="94"/>
      <c r="AV55" s="89"/>
      <c r="AW55" s="209"/>
      <c r="AX55" s="210" t="s">
        <v>23</v>
      </c>
      <c r="AY55" s="211" t="s">
        <v>53</v>
      </c>
      <c r="AZ55" s="211"/>
      <c r="BA55" s="211"/>
      <c r="BB55" s="211"/>
      <c r="BC55" s="210" t="s">
        <v>54</v>
      </c>
      <c r="BD55" s="211"/>
      <c r="BE55" s="212"/>
      <c r="BF55" s="87"/>
      <c r="BG55" s="94"/>
      <c r="BH55" s="89"/>
      <c r="BI55" s="209"/>
      <c r="BJ55" s="210" t="s">
        <v>23</v>
      </c>
      <c r="BK55" s="211" t="s">
        <v>53</v>
      </c>
      <c r="BL55" s="211"/>
      <c r="BM55" s="211"/>
      <c r="BN55" s="211"/>
      <c r="BO55" s="210" t="s">
        <v>54</v>
      </c>
      <c r="BP55" s="211"/>
      <c r="BQ55" s="212"/>
      <c r="BR55" s="87"/>
      <c r="BS55" s="94"/>
      <c r="BT55" s="89"/>
      <c r="BU55" s="209"/>
      <c r="BV55" s="210" t="s">
        <v>23</v>
      </c>
      <c r="BW55" s="211" t="s">
        <v>53</v>
      </c>
      <c r="BX55" s="211"/>
      <c r="BY55" s="211"/>
      <c r="BZ55" s="211"/>
      <c r="CA55" s="210" t="s">
        <v>54</v>
      </c>
      <c r="CB55" s="211"/>
      <c r="CC55" s="212"/>
      <c r="CD55" s="87"/>
      <c r="CE55" s="94"/>
      <c r="CF55" s="89"/>
      <c r="CG55" s="209"/>
      <c r="CH55" s="210" t="s">
        <v>23</v>
      </c>
      <c r="CI55" s="211" t="s">
        <v>53</v>
      </c>
      <c r="CJ55" s="211"/>
      <c r="CK55" s="211"/>
      <c r="CL55" s="211"/>
      <c r="CM55" s="210" t="s">
        <v>54</v>
      </c>
      <c r="CN55" s="211"/>
      <c r="CO55" s="212"/>
      <c r="CP55" s="87"/>
      <c r="CQ55" s="94"/>
      <c r="CR55" s="89"/>
      <c r="CS55" s="209"/>
      <c r="CT55" s="210" t="s">
        <v>23</v>
      </c>
      <c r="CU55" s="211" t="s">
        <v>53</v>
      </c>
      <c r="CV55" s="211"/>
      <c r="CW55" s="211"/>
      <c r="CX55" s="211"/>
      <c r="CY55" s="210" t="s">
        <v>54</v>
      </c>
      <c r="CZ55" s="211"/>
      <c r="DA55" s="212"/>
      <c r="DB55" s="87"/>
      <c r="DC55" s="94"/>
      <c r="DD55" s="89"/>
      <c r="DE55" s="209"/>
      <c r="DF55" s="210" t="s">
        <v>23</v>
      </c>
      <c r="DG55" s="211" t="s">
        <v>53</v>
      </c>
      <c r="DH55" s="211"/>
      <c r="DI55" s="211"/>
      <c r="DJ55" s="211"/>
      <c r="DK55" s="210" t="s">
        <v>54</v>
      </c>
      <c r="DL55" s="211"/>
      <c r="DM55" s="212"/>
      <c r="DN55" s="87"/>
      <c r="DO55" s="94"/>
      <c r="DP55" s="89"/>
      <c r="DQ55" s="209"/>
      <c r="DR55" s="210" t="s">
        <v>23</v>
      </c>
      <c r="DS55" s="211" t="s">
        <v>53</v>
      </c>
      <c r="DT55" s="211"/>
      <c r="DU55" s="211"/>
      <c r="DV55" s="211"/>
      <c r="DW55" s="210" t="s">
        <v>54</v>
      </c>
      <c r="DX55" s="211"/>
      <c r="DY55" s="212"/>
      <c r="DZ55" s="87"/>
      <c r="EA55" s="94"/>
      <c r="EB55" s="89"/>
      <c r="EC55" s="209"/>
      <c r="ED55" s="210" t="s">
        <v>23</v>
      </c>
      <c r="EE55" s="211" t="s">
        <v>53</v>
      </c>
      <c r="EF55" s="211"/>
      <c r="EG55" s="211"/>
      <c r="EH55" s="211"/>
      <c r="EI55" s="210" t="s">
        <v>54</v>
      </c>
      <c r="EJ55" s="211"/>
      <c r="EK55" s="212"/>
      <c r="EL55" s="87"/>
      <c r="EM55" s="94"/>
      <c r="EN55" s="89"/>
      <c r="EO55" s="209"/>
      <c r="EP55" s="210" t="s">
        <v>23</v>
      </c>
      <c r="EQ55" s="211" t="s">
        <v>53</v>
      </c>
      <c r="ER55" s="211"/>
      <c r="ES55" s="211"/>
      <c r="ET55" s="211"/>
      <c r="EU55" s="210" t="s">
        <v>54</v>
      </c>
      <c r="EV55" s="211"/>
      <c r="EW55" s="212"/>
      <c r="EX55" s="87"/>
      <c r="EY55" s="94"/>
      <c r="EZ55" s="89"/>
      <c r="FA55" s="209"/>
      <c r="FB55" s="210" t="s">
        <v>23</v>
      </c>
      <c r="FC55" s="211" t="s">
        <v>53</v>
      </c>
      <c r="FD55" s="211"/>
      <c r="FE55" s="211"/>
      <c r="FF55" s="211"/>
      <c r="FG55" s="210" t="s">
        <v>54</v>
      </c>
      <c r="FH55" s="211"/>
      <c r="FI55" s="212"/>
      <c r="FJ55" s="87"/>
      <c r="FK55" s="94"/>
      <c r="FL55" s="89"/>
      <c r="FM55" s="209"/>
      <c r="FN55" s="210" t="s">
        <v>23</v>
      </c>
      <c r="FO55" s="211" t="s">
        <v>53</v>
      </c>
      <c r="FP55" s="211"/>
      <c r="FQ55" s="211"/>
      <c r="FR55" s="211"/>
      <c r="FS55" s="210" t="s">
        <v>54</v>
      </c>
      <c r="FT55" s="211"/>
      <c r="FU55" s="212"/>
      <c r="FV55" s="87"/>
      <c r="FW55" s="94"/>
      <c r="FX55" s="89"/>
      <c r="FY55" s="209"/>
      <c r="FZ55" s="210" t="s">
        <v>23</v>
      </c>
      <c r="GA55" s="211" t="s">
        <v>53</v>
      </c>
      <c r="GB55" s="211"/>
      <c r="GC55" s="211"/>
      <c r="GD55" s="211"/>
      <c r="GE55" s="210" t="s">
        <v>54</v>
      </c>
      <c r="GF55" s="211"/>
      <c r="GG55" s="212"/>
      <c r="GH55" s="87"/>
      <c r="GI55" s="94"/>
      <c r="GJ55" s="89"/>
      <c r="GK55" s="209"/>
      <c r="GL55" s="210" t="s">
        <v>23</v>
      </c>
      <c r="GM55" s="211" t="s">
        <v>53</v>
      </c>
      <c r="GN55" s="211"/>
      <c r="GO55" s="211"/>
      <c r="GP55" s="211"/>
      <c r="GQ55" s="210" t="s">
        <v>54</v>
      </c>
      <c r="GR55" s="211"/>
      <c r="GS55" s="212"/>
      <c r="GT55" s="87"/>
      <c r="GU55" s="94"/>
      <c r="GV55" s="89"/>
      <c r="GW55" s="209"/>
      <c r="GX55" s="210" t="s">
        <v>23</v>
      </c>
      <c r="GY55" s="211" t="s">
        <v>53</v>
      </c>
      <c r="GZ55" s="211"/>
      <c r="HA55" s="211"/>
      <c r="HB55" s="211"/>
      <c r="HC55" s="210" t="s">
        <v>54</v>
      </c>
      <c r="HD55" s="211"/>
      <c r="HE55" s="212"/>
      <c r="HF55" s="87"/>
      <c r="HG55" s="94"/>
      <c r="HH55" s="89"/>
      <c r="HI55" s="87"/>
    </row>
    <row r="56" ht="15.0" customHeight="1">
      <c r="A56" s="209"/>
      <c r="B56" s="210" t="s">
        <v>55</v>
      </c>
      <c r="C56" s="211" t="s">
        <v>56</v>
      </c>
      <c r="D56" s="211"/>
      <c r="E56" s="211"/>
      <c r="F56" s="211"/>
      <c r="G56" s="210" t="s">
        <v>57</v>
      </c>
      <c r="H56" s="211"/>
      <c r="I56" s="212"/>
      <c r="J56" s="87"/>
      <c r="K56" s="95" t="str">
        <f>"II/"&amp;K$6</f>
        <v>II/2010</v>
      </c>
      <c r="L56" s="89"/>
      <c r="M56" s="209"/>
      <c r="N56" s="210" t="s">
        <v>55</v>
      </c>
      <c r="O56" s="211" t="s">
        <v>56</v>
      </c>
      <c r="P56" s="211"/>
      <c r="Q56" s="211"/>
      <c r="R56" s="211"/>
      <c r="S56" s="210" t="s">
        <v>57</v>
      </c>
      <c r="T56" s="211"/>
      <c r="U56" s="212"/>
      <c r="V56" s="87"/>
      <c r="W56" s="95" t="str">
        <f>"II/"&amp;W$6</f>
        <v>II/2011</v>
      </c>
      <c r="X56" s="89"/>
      <c r="Y56" s="209"/>
      <c r="Z56" s="210" t="s">
        <v>55</v>
      </c>
      <c r="AA56" s="211" t="s">
        <v>56</v>
      </c>
      <c r="AB56" s="211"/>
      <c r="AC56" s="211"/>
      <c r="AD56" s="211"/>
      <c r="AE56" s="210" t="s">
        <v>57</v>
      </c>
      <c r="AF56" s="211"/>
      <c r="AG56" s="212"/>
      <c r="AH56" s="87"/>
      <c r="AI56" s="95" t="str">
        <f>"II/"&amp;AI$6</f>
        <v>II/2012</v>
      </c>
      <c r="AJ56" s="89"/>
      <c r="AK56" s="209"/>
      <c r="AL56" s="210" t="s">
        <v>55</v>
      </c>
      <c r="AM56" s="211" t="s">
        <v>56</v>
      </c>
      <c r="AN56" s="211"/>
      <c r="AO56" s="211"/>
      <c r="AP56" s="211"/>
      <c r="AQ56" s="210" t="s">
        <v>57</v>
      </c>
      <c r="AR56" s="211"/>
      <c r="AS56" s="212"/>
      <c r="AT56" s="87"/>
      <c r="AU56" s="95" t="str">
        <f>"II/"&amp;AU$6</f>
        <v>II/2013</v>
      </c>
      <c r="AV56" s="89"/>
      <c r="AW56" s="209"/>
      <c r="AX56" s="210" t="s">
        <v>55</v>
      </c>
      <c r="AY56" s="211" t="s">
        <v>56</v>
      </c>
      <c r="AZ56" s="211"/>
      <c r="BA56" s="211"/>
      <c r="BB56" s="211"/>
      <c r="BC56" s="210" t="s">
        <v>57</v>
      </c>
      <c r="BD56" s="211"/>
      <c r="BE56" s="212"/>
      <c r="BF56" s="87"/>
      <c r="BG56" s="95" t="str">
        <f>"II/"&amp;BG$6</f>
        <v>II/2014</v>
      </c>
      <c r="BH56" s="89"/>
      <c r="BI56" s="209"/>
      <c r="BJ56" s="210" t="s">
        <v>55</v>
      </c>
      <c r="BK56" s="211" t="s">
        <v>56</v>
      </c>
      <c r="BL56" s="211"/>
      <c r="BM56" s="211"/>
      <c r="BN56" s="211"/>
      <c r="BO56" s="210" t="s">
        <v>57</v>
      </c>
      <c r="BP56" s="211"/>
      <c r="BQ56" s="212"/>
      <c r="BR56" s="87"/>
      <c r="BS56" s="95" t="str">
        <f>"II/"&amp;BS$6</f>
        <v>II/2015</v>
      </c>
      <c r="BT56" s="89"/>
      <c r="BU56" s="209"/>
      <c r="BV56" s="210" t="s">
        <v>55</v>
      </c>
      <c r="BW56" s="211" t="s">
        <v>56</v>
      </c>
      <c r="BX56" s="211"/>
      <c r="BY56" s="211"/>
      <c r="BZ56" s="211"/>
      <c r="CA56" s="210" t="s">
        <v>57</v>
      </c>
      <c r="CB56" s="211"/>
      <c r="CC56" s="212"/>
      <c r="CD56" s="87"/>
      <c r="CE56" s="95" t="str">
        <f>"II/"&amp;CE$6</f>
        <v>II/2016</v>
      </c>
      <c r="CF56" s="89"/>
      <c r="CG56" s="209"/>
      <c r="CH56" s="210" t="s">
        <v>55</v>
      </c>
      <c r="CI56" s="211" t="s">
        <v>56</v>
      </c>
      <c r="CJ56" s="211"/>
      <c r="CK56" s="211"/>
      <c r="CL56" s="211"/>
      <c r="CM56" s="210" t="s">
        <v>57</v>
      </c>
      <c r="CN56" s="211"/>
      <c r="CO56" s="212"/>
      <c r="CP56" s="87"/>
      <c r="CQ56" s="95" t="str">
        <f>"II/"&amp;CQ$6</f>
        <v>II/2017</v>
      </c>
      <c r="CR56" s="89"/>
      <c r="CS56" s="209"/>
      <c r="CT56" s="210" t="s">
        <v>55</v>
      </c>
      <c r="CU56" s="211" t="s">
        <v>56</v>
      </c>
      <c r="CV56" s="211"/>
      <c r="CW56" s="211"/>
      <c r="CX56" s="211"/>
      <c r="CY56" s="210" t="s">
        <v>57</v>
      </c>
      <c r="CZ56" s="211"/>
      <c r="DA56" s="212"/>
      <c r="DB56" s="87"/>
      <c r="DC56" s="95" t="str">
        <f>"II/"&amp;DC$6</f>
        <v>II/2018</v>
      </c>
      <c r="DD56" s="89"/>
      <c r="DE56" s="209"/>
      <c r="DF56" s="210" t="s">
        <v>55</v>
      </c>
      <c r="DG56" s="211" t="s">
        <v>56</v>
      </c>
      <c r="DH56" s="211"/>
      <c r="DI56" s="211"/>
      <c r="DJ56" s="211"/>
      <c r="DK56" s="210" t="s">
        <v>57</v>
      </c>
      <c r="DL56" s="211"/>
      <c r="DM56" s="212"/>
      <c r="DN56" s="87"/>
      <c r="DO56" s="95" t="str">
        <f>"II/"&amp;DO$6</f>
        <v>II/2019</v>
      </c>
      <c r="DP56" s="89"/>
      <c r="DQ56" s="209"/>
      <c r="DR56" s="210" t="s">
        <v>55</v>
      </c>
      <c r="DS56" s="211" t="s">
        <v>56</v>
      </c>
      <c r="DT56" s="211"/>
      <c r="DU56" s="211"/>
      <c r="DV56" s="211"/>
      <c r="DW56" s="210" t="s">
        <v>57</v>
      </c>
      <c r="DX56" s="211"/>
      <c r="DY56" s="212"/>
      <c r="DZ56" s="87"/>
      <c r="EA56" s="95" t="str">
        <f>"II/"&amp;EA$6</f>
        <v>II/2020</v>
      </c>
      <c r="EB56" s="89"/>
      <c r="EC56" s="209"/>
      <c r="ED56" s="210" t="s">
        <v>55</v>
      </c>
      <c r="EE56" s="211" t="s">
        <v>56</v>
      </c>
      <c r="EF56" s="211"/>
      <c r="EG56" s="211"/>
      <c r="EH56" s="211"/>
      <c r="EI56" s="210" t="s">
        <v>57</v>
      </c>
      <c r="EJ56" s="211"/>
      <c r="EK56" s="212"/>
      <c r="EL56" s="87"/>
      <c r="EM56" s="95" t="str">
        <f>"II/"&amp;EM$6</f>
        <v>II/2021</v>
      </c>
      <c r="EN56" s="89"/>
      <c r="EO56" s="209"/>
      <c r="EP56" s="210" t="s">
        <v>55</v>
      </c>
      <c r="EQ56" s="211" t="s">
        <v>56</v>
      </c>
      <c r="ER56" s="211"/>
      <c r="ES56" s="211"/>
      <c r="ET56" s="211"/>
      <c r="EU56" s="210" t="s">
        <v>57</v>
      </c>
      <c r="EV56" s="211"/>
      <c r="EW56" s="212"/>
      <c r="EX56" s="87"/>
      <c r="EY56" s="95" t="str">
        <f>"II/"&amp;EY$6</f>
        <v>II/2022</v>
      </c>
      <c r="EZ56" s="89"/>
      <c r="FA56" s="209"/>
      <c r="FB56" s="210" t="s">
        <v>55</v>
      </c>
      <c r="FC56" s="211" t="s">
        <v>56</v>
      </c>
      <c r="FD56" s="211"/>
      <c r="FE56" s="211"/>
      <c r="FF56" s="211"/>
      <c r="FG56" s="210" t="s">
        <v>57</v>
      </c>
      <c r="FH56" s="211"/>
      <c r="FI56" s="212"/>
      <c r="FJ56" s="87"/>
      <c r="FK56" s="95" t="str">
        <f>"II/"&amp;FK$6</f>
        <v>II/2023</v>
      </c>
      <c r="FL56" s="89"/>
      <c r="FM56" s="209"/>
      <c r="FN56" s="210" t="s">
        <v>55</v>
      </c>
      <c r="FO56" s="211" t="s">
        <v>56</v>
      </c>
      <c r="FP56" s="211"/>
      <c r="FQ56" s="211"/>
      <c r="FR56" s="211"/>
      <c r="FS56" s="210" t="s">
        <v>57</v>
      </c>
      <c r="FT56" s="211"/>
      <c r="FU56" s="212"/>
      <c r="FV56" s="87"/>
      <c r="FW56" s="95" t="str">
        <f>"II/"&amp;FW$6</f>
        <v>II/2024</v>
      </c>
      <c r="FX56" s="89"/>
      <c r="FY56" s="209"/>
      <c r="FZ56" s="210" t="s">
        <v>55</v>
      </c>
      <c r="GA56" s="211" t="s">
        <v>56</v>
      </c>
      <c r="GB56" s="211"/>
      <c r="GC56" s="211"/>
      <c r="GD56" s="211"/>
      <c r="GE56" s="210" t="s">
        <v>57</v>
      </c>
      <c r="GF56" s="211"/>
      <c r="GG56" s="212"/>
      <c r="GH56" s="87"/>
      <c r="GI56" s="95" t="str">
        <f>"II/"&amp;GI$6</f>
        <v>II/2025</v>
      </c>
      <c r="GJ56" s="89"/>
      <c r="GK56" s="209"/>
      <c r="GL56" s="210" t="s">
        <v>55</v>
      </c>
      <c r="GM56" s="211" t="s">
        <v>56</v>
      </c>
      <c r="GN56" s="211"/>
      <c r="GO56" s="211"/>
      <c r="GP56" s="211"/>
      <c r="GQ56" s="210" t="s">
        <v>57</v>
      </c>
      <c r="GR56" s="211"/>
      <c r="GS56" s="212"/>
      <c r="GT56" s="87"/>
      <c r="GU56" s="95" t="str">
        <f>"II/"&amp;GU$6</f>
        <v>II/2026</v>
      </c>
      <c r="GV56" s="89"/>
      <c r="GW56" s="209"/>
      <c r="GX56" s="210" t="s">
        <v>55</v>
      </c>
      <c r="GY56" s="211" t="s">
        <v>56</v>
      </c>
      <c r="GZ56" s="211"/>
      <c r="HA56" s="211"/>
      <c r="HB56" s="211"/>
      <c r="HC56" s="210" t="s">
        <v>57</v>
      </c>
      <c r="HD56" s="211"/>
      <c r="HE56" s="212"/>
      <c r="HF56" s="87"/>
      <c r="HG56" s="95" t="str">
        <f>"II/"&amp;HG$6</f>
        <v>II/2027</v>
      </c>
      <c r="HH56" s="89"/>
      <c r="HI56" s="87"/>
    </row>
    <row r="57" ht="15.0" customHeight="1">
      <c r="A57" s="209"/>
      <c r="B57" s="210" t="s">
        <v>58</v>
      </c>
      <c r="C57" s="211" t="s">
        <v>59</v>
      </c>
      <c r="D57" s="211"/>
      <c r="E57" s="211"/>
      <c r="F57" s="211"/>
      <c r="G57" s="213" t="s">
        <v>80</v>
      </c>
      <c r="H57" s="211"/>
      <c r="I57" s="212"/>
      <c r="J57" s="87"/>
      <c r="K57" s="94"/>
      <c r="L57" s="89"/>
      <c r="M57" s="209"/>
      <c r="N57" s="210" t="s">
        <v>58</v>
      </c>
      <c r="O57" s="211" t="s">
        <v>59</v>
      </c>
      <c r="P57" s="211"/>
      <c r="Q57" s="211"/>
      <c r="R57" s="211"/>
      <c r="S57" s="213" t="s">
        <v>80</v>
      </c>
      <c r="T57" s="211"/>
      <c r="U57" s="212"/>
      <c r="V57" s="87"/>
      <c r="W57" s="94"/>
      <c r="X57" s="89"/>
      <c r="Y57" s="209"/>
      <c r="Z57" s="210" t="s">
        <v>58</v>
      </c>
      <c r="AA57" s="211" t="s">
        <v>59</v>
      </c>
      <c r="AB57" s="211"/>
      <c r="AC57" s="211"/>
      <c r="AD57" s="211"/>
      <c r="AE57" s="213" t="s">
        <v>80</v>
      </c>
      <c r="AF57" s="211"/>
      <c r="AG57" s="212"/>
      <c r="AH57" s="87"/>
      <c r="AI57" s="94"/>
      <c r="AJ57" s="89"/>
      <c r="AK57" s="209"/>
      <c r="AL57" s="210" t="s">
        <v>58</v>
      </c>
      <c r="AM57" s="211" t="s">
        <v>59</v>
      </c>
      <c r="AN57" s="211"/>
      <c r="AO57" s="211"/>
      <c r="AP57" s="211"/>
      <c r="AQ57" s="213" t="s">
        <v>80</v>
      </c>
      <c r="AR57" s="211"/>
      <c r="AS57" s="212"/>
      <c r="AT57" s="87"/>
      <c r="AU57" s="94"/>
      <c r="AV57" s="89"/>
      <c r="AW57" s="209"/>
      <c r="AX57" s="210" t="s">
        <v>58</v>
      </c>
      <c r="AY57" s="211" t="s">
        <v>59</v>
      </c>
      <c r="AZ57" s="211"/>
      <c r="BA57" s="211"/>
      <c r="BB57" s="211"/>
      <c r="BC57" s="213" t="s">
        <v>80</v>
      </c>
      <c r="BD57" s="211"/>
      <c r="BE57" s="212"/>
      <c r="BF57" s="87"/>
      <c r="BG57" s="94"/>
      <c r="BH57" s="89"/>
      <c r="BI57" s="209"/>
      <c r="BJ57" s="210" t="s">
        <v>58</v>
      </c>
      <c r="BK57" s="211" t="s">
        <v>59</v>
      </c>
      <c r="BL57" s="211"/>
      <c r="BM57" s="211"/>
      <c r="BN57" s="211"/>
      <c r="BO57" s="213" t="s">
        <v>80</v>
      </c>
      <c r="BP57" s="211"/>
      <c r="BQ57" s="212"/>
      <c r="BR57" s="87"/>
      <c r="BS57" s="94"/>
      <c r="BT57" s="89"/>
      <c r="BU57" s="209"/>
      <c r="BV57" s="210" t="s">
        <v>58</v>
      </c>
      <c r="BW57" s="211" t="s">
        <v>59</v>
      </c>
      <c r="BX57" s="211"/>
      <c r="BY57" s="211"/>
      <c r="BZ57" s="211"/>
      <c r="CA57" s="213" t="s">
        <v>80</v>
      </c>
      <c r="CB57" s="211"/>
      <c r="CC57" s="212"/>
      <c r="CD57" s="87"/>
      <c r="CE57" s="94"/>
      <c r="CF57" s="89"/>
      <c r="CG57" s="209"/>
      <c r="CH57" s="210" t="s">
        <v>58</v>
      </c>
      <c r="CI57" s="211" t="s">
        <v>59</v>
      </c>
      <c r="CJ57" s="211"/>
      <c r="CK57" s="211"/>
      <c r="CL57" s="211"/>
      <c r="CM57" s="213" t="s">
        <v>80</v>
      </c>
      <c r="CN57" s="211"/>
      <c r="CO57" s="212"/>
      <c r="CP57" s="87"/>
      <c r="CQ57" s="94"/>
      <c r="CR57" s="89"/>
      <c r="CS57" s="209"/>
      <c r="CT57" s="210" t="s">
        <v>58</v>
      </c>
      <c r="CU57" s="211" t="s">
        <v>59</v>
      </c>
      <c r="CV57" s="211"/>
      <c r="CW57" s="211"/>
      <c r="CX57" s="211"/>
      <c r="CY57" s="213" t="s">
        <v>80</v>
      </c>
      <c r="CZ57" s="211"/>
      <c r="DA57" s="212"/>
      <c r="DB57" s="87"/>
      <c r="DC57" s="94"/>
      <c r="DD57" s="89"/>
      <c r="DE57" s="209"/>
      <c r="DF57" s="210" t="s">
        <v>58</v>
      </c>
      <c r="DG57" s="211" t="s">
        <v>59</v>
      </c>
      <c r="DH57" s="211"/>
      <c r="DI57" s="211"/>
      <c r="DJ57" s="211"/>
      <c r="DK57" s="213" t="s">
        <v>80</v>
      </c>
      <c r="DL57" s="211"/>
      <c r="DM57" s="212"/>
      <c r="DN57" s="87"/>
      <c r="DO57" s="94"/>
      <c r="DP57" s="89"/>
      <c r="DQ57" s="209"/>
      <c r="DR57" s="210" t="s">
        <v>58</v>
      </c>
      <c r="DS57" s="211" t="s">
        <v>59</v>
      </c>
      <c r="DT57" s="211"/>
      <c r="DU57" s="211"/>
      <c r="DV57" s="211"/>
      <c r="DW57" s="213" t="s">
        <v>80</v>
      </c>
      <c r="DX57" s="211"/>
      <c r="DY57" s="212"/>
      <c r="DZ57" s="87"/>
      <c r="EA57" s="94"/>
      <c r="EB57" s="89"/>
      <c r="EC57" s="209"/>
      <c r="ED57" s="210" t="s">
        <v>58</v>
      </c>
      <c r="EE57" s="211" t="s">
        <v>59</v>
      </c>
      <c r="EF57" s="211"/>
      <c r="EG57" s="211"/>
      <c r="EH57" s="211"/>
      <c r="EI57" s="213" t="s">
        <v>80</v>
      </c>
      <c r="EJ57" s="211"/>
      <c r="EK57" s="212"/>
      <c r="EL57" s="87"/>
      <c r="EM57" s="94"/>
      <c r="EN57" s="89"/>
      <c r="EO57" s="209"/>
      <c r="EP57" s="210" t="s">
        <v>58</v>
      </c>
      <c r="EQ57" s="211" t="s">
        <v>59</v>
      </c>
      <c r="ER57" s="211"/>
      <c r="ES57" s="211"/>
      <c r="ET57" s="211"/>
      <c r="EU57" s="213" t="s">
        <v>80</v>
      </c>
      <c r="EV57" s="211"/>
      <c r="EW57" s="212"/>
      <c r="EX57" s="87"/>
      <c r="EY57" s="94"/>
      <c r="EZ57" s="89"/>
      <c r="FA57" s="209"/>
      <c r="FB57" s="210" t="s">
        <v>58</v>
      </c>
      <c r="FC57" s="211" t="s">
        <v>59</v>
      </c>
      <c r="FD57" s="211"/>
      <c r="FE57" s="211"/>
      <c r="FF57" s="211"/>
      <c r="FG57" s="213" t="s">
        <v>80</v>
      </c>
      <c r="FH57" s="211"/>
      <c r="FI57" s="212"/>
      <c r="FJ57" s="87"/>
      <c r="FK57" s="94"/>
      <c r="FL57" s="89"/>
      <c r="FM57" s="209"/>
      <c r="FN57" s="210" t="s">
        <v>58</v>
      </c>
      <c r="FO57" s="211" t="s">
        <v>59</v>
      </c>
      <c r="FP57" s="211"/>
      <c r="FQ57" s="211"/>
      <c r="FR57" s="211"/>
      <c r="FS57" s="213" t="s">
        <v>80</v>
      </c>
      <c r="FT57" s="211"/>
      <c r="FU57" s="212"/>
      <c r="FV57" s="87"/>
      <c r="FW57" s="94"/>
      <c r="FX57" s="89"/>
      <c r="FY57" s="209"/>
      <c r="FZ57" s="210" t="s">
        <v>58</v>
      </c>
      <c r="GA57" s="211" t="s">
        <v>59</v>
      </c>
      <c r="GB57" s="211"/>
      <c r="GC57" s="211"/>
      <c r="GD57" s="211"/>
      <c r="GE57" s="213" t="s">
        <v>80</v>
      </c>
      <c r="GF57" s="211"/>
      <c r="GG57" s="212"/>
      <c r="GH57" s="87"/>
      <c r="GI57" s="94"/>
      <c r="GJ57" s="89"/>
      <c r="GK57" s="209"/>
      <c r="GL57" s="210" t="s">
        <v>58</v>
      </c>
      <c r="GM57" s="211" t="s">
        <v>59</v>
      </c>
      <c r="GN57" s="211"/>
      <c r="GO57" s="211"/>
      <c r="GP57" s="211"/>
      <c r="GQ57" s="213" t="s">
        <v>80</v>
      </c>
      <c r="GR57" s="211"/>
      <c r="GS57" s="212"/>
      <c r="GT57" s="87"/>
      <c r="GU57" s="94"/>
      <c r="GV57" s="89"/>
      <c r="GW57" s="209"/>
      <c r="GX57" s="210" t="s">
        <v>58</v>
      </c>
      <c r="GY57" s="211" t="s">
        <v>59</v>
      </c>
      <c r="GZ57" s="211"/>
      <c r="HA57" s="211"/>
      <c r="HB57" s="211"/>
      <c r="HC57" s="213" t="s">
        <v>80</v>
      </c>
      <c r="HD57" s="211"/>
      <c r="HE57" s="212"/>
      <c r="HF57" s="87"/>
      <c r="HG57" s="94"/>
      <c r="HH57" s="89"/>
      <c r="HI57" s="87"/>
    </row>
    <row r="58" ht="15.75" customHeight="1">
      <c r="A58" s="214"/>
      <c r="B58" s="215" t="s">
        <v>60</v>
      </c>
      <c r="C58" s="216" t="s">
        <v>61</v>
      </c>
      <c r="D58" s="216"/>
      <c r="E58" s="216"/>
      <c r="F58" s="216"/>
      <c r="G58" s="216" t="str">
        <f>"Tahun "&amp;K$6</f>
        <v>Tahun 2010</v>
      </c>
      <c r="H58" s="216"/>
      <c r="I58" s="217"/>
      <c r="J58" s="87"/>
      <c r="K58" s="87"/>
      <c r="L58" s="89"/>
      <c r="M58" s="214"/>
      <c r="N58" s="215" t="s">
        <v>60</v>
      </c>
      <c r="O58" s="216" t="s">
        <v>61</v>
      </c>
      <c r="P58" s="216"/>
      <c r="Q58" s="216"/>
      <c r="R58" s="216"/>
      <c r="S58" s="216" t="str">
        <f>"Tahun "&amp;W$6</f>
        <v>Tahun 2011</v>
      </c>
      <c r="T58" s="216"/>
      <c r="U58" s="217"/>
      <c r="V58" s="87"/>
      <c r="W58" s="87"/>
      <c r="X58" s="89"/>
      <c r="Y58" s="214"/>
      <c r="Z58" s="215" t="s">
        <v>60</v>
      </c>
      <c r="AA58" s="216" t="s">
        <v>61</v>
      </c>
      <c r="AB58" s="216"/>
      <c r="AC58" s="216"/>
      <c r="AD58" s="216"/>
      <c r="AE58" s="216" t="str">
        <f>"Tahun "&amp;AI$6</f>
        <v>Tahun 2012</v>
      </c>
      <c r="AF58" s="216"/>
      <c r="AG58" s="217"/>
      <c r="AH58" s="87"/>
      <c r="AI58" s="87"/>
      <c r="AJ58" s="89"/>
      <c r="AK58" s="214"/>
      <c r="AL58" s="215" t="s">
        <v>60</v>
      </c>
      <c r="AM58" s="216" t="s">
        <v>61</v>
      </c>
      <c r="AN58" s="216"/>
      <c r="AO58" s="216"/>
      <c r="AP58" s="216"/>
      <c r="AQ58" s="216" t="str">
        <f>"Tahun "&amp;AU$6</f>
        <v>Tahun 2013</v>
      </c>
      <c r="AR58" s="216"/>
      <c r="AS58" s="217"/>
      <c r="AT58" s="87"/>
      <c r="AU58" s="87"/>
      <c r="AV58" s="89"/>
      <c r="AW58" s="214"/>
      <c r="AX58" s="215" t="s">
        <v>60</v>
      </c>
      <c r="AY58" s="216" t="s">
        <v>61</v>
      </c>
      <c r="AZ58" s="216"/>
      <c r="BA58" s="216"/>
      <c r="BB58" s="216"/>
      <c r="BC58" s="216" t="str">
        <f>"Tahun "&amp;BG$6</f>
        <v>Tahun 2014</v>
      </c>
      <c r="BD58" s="216"/>
      <c r="BE58" s="217"/>
      <c r="BF58" s="87"/>
      <c r="BG58" s="87"/>
      <c r="BH58" s="89"/>
      <c r="BI58" s="214"/>
      <c r="BJ58" s="215" t="s">
        <v>60</v>
      </c>
      <c r="BK58" s="216" t="s">
        <v>61</v>
      </c>
      <c r="BL58" s="216"/>
      <c r="BM58" s="216"/>
      <c r="BN58" s="216"/>
      <c r="BO58" s="216" t="str">
        <f>"Tahun "&amp;BS$6</f>
        <v>Tahun 2015</v>
      </c>
      <c r="BP58" s="216"/>
      <c r="BQ58" s="217"/>
      <c r="BR58" s="87"/>
      <c r="BS58" s="87"/>
      <c r="BT58" s="89"/>
      <c r="BU58" s="214"/>
      <c r="BV58" s="215" t="s">
        <v>60</v>
      </c>
      <c r="BW58" s="216" t="s">
        <v>61</v>
      </c>
      <c r="BX58" s="216"/>
      <c r="BY58" s="216"/>
      <c r="BZ58" s="216"/>
      <c r="CA58" s="216" t="str">
        <f>"Tahun "&amp;CE$6</f>
        <v>Tahun 2016</v>
      </c>
      <c r="CB58" s="216"/>
      <c r="CC58" s="217"/>
      <c r="CD58" s="87"/>
      <c r="CE58" s="87"/>
      <c r="CF58" s="89"/>
      <c r="CG58" s="214"/>
      <c r="CH58" s="215" t="s">
        <v>60</v>
      </c>
      <c r="CI58" s="216" t="s">
        <v>61</v>
      </c>
      <c r="CJ58" s="216"/>
      <c r="CK58" s="216"/>
      <c r="CL58" s="216"/>
      <c r="CM58" s="216" t="str">
        <f>"Tahun "&amp;CQ$6</f>
        <v>Tahun 2017</v>
      </c>
      <c r="CN58" s="216"/>
      <c r="CO58" s="217"/>
      <c r="CP58" s="87"/>
      <c r="CQ58" s="87"/>
      <c r="CR58" s="89"/>
      <c r="CS58" s="214"/>
      <c r="CT58" s="215" t="s">
        <v>60</v>
      </c>
      <c r="CU58" s="216" t="s">
        <v>61</v>
      </c>
      <c r="CV58" s="216"/>
      <c r="CW58" s="216"/>
      <c r="CX58" s="216"/>
      <c r="CY58" s="216" t="str">
        <f>"Tahun "&amp;DC$6</f>
        <v>Tahun 2018</v>
      </c>
      <c r="CZ58" s="216"/>
      <c r="DA58" s="217"/>
      <c r="DB58" s="87"/>
      <c r="DC58" s="87"/>
      <c r="DD58" s="89"/>
      <c r="DE58" s="214"/>
      <c r="DF58" s="215" t="s">
        <v>60</v>
      </c>
      <c r="DG58" s="216" t="s">
        <v>61</v>
      </c>
      <c r="DH58" s="216"/>
      <c r="DI58" s="216"/>
      <c r="DJ58" s="216"/>
      <c r="DK58" s="216" t="str">
        <f>"Tahun "&amp;DO$6</f>
        <v>Tahun 2019</v>
      </c>
      <c r="DL58" s="216"/>
      <c r="DM58" s="217"/>
      <c r="DN58" s="87"/>
      <c r="DO58" s="87"/>
      <c r="DP58" s="89"/>
      <c r="DQ58" s="214"/>
      <c r="DR58" s="215" t="s">
        <v>60</v>
      </c>
      <c r="DS58" s="216" t="s">
        <v>61</v>
      </c>
      <c r="DT58" s="216"/>
      <c r="DU58" s="216"/>
      <c r="DV58" s="216"/>
      <c r="DW58" s="216" t="str">
        <f>"Tahun "&amp;EA$6</f>
        <v>Tahun 2020</v>
      </c>
      <c r="DX58" s="216"/>
      <c r="DY58" s="217"/>
      <c r="DZ58" s="87"/>
      <c r="EA58" s="87"/>
      <c r="EB58" s="89"/>
      <c r="EC58" s="214"/>
      <c r="ED58" s="215" t="s">
        <v>60</v>
      </c>
      <c r="EE58" s="216" t="s">
        <v>61</v>
      </c>
      <c r="EF58" s="216"/>
      <c r="EG58" s="216"/>
      <c r="EH58" s="216"/>
      <c r="EI58" s="216" t="str">
        <f>"Tahun "&amp;EM$6</f>
        <v>Tahun 2021</v>
      </c>
      <c r="EJ58" s="216"/>
      <c r="EK58" s="217"/>
      <c r="EL58" s="87"/>
      <c r="EM58" s="87"/>
      <c r="EN58" s="89"/>
      <c r="EO58" s="214"/>
      <c r="EP58" s="215" t="s">
        <v>60</v>
      </c>
      <c r="EQ58" s="216" t="s">
        <v>61</v>
      </c>
      <c r="ER58" s="216"/>
      <c r="ES58" s="216"/>
      <c r="ET58" s="216"/>
      <c r="EU58" s="216" t="str">
        <f>"Tahun "&amp;EY$6</f>
        <v>Tahun 2022</v>
      </c>
      <c r="EV58" s="216"/>
      <c r="EW58" s="217"/>
      <c r="EX58" s="87"/>
      <c r="EY58" s="87"/>
      <c r="EZ58" s="89"/>
      <c r="FA58" s="214"/>
      <c r="FB58" s="215" t="s">
        <v>60</v>
      </c>
      <c r="FC58" s="216" t="s">
        <v>61</v>
      </c>
      <c r="FD58" s="216"/>
      <c r="FE58" s="216"/>
      <c r="FF58" s="216"/>
      <c r="FG58" s="216" t="str">
        <f>"Tahun "&amp;FK$6</f>
        <v>Tahun 2023</v>
      </c>
      <c r="FH58" s="216"/>
      <c r="FI58" s="217"/>
      <c r="FJ58" s="87"/>
      <c r="FK58" s="87"/>
      <c r="FL58" s="89"/>
      <c r="FM58" s="214"/>
      <c r="FN58" s="215" t="s">
        <v>60</v>
      </c>
      <c r="FO58" s="216" t="s">
        <v>61</v>
      </c>
      <c r="FP58" s="216"/>
      <c r="FQ58" s="216"/>
      <c r="FR58" s="216"/>
      <c r="FS58" s="216" t="str">
        <f>"Tahun "&amp;FW$6</f>
        <v>Tahun 2024</v>
      </c>
      <c r="FT58" s="216"/>
      <c r="FU58" s="217"/>
      <c r="FV58" s="87"/>
      <c r="FW58" s="87"/>
      <c r="FX58" s="89"/>
      <c r="FY58" s="214"/>
      <c r="FZ58" s="215" t="s">
        <v>60</v>
      </c>
      <c r="GA58" s="216" t="s">
        <v>61</v>
      </c>
      <c r="GB58" s="216"/>
      <c r="GC58" s="216"/>
      <c r="GD58" s="216"/>
      <c r="GE58" s="216" t="str">
        <f>"Tahun "&amp;GI$6</f>
        <v>Tahun 2025</v>
      </c>
      <c r="GF58" s="216"/>
      <c r="GG58" s="217"/>
      <c r="GH58" s="87"/>
      <c r="GI58" s="87"/>
      <c r="GJ58" s="89"/>
      <c r="GK58" s="214"/>
      <c r="GL58" s="215" t="s">
        <v>60</v>
      </c>
      <c r="GM58" s="216" t="s">
        <v>61</v>
      </c>
      <c r="GN58" s="216"/>
      <c r="GO58" s="216"/>
      <c r="GP58" s="216"/>
      <c r="GQ58" s="216" t="str">
        <f>"Tahun "&amp;GU$6</f>
        <v>Tahun 2026</v>
      </c>
      <c r="GR58" s="216"/>
      <c r="GS58" s="217"/>
      <c r="GT58" s="87"/>
      <c r="GU58" s="87"/>
      <c r="GV58" s="89"/>
      <c r="GW58" s="214"/>
      <c r="GX58" s="215" t="s">
        <v>60</v>
      </c>
      <c r="GY58" s="216" t="s">
        <v>61</v>
      </c>
      <c r="GZ58" s="216"/>
      <c r="HA58" s="216"/>
      <c r="HB58" s="216"/>
      <c r="HC58" s="216" t="str">
        <f>"Tahun "&amp;HG$6</f>
        <v>Tahun 2027</v>
      </c>
      <c r="HD58" s="216"/>
      <c r="HE58" s="217"/>
      <c r="HF58" s="87"/>
      <c r="HG58" s="87"/>
      <c r="HH58" s="89"/>
      <c r="HI58" s="87"/>
    </row>
    <row r="59" ht="15.75" customHeight="1">
      <c r="A59" s="74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81"/>
      <c r="M59" s="74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81"/>
      <c r="Y59" s="74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81"/>
      <c r="AK59" s="74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81"/>
      <c r="AW59" s="74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81"/>
      <c r="BI59" s="74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81"/>
      <c r="BU59" s="74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81"/>
      <c r="CG59" s="74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81"/>
      <c r="CS59" s="74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81"/>
      <c r="DE59" s="74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81"/>
      <c r="DQ59" s="74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81"/>
      <c r="EC59" s="74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81"/>
      <c r="EO59" s="74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81"/>
      <c r="FA59" s="74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81"/>
      <c r="FM59" s="74"/>
      <c r="FN59" s="75"/>
      <c r="FO59" s="75"/>
      <c r="FP59" s="75"/>
      <c r="FQ59" s="75"/>
      <c r="FR59" s="75"/>
      <c r="FS59" s="75"/>
      <c r="FT59" s="75"/>
      <c r="FU59" s="75"/>
      <c r="FV59" s="75"/>
      <c r="FW59" s="75"/>
      <c r="FX59" s="81"/>
      <c r="FY59" s="74"/>
      <c r="FZ59" s="75"/>
      <c r="GA59" s="75"/>
      <c r="GB59" s="75"/>
      <c r="GC59" s="75"/>
      <c r="GD59" s="75"/>
      <c r="GE59" s="75"/>
      <c r="GF59" s="75"/>
      <c r="GG59" s="75"/>
      <c r="GH59" s="75"/>
      <c r="GI59" s="75"/>
      <c r="GJ59" s="81"/>
      <c r="GK59" s="74"/>
      <c r="GL59" s="75"/>
      <c r="GM59" s="75"/>
      <c r="GN59" s="75"/>
      <c r="GO59" s="75"/>
      <c r="GP59" s="75"/>
      <c r="GQ59" s="75"/>
      <c r="GR59" s="75"/>
      <c r="GS59" s="75"/>
      <c r="GT59" s="75"/>
      <c r="GU59" s="75"/>
      <c r="GV59" s="81"/>
      <c r="GW59" s="74"/>
      <c r="GX59" s="75"/>
      <c r="GY59" s="75"/>
      <c r="GZ59" s="75"/>
      <c r="HA59" s="75"/>
      <c r="HB59" s="75"/>
      <c r="HC59" s="75"/>
      <c r="HD59" s="75"/>
      <c r="HE59" s="75"/>
      <c r="HF59" s="75"/>
      <c r="HG59" s="75"/>
      <c r="HH59" s="81"/>
      <c r="HI59" s="75"/>
    </row>
    <row r="60" ht="33.75" customHeight="1">
      <c r="A60" s="218" t="s">
        <v>62</v>
      </c>
      <c r="B60" s="219" t="s">
        <v>63</v>
      </c>
      <c r="C60" s="219" t="s">
        <v>64</v>
      </c>
      <c r="D60" s="219" t="s">
        <v>65</v>
      </c>
      <c r="E60" s="219" t="s">
        <v>66</v>
      </c>
      <c r="F60" s="220" t="s">
        <v>67</v>
      </c>
      <c r="G60" s="104"/>
      <c r="H60" s="221" t="s">
        <v>68</v>
      </c>
      <c r="I60" s="222"/>
      <c r="J60" s="222"/>
      <c r="K60" s="222"/>
      <c r="L60" s="107"/>
      <c r="M60" s="218" t="s">
        <v>62</v>
      </c>
      <c r="N60" s="219" t="s">
        <v>63</v>
      </c>
      <c r="O60" s="219" t="s">
        <v>64</v>
      </c>
      <c r="P60" s="219" t="s">
        <v>65</v>
      </c>
      <c r="Q60" s="219" t="s">
        <v>66</v>
      </c>
      <c r="R60" s="220" t="s">
        <v>67</v>
      </c>
      <c r="S60" s="104"/>
      <c r="T60" s="221" t="s">
        <v>68</v>
      </c>
      <c r="U60" s="222"/>
      <c r="V60" s="222"/>
      <c r="W60" s="222"/>
      <c r="X60" s="107"/>
      <c r="Y60" s="218" t="s">
        <v>62</v>
      </c>
      <c r="Z60" s="219" t="s">
        <v>63</v>
      </c>
      <c r="AA60" s="219" t="s">
        <v>64</v>
      </c>
      <c r="AB60" s="219" t="s">
        <v>65</v>
      </c>
      <c r="AC60" s="219" t="s">
        <v>66</v>
      </c>
      <c r="AD60" s="220" t="s">
        <v>67</v>
      </c>
      <c r="AE60" s="104"/>
      <c r="AF60" s="221" t="s">
        <v>68</v>
      </c>
      <c r="AG60" s="222"/>
      <c r="AH60" s="222"/>
      <c r="AI60" s="222"/>
      <c r="AJ60" s="107"/>
      <c r="AK60" s="218" t="s">
        <v>62</v>
      </c>
      <c r="AL60" s="219" t="s">
        <v>63</v>
      </c>
      <c r="AM60" s="219" t="s">
        <v>64</v>
      </c>
      <c r="AN60" s="219" t="s">
        <v>65</v>
      </c>
      <c r="AO60" s="219" t="s">
        <v>66</v>
      </c>
      <c r="AP60" s="220" t="s">
        <v>67</v>
      </c>
      <c r="AQ60" s="104"/>
      <c r="AR60" s="221" t="s">
        <v>68</v>
      </c>
      <c r="AS60" s="222"/>
      <c r="AT60" s="222"/>
      <c r="AU60" s="222"/>
      <c r="AV60" s="107"/>
      <c r="AW60" s="218" t="s">
        <v>62</v>
      </c>
      <c r="AX60" s="219" t="s">
        <v>63</v>
      </c>
      <c r="AY60" s="219" t="s">
        <v>64</v>
      </c>
      <c r="AZ60" s="219" t="s">
        <v>65</v>
      </c>
      <c r="BA60" s="219" t="s">
        <v>66</v>
      </c>
      <c r="BB60" s="220" t="s">
        <v>67</v>
      </c>
      <c r="BC60" s="104"/>
      <c r="BD60" s="221" t="s">
        <v>68</v>
      </c>
      <c r="BE60" s="222"/>
      <c r="BF60" s="222"/>
      <c r="BG60" s="222"/>
      <c r="BH60" s="107"/>
      <c r="BI60" s="218" t="s">
        <v>62</v>
      </c>
      <c r="BJ60" s="219" t="s">
        <v>63</v>
      </c>
      <c r="BK60" s="219" t="s">
        <v>64</v>
      </c>
      <c r="BL60" s="219" t="s">
        <v>65</v>
      </c>
      <c r="BM60" s="219" t="s">
        <v>66</v>
      </c>
      <c r="BN60" s="220" t="s">
        <v>67</v>
      </c>
      <c r="BO60" s="104"/>
      <c r="BP60" s="221" t="s">
        <v>68</v>
      </c>
      <c r="BQ60" s="222"/>
      <c r="BR60" s="222"/>
      <c r="BS60" s="222"/>
      <c r="BT60" s="107"/>
      <c r="BU60" s="218" t="s">
        <v>62</v>
      </c>
      <c r="BV60" s="219" t="s">
        <v>63</v>
      </c>
      <c r="BW60" s="219" t="s">
        <v>64</v>
      </c>
      <c r="BX60" s="219" t="s">
        <v>65</v>
      </c>
      <c r="BY60" s="219" t="s">
        <v>66</v>
      </c>
      <c r="BZ60" s="220" t="s">
        <v>67</v>
      </c>
      <c r="CA60" s="104"/>
      <c r="CB60" s="221" t="s">
        <v>68</v>
      </c>
      <c r="CC60" s="222"/>
      <c r="CD60" s="222"/>
      <c r="CE60" s="222"/>
      <c r="CF60" s="107"/>
      <c r="CG60" s="218" t="s">
        <v>62</v>
      </c>
      <c r="CH60" s="219" t="s">
        <v>63</v>
      </c>
      <c r="CI60" s="219" t="s">
        <v>64</v>
      </c>
      <c r="CJ60" s="219" t="s">
        <v>65</v>
      </c>
      <c r="CK60" s="219" t="s">
        <v>66</v>
      </c>
      <c r="CL60" s="220" t="s">
        <v>67</v>
      </c>
      <c r="CM60" s="104"/>
      <c r="CN60" s="221" t="s">
        <v>68</v>
      </c>
      <c r="CO60" s="222"/>
      <c r="CP60" s="222"/>
      <c r="CQ60" s="222"/>
      <c r="CR60" s="107"/>
      <c r="CS60" s="218" t="s">
        <v>62</v>
      </c>
      <c r="CT60" s="219" t="s">
        <v>63</v>
      </c>
      <c r="CU60" s="219" t="s">
        <v>64</v>
      </c>
      <c r="CV60" s="219" t="s">
        <v>65</v>
      </c>
      <c r="CW60" s="219" t="s">
        <v>66</v>
      </c>
      <c r="CX60" s="220" t="s">
        <v>67</v>
      </c>
      <c r="CY60" s="104"/>
      <c r="CZ60" s="221" t="s">
        <v>68</v>
      </c>
      <c r="DA60" s="222"/>
      <c r="DB60" s="222"/>
      <c r="DC60" s="222"/>
      <c r="DD60" s="107"/>
      <c r="DE60" s="218" t="s">
        <v>62</v>
      </c>
      <c r="DF60" s="219" t="s">
        <v>63</v>
      </c>
      <c r="DG60" s="219" t="s">
        <v>64</v>
      </c>
      <c r="DH60" s="219" t="s">
        <v>65</v>
      </c>
      <c r="DI60" s="219" t="s">
        <v>66</v>
      </c>
      <c r="DJ60" s="220" t="s">
        <v>67</v>
      </c>
      <c r="DK60" s="104"/>
      <c r="DL60" s="221" t="s">
        <v>68</v>
      </c>
      <c r="DM60" s="222"/>
      <c r="DN60" s="222"/>
      <c r="DO60" s="222"/>
      <c r="DP60" s="107"/>
      <c r="DQ60" s="218" t="s">
        <v>62</v>
      </c>
      <c r="DR60" s="219" t="s">
        <v>63</v>
      </c>
      <c r="DS60" s="219" t="s">
        <v>64</v>
      </c>
      <c r="DT60" s="219" t="s">
        <v>65</v>
      </c>
      <c r="DU60" s="219" t="s">
        <v>66</v>
      </c>
      <c r="DV60" s="220" t="s">
        <v>67</v>
      </c>
      <c r="DW60" s="104"/>
      <c r="DX60" s="221" t="s">
        <v>68</v>
      </c>
      <c r="DY60" s="222"/>
      <c r="DZ60" s="222"/>
      <c r="EA60" s="222"/>
      <c r="EB60" s="107"/>
      <c r="EC60" s="218" t="s">
        <v>62</v>
      </c>
      <c r="ED60" s="219" t="s">
        <v>63</v>
      </c>
      <c r="EE60" s="219" t="s">
        <v>64</v>
      </c>
      <c r="EF60" s="219" t="s">
        <v>65</v>
      </c>
      <c r="EG60" s="219" t="s">
        <v>66</v>
      </c>
      <c r="EH60" s="220" t="s">
        <v>67</v>
      </c>
      <c r="EI60" s="104"/>
      <c r="EJ60" s="221" t="s">
        <v>68</v>
      </c>
      <c r="EK60" s="222"/>
      <c r="EL60" s="222"/>
      <c r="EM60" s="222"/>
      <c r="EN60" s="107"/>
      <c r="EO60" s="218" t="s">
        <v>62</v>
      </c>
      <c r="EP60" s="219" t="s">
        <v>63</v>
      </c>
      <c r="EQ60" s="219" t="s">
        <v>64</v>
      </c>
      <c r="ER60" s="219" t="s">
        <v>65</v>
      </c>
      <c r="ES60" s="219" t="s">
        <v>66</v>
      </c>
      <c r="ET60" s="220" t="s">
        <v>67</v>
      </c>
      <c r="EU60" s="104"/>
      <c r="EV60" s="221" t="s">
        <v>68</v>
      </c>
      <c r="EW60" s="222"/>
      <c r="EX60" s="222"/>
      <c r="EY60" s="222"/>
      <c r="EZ60" s="107"/>
      <c r="FA60" s="218" t="s">
        <v>62</v>
      </c>
      <c r="FB60" s="219" t="s">
        <v>63</v>
      </c>
      <c r="FC60" s="219" t="s">
        <v>64</v>
      </c>
      <c r="FD60" s="219" t="s">
        <v>65</v>
      </c>
      <c r="FE60" s="219" t="s">
        <v>66</v>
      </c>
      <c r="FF60" s="220" t="s">
        <v>67</v>
      </c>
      <c r="FG60" s="104"/>
      <c r="FH60" s="221" t="s">
        <v>68</v>
      </c>
      <c r="FI60" s="222"/>
      <c r="FJ60" s="222"/>
      <c r="FK60" s="222"/>
      <c r="FL60" s="107"/>
      <c r="FM60" s="218" t="s">
        <v>62</v>
      </c>
      <c r="FN60" s="219" t="s">
        <v>63</v>
      </c>
      <c r="FO60" s="219" t="s">
        <v>64</v>
      </c>
      <c r="FP60" s="219" t="s">
        <v>65</v>
      </c>
      <c r="FQ60" s="219" t="s">
        <v>66</v>
      </c>
      <c r="FR60" s="220" t="s">
        <v>67</v>
      </c>
      <c r="FS60" s="104"/>
      <c r="FT60" s="221" t="s">
        <v>68</v>
      </c>
      <c r="FU60" s="222"/>
      <c r="FV60" s="222"/>
      <c r="FW60" s="222"/>
      <c r="FX60" s="107"/>
      <c r="FY60" s="218" t="s">
        <v>62</v>
      </c>
      <c r="FZ60" s="219" t="s">
        <v>63</v>
      </c>
      <c r="GA60" s="219" t="s">
        <v>64</v>
      </c>
      <c r="GB60" s="219" t="s">
        <v>65</v>
      </c>
      <c r="GC60" s="219" t="s">
        <v>66</v>
      </c>
      <c r="GD60" s="220" t="s">
        <v>67</v>
      </c>
      <c r="GE60" s="104"/>
      <c r="GF60" s="221" t="s">
        <v>68</v>
      </c>
      <c r="GG60" s="222"/>
      <c r="GH60" s="222"/>
      <c r="GI60" s="222"/>
      <c r="GJ60" s="107"/>
      <c r="GK60" s="218" t="s">
        <v>62</v>
      </c>
      <c r="GL60" s="219" t="s">
        <v>63</v>
      </c>
      <c r="GM60" s="219" t="s">
        <v>64</v>
      </c>
      <c r="GN60" s="219" t="s">
        <v>65</v>
      </c>
      <c r="GO60" s="219" t="s">
        <v>66</v>
      </c>
      <c r="GP60" s="220" t="s">
        <v>67</v>
      </c>
      <c r="GQ60" s="104"/>
      <c r="GR60" s="221" t="s">
        <v>68</v>
      </c>
      <c r="GS60" s="222"/>
      <c r="GT60" s="222"/>
      <c r="GU60" s="222"/>
      <c r="GV60" s="107"/>
      <c r="GW60" s="218" t="s">
        <v>62</v>
      </c>
      <c r="GX60" s="219" t="s">
        <v>63</v>
      </c>
      <c r="GY60" s="219" t="s">
        <v>64</v>
      </c>
      <c r="GZ60" s="219" t="s">
        <v>65</v>
      </c>
      <c r="HA60" s="219" t="s">
        <v>66</v>
      </c>
      <c r="HB60" s="220" t="s">
        <v>67</v>
      </c>
      <c r="HC60" s="104"/>
      <c r="HD60" s="221" t="s">
        <v>68</v>
      </c>
      <c r="HE60" s="222"/>
      <c r="HF60" s="222"/>
      <c r="HG60" s="222"/>
      <c r="HH60" s="107"/>
      <c r="HI60" s="106"/>
    </row>
    <row r="61" ht="66.0" customHeight="1">
      <c r="A61" s="108"/>
      <c r="B61" s="94"/>
      <c r="C61" s="94"/>
      <c r="D61" s="94"/>
      <c r="E61" s="94"/>
      <c r="F61" s="223" t="s">
        <v>69</v>
      </c>
      <c r="G61" s="223" t="s">
        <v>70</v>
      </c>
      <c r="H61" s="110"/>
      <c r="I61" s="222"/>
      <c r="J61" s="222"/>
      <c r="K61" s="222"/>
      <c r="L61" s="107"/>
      <c r="M61" s="108"/>
      <c r="N61" s="94"/>
      <c r="O61" s="94"/>
      <c r="P61" s="94"/>
      <c r="Q61" s="94"/>
      <c r="R61" s="223" t="s">
        <v>69</v>
      </c>
      <c r="S61" s="223" t="s">
        <v>70</v>
      </c>
      <c r="T61" s="110"/>
      <c r="U61" s="222"/>
      <c r="V61" s="222"/>
      <c r="W61" s="222"/>
      <c r="X61" s="107"/>
      <c r="Y61" s="108"/>
      <c r="Z61" s="94"/>
      <c r="AA61" s="94"/>
      <c r="AB61" s="94"/>
      <c r="AC61" s="94"/>
      <c r="AD61" s="223" t="s">
        <v>69</v>
      </c>
      <c r="AE61" s="223" t="s">
        <v>70</v>
      </c>
      <c r="AF61" s="110"/>
      <c r="AG61" s="222"/>
      <c r="AH61" s="222"/>
      <c r="AI61" s="222"/>
      <c r="AJ61" s="107"/>
      <c r="AK61" s="108"/>
      <c r="AL61" s="94"/>
      <c r="AM61" s="94"/>
      <c r="AN61" s="94"/>
      <c r="AO61" s="94"/>
      <c r="AP61" s="223" t="s">
        <v>69</v>
      </c>
      <c r="AQ61" s="223" t="s">
        <v>70</v>
      </c>
      <c r="AR61" s="110"/>
      <c r="AS61" s="222"/>
      <c r="AT61" s="222"/>
      <c r="AU61" s="222"/>
      <c r="AV61" s="107"/>
      <c r="AW61" s="108"/>
      <c r="AX61" s="94"/>
      <c r="AY61" s="94"/>
      <c r="AZ61" s="94"/>
      <c r="BA61" s="94"/>
      <c r="BB61" s="223" t="s">
        <v>69</v>
      </c>
      <c r="BC61" s="223" t="s">
        <v>70</v>
      </c>
      <c r="BD61" s="110"/>
      <c r="BE61" s="222"/>
      <c r="BF61" s="222"/>
      <c r="BG61" s="222"/>
      <c r="BH61" s="107"/>
      <c r="BI61" s="108"/>
      <c r="BJ61" s="94"/>
      <c r="BK61" s="94"/>
      <c r="BL61" s="94"/>
      <c r="BM61" s="94"/>
      <c r="BN61" s="223" t="s">
        <v>69</v>
      </c>
      <c r="BO61" s="223" t="s">
        <v>70</v>
      </c>
      <c r="BP61" s="110"/>
      <c r="BQ61" s="222"/>
      <c r="BR61" s="222"/>
      <c r="BS61" s="222"/>
      <c r="BT61" s="107"/>
      <c r="BU61" s="108"/>
      <c r="BV61" s="94"/>
      <c r="BW61" s="94"/>
      <c r="BX61" s="94"/>
      <c r="BY61" s="94"/>
      <c r="BZ61" s="223" t="s">
        <v>69</v>
      </c>
      <c r="CA61" s="223" t="s">
        <v>70</v>
      </c>
      <c r="CB61" s="110"/>
      <c r="CC61" s="222"/>
      <c r="CD61" s="222"/>
      <c r="CE61" s="222"/>
      <c r="CF61" s="107"/>
      <c r="CG61" s="108"/>
      <c r="CH61" s="94"/>
      <c r="CI61" s="94"/>
      <c r="CJ61" s="94"/>
      <c r="CK61" s="94"/>
      <c r="CL61" s="223" t="s">
        <v>69</v>
      </c>
      <c r="CM61" s="223" t="s">
        <v>70</v>
      </c>
      <c r="CN61" s="110"/>
      <c r="CO61" s="222"/>
      <c r="CP61" s="222"/>
      <c r="CQ61" s="222"/>
      <c r="CR61" s="107"/>
      <c r="CS61" s="108"/>
      <c r="CT61" s="94"/>
      <c r="CU61" s="94"/>
      <c r="CV61" s="94"/>
      <c r="CW61" s="94"/>
      <c r="CX61" s="223" t="s">
        <v>69</v>
      </c>
      <c r="CY61" s="223" t="s">
        <v>70</v>
      </c>
      <c r="CZ61" s="110"/>
      <c r="DA61" s="222"/>
      <c r="DB61" s="222"/>
      <c r="DC61" s="222"/>
      <c r="DD61" s="107"/>
      <c r="DE61" s="108"/>
      <c r="DF61" s="94"/>
      <c r="DG61" s="94"/>
      <c r="DH61" s="94"/>
      <c r="DI61" s="94"/>
      <c r="DJ61" s="223" t="s">
        <v>69</v>
      </c>
      <c r="DK61" s="223" t="s">
        <v>70</v>
      </c>
      <c r="DL61" s="110"/>
      <c r="DM61" s="222"/>
      <c r="DN61" s="222"/>
      <c r="DO61" s="222"/>
      <c r="DP61" s="107"/>
      <c r="DQ61" s="108"/>
      <c r="DR61" s="94"/>
      <c r="DS61" s="94"/>
      <c r="DT61" s="94"/>
      <c r="DU61" s="94"/>
      <c r="DV61" s="223" t="s">
        <v>69</v>
      </c>
      <c r="DW61" s="223" t="s">
        <v>70</v>
      </c>
      <c r="DX61" s="110"/>
      <c r="DY61" s="222"/>
      <c r="DZ61" s="222"/>
      <c r="EA61" s="222"/>
      <c r="EB61" s="107"/>
      <c r="EC61" s="108"/>
      <c r="ED61" s="94"/>
      <c r="EE61" s="94"/>
      <c r="EF61" s="94"/>
      <c r="EG61" s="94"/>
      <c r="EH61" s="223" t="s">
        <v>69</v>
      </c>
      <c r="EI61" s="223" t="s">
        <v>70</v>
      </c>
      <c r="EJ61" s="110"/>
      <c r="EK61" s="222"/>
      <c r="EL61" s="222"/>
      <c r="EM61" s="222"/>
      <c r="EN61" s="107"/>
      <c r="EO61" s="108"/>
      <c r="EP61" s="94"/>
      <c r="EQ61" s="94"/>
      <c r="ER61" s="94"/>
      <c r="ES61" s="94"/>
      <c r="ET61" s="223" t="s">
        <v>69</v>
      </c>
      <c r="EU61" s="223" t="s">
        <v>70</v>
      </c>
      <c r="EV61" s="110"/>
      <c r="EW61" s="222"/>
      <c r="EX61" s="222"/>
      <c r="EY61" s="222"/>
      <c r="EZ61" s="107"/>
      <c r="FA61" s="108"/>
      <c r="FB61" s="94"/>
      <c r="FC61" s="94"/>
      <c r="FD61" s="94"/>
      <c r="FE61" s="94"/>
      <c r="FF61" s="223" t="s">
        <v>69</v>
      </c>
      <c r="FG61" s="223" t="s">
        <v>70</v>
      </c>
      <c r="FH61" s="110"/>
      <c r="FI61" s="222"/>
      <c r="FJ61" s="222"/>
      <c r="FK61" s="222"/>
      <c r="FL61" s="107"/>
      <c r="FM61" s="108"/>
      <c r="FN61" s="94"/>
      <c r="FO61" s="94"/>
      <c r="FP61" s="94"/>
      <c r="FQ61" s="94"/>
      <c r="FR61" s="223" t="s">
        <v>69</v>
      </c>
      <c r="FS61" s="223" t="s">
        <v>70</v>
      </c>
      <c r="FT61" s="110"/>
      <c r="FU61" s="222"/>
      <c r="FV61" s="222"/>
      <c r="FW61" s="222"/>
      <c r="FX61" s="107"/>
      <c r="FY61" s="108"/>
      <c r="FZ61" s="94"/>
      <c r="GA61" s="94"/>
      <c r="GB61" s="94"/>
      <c r="GC61" s="94"/>
      <c r="GD61" s="223" t="s">
        <v>69</v>
      </c>
      <c r="GE61" s="223" t="s">
        <v>70</v>
      </c>
      <c r="GF61" s="110"/>
      <c r="GG61" s="222"/>
      <c r="GH61" s="222"/>
      <c r="GI61" s="222"/>
      <c r="GJ61" s="107"/>
      <c r="GK61" s="108"/>
      <c r="GL61" s="94"/>
      <c r="GM61" s="94"/>
      <c r="GN61" s="94"/>
      <c r="GO61" s="94"/>
      <c r="GP61" s="223" t="s">
        <v>69</v>
      </c>
      <c r="GQ61" s="223" t="s">
        <v>70</v>
      </c>
      <c r="GR61" s="110"/>
      <c r="GS61" s="222"/>
      <c r="GT61" s="222"/>
      <c r="GU61" s="222"/>
      <c r="GV61" s="107"/>
      <c r="GW61" s="108"/>
      <c r="GX61" s="94"/>
      <c r="GY61" s="94"/>
      <c r="GZ61" s="94"/>
      <c r="HA61" s="94"/>
      <c r="HB61" s="223" t="s">
        <v>69</v>
      </c>
      <c r="HC61" s="223" t="s">
        <v>70</v>
      </c>
      <c r="HD61" s="110"/>
      <c r="HE61" s="222"/>
      <c r="HF61" s="222"/>
      <c r="HG61" s="222"/>
      <c r="HH61" s="107"/>
      <c r="HI61" s="106"/>
    </row>
    <row r="62" ht="15.75" customHeight="1">
      <c r="A62" s="224">
        <v>-1.0</v>
      </c>
      <c r="B62" s="225">
        <v>-2.0</v>
      </c>
      <c r="C62" s="225">
        <v>-3.0</v>
      </c>
      <c r="D62" s="225">
        <v>-4.0</v>
      </c>
      <c r="E62" s="225">
        <v>-5.0</v>
      </c>
      <c r="F62" s="225">
        <v>-6.0</v>
      </c>
      <c r="G62" s="225">
        <v>-7.0</v>
      </c>
      <c r="H62" s="226">
        <v>-8.0</v>
      </c>
      <c r="I62" s="227"/>
      <c r="J62" s="227"/>
      <c r="K62" s="227"/>
      <c r="L62" s="115"/>
      <c r="M62" s="224">
        <v>-1.0</v>
      </c>
      <c r="N62" s="225">
        <v>-2.0</v>
      </c>
      <c r="O62" s="225">
        <v>-3.0</v>
      </c>
      <c r="P62" s="225">
        <v>-4.0</v>
      </c>
      <c r="Q62" s="225">
        <v>-5.0</v>
      </c>
      <c r="R62" s="225">
        <v>-6.0</v>
      </c>
      <c r="S62" s="225">
        <v>-7.0</v>
      </c>
      <c r="T62" s="226">
        <v>-8.0</v>
      </c>
      <c r="U62" s="227"/>
      <c r="V62" s="227"/>
      <c r="W62" s="227"/>
      <c r="X62" s="115"/>
      <c r="Y62" s="224">
        <v>-1.0</v>
      </c>
      <c r="Z62" s="225">
        <v>-2.0</v>
      </c>
      <c r="AA62" s="225">
        <v>-3.0</v>
      </c>
      <c r="AB62" s="225">
        <v>-4.0</v>
      </c>
      <c r="AC62" s="225">
        <v>-5.0</v>
      </c>
      <c r="AD62" s="225">
        <v>-6.0</v>
      </c>
      <c r="AE62" s="225">
        <v>-7.0</v>
      </c>
      <c r="AF62" s="226">
        <v>-8.0</v>
      </c>
      <c r="AG62" s="227"/>
      <c r="AH62" s="227"/>
      <c r="AI62" s="227"/>
      <c r="AJ62" s="115"/>
      <c r="AK62" s="224">
        <v>-1.0</v>
      </c>
      <c r="AL62" s="225">
        <v>-2.0</v>
      </c>
      <c r="AM62" s="225">
        <v>-3.0</v>
      </c>
      <c r="AN62" s="225">
        <v>-4.0</v>
      </c>
      <c r="AO62" s="225">
        <v>-5.0</v>
      </c>
      <c r="AP62" s="225">
        <v>-6.0</v>
      </c>
      <c r="AQ62" s="225">
        <v>-7.0</v>
      </c>
      <c r="AR62" s="226">
        <v>-8.0</v>
      </c>
      <c r="AS62" s="227"/>
      <c r="AT62" s="227"/>
      <c r="AU62" s="227"/>
      <c r="AV62" s="115"/>
      <c r="AW62" s="224">
        <v>-1.0</v>
      </c>
      <c r="AX62" s="225">
        <v>-2.0</v>
      </c>
      <c r="AY62" s="225">
        <v>-3.0</v>
      </c>
      <c r="AZ62" s="225">
        <v>-4.0</v>
      </c>
      <c r="BA62" s="225">
        <v>-5.0</v>
      </c>
      <c r="BB62" s="225">
        <v>-6.0</v>
      </c>
      <c r="BC62" s="225">
        <v>-7.0</v>
      </c>
      <c r="BD62" s="226">
        <v>-8.0</v>
      </c>
      <c r="BE62" s="227"/>
      <c r="BF62" s="227"/>
      <c r="BG62" s="227"/>
      <c r="BH62" s="115"/>
      <c r="BI62" s="224">
        <v>-1.0</v>
      </c>
      <c r="BJ62" s="225">
        <v>-2.0</v>
      </c>
      <c r="BK62" s="225">
        <v>-3.0</v>
      </c>
      <c r="BL62" s="225">
        <v>-4.0</v>
      </c>
      <c r="BM62" s="225">
        <v>-5.0</v>
      </c>
      <c r="BN62" s="225">
        <v>-6.0</v>
      </c>
      <c r="BO62" s="225">
        <v>-7.0</v>
      </c>
      <c r="BP62" s="226">
        <v>-8.0</v>
      </c>
      <c r="BQ62" s="227"/>
      <c r="BR62" s="227"/>
      <c r="BS62" s="227"/>
      <c r="BT62" s="115"/>
      <c r="BU62" s="224">
        <v>-1.0</v>
      </c>
      <c r="BV62" s="225">
        <v>-2.0</v>
      </c>
      <c r="BW62" s="225">
        <v>-3.0</v>
      </c>
      <c r="BX62" s="225">
        <v>-4.0</v>
      </c>
      <c r="BY62" s="225">
        <v>-5.0</v>
      </c>
      <c r="BZ62" s="225">
        <v>-6.0</v>
      </c>
      <c r="CA62" s="225">
        <v>-7.0</v>
      </c>
      <c r="CB62" s="226">
        <v>-8.0</v>
      </c>
      <c r="CC62" s="227"/>
      <c r="CD62" s="227"/>
      <c r="CE62" s="227"/>
      <c r="CF62" s="115"/>
      <c r="CG62" s="224">
        <v>-1.0</v>
      </c>
      <c r="CH62" s="225">
        <v>-2.0</v>
      </c>
      <c r="CI62" s="225">
        <v>-3.0</v>
      </c>
      <c r="CJ62" s="225">
        <v>-4.0</v>
      </c>
      <c r="CK62" s="225">
        <v>-5.0</v>
      </c>
      <c r="CL62" s="225">
        <v>-6.0</v>
      </c>
      <c r="CM62" s="225">
        <v>-7.0</v>
      </c>
      <c r="CN62" s="226">
        <v>-8.0</v>
      </c>
      <c r="CO62" s="227"/>
      <c r="CP62" s="227"/>
      <c r="CQ62" s="227"/>
      <c r="CR62" s="115"/>
      <c r="CS62" s="224">
        <v>-1.0</v>
      </c>
      <c r="CT62" s="225">
        <v>-2.0</v>
      </c>
      <c r="CU62" s="225">
        <v>-3.0</v>
      </c>
      <c r="CV62" s="225">
        <v>-4.0</v>
      </c>
      <c r="CW62" s="225">
        <v>-5.0</v>
      </c>
      <c r="CX62" s="225">
        <v>-6.0</v>
      </c>
      <c r="CY62" s="225">
        <v>-7.0</v>
      </c>
      <c r="CZ62" s="226">
        <v>-8.0</v>
      </c>
      <c r="DA62" s="227"/>
      <c r="DB62" s="227"/>
      <c r="DC62" s="227"/>
      <c r="DD62" s="115"/>
      <c r="DE62" s="224">
        <v>-1.0</v>
      </c>
      <c r="DF62" s="225">
        <v>-2.0</v>
      </c>
      <c r="DG62" s="225">
        <v>-3.0</v>
      </c>
      <c r="DH62" s="225">
        <v>-4.0</v>
      </c>
      <c r="DI62" s="225">
        <v>-5.0</v>
      </c>
      <c r="DJ62" s="225">
        <v>-6.0</v>
      </c>
      <c r="DK62" s="225">
        <v>-7.0</v>
      </c>
      <c r="DL62" s="226">
        <v>-8.0</v>
      </c>
      <c r="DM62" s="227"/>
      <c r="DN62" s="227"/>
      <c r="DO62" s="227"/>
      <c r="DP62" s="115"/>
      <c r="DQ62" s="224">
        <v>-1.0</v>
      </c>
      <c r="DR62" s="225">
        <v>-2.0</v>
      </c>
      <c r="DS62" s="225">
        <v>-3.0</v>
      </c>
      <c r="DT62" s="225">
        <v>-4.0</v>
      </c>
      <c r="DU62" s="225">
        <v>-5.0</v>
      </c>
      <c r="DV62" s="225">
        <v>-6.0</v>
      </c>
      <c r="DW62" s="225">
        <v>-7.0</v>
      </c>
      <c r="DX62" s="226">
        <v>-8.0</v>
      </c>
      <c r="DY62" s="227"/>
      <c r="DZ62" s="227"/>
      <c r="EA62" s="227"/>
      <c r="EB62" s="115"/>
      <c r="EC62" s="224">
        <v>-1.0</v>
      </c>
      <c r="ED62" s="225">
        <v>-2.0</v>
      </c>
      <c r="EE62" s="225">
        <v>-3.0</v>
      </c>
      <c r="EF62" s="225">
        <v>-4.0</v>
      </c>
      <c r="EG62" s="225">
        <v>-5.0</v>
      </c>
      <c r="EH62" s="225">
        <v>-6.0</v>
      </c>
      <c r="EI62" s="225">
        <v>-7.0</v>
      </c>
      <c r="EJ62" s="226">
        <v>-8.0</v>
      </c>
      <c r="EK62" s="227"/>
      <c r="EL62" s="227"/>
      <c r="EM62" s="227"/>
      <c r="EN62" s="115"/>
      <c r="EO62" s="224">
        <v>-1.0</v>
      </c>
      <c r="EP62" s="225">
        <v>-2.0</v>
      </c>
      <c r="EQ62" s="225">
        <v>-3.0</v>
      </c>
      <c r="ER62" s="225">
        <v>-4.0</v>
      </c>
      <c r="ES62" s="225">
        <v>-5.0</v>
      </c>
      <c r="ET62" s="225">
        <v>-6.0</v>
      </c>
      <c r="EU62" s="225">
        <v>-7.0</v>
      </c>
      <c r="EV62" s="226">
        <v>-8.0</v>
      </c>
      <c r="EW62" s="227"/>
      <c r="EX62" s="227"/>
      <c r="EY62" s="227"/>
      <c r="EZ62" s="115"/>
      <c r="FA62" s="224">
        <v>-1.0</v>
      </c>
      <c r="FB62" s="225">
        <v>-2.0</v>
      </c>
      <c r="FC62" s="225">
        <v>-3.0</v>
      </c>
      <c r="FD62" s="225">
        <v>-4.0</v>
      </c>
      <c r="FE62" s="225">
        <v>-5.0</v>
      </c>
      <c r="FF62" s="225">
        <v>-6.0</v>
      </c>
      <c r="FG62" s="225">
        <v>-7.0</v>
      </c>
      <c r="FH62" s="226">
        <v>-8.0</v>
      </c>
      <c r="FI62" s="227"/>
      <c r="FJ62" s="227"/>
      <c r="FK62" s="227"/>
      <c r="FL62" s="115"/>
      <c r="FM62" s="224">
        <v>-1.0</v>
      </c>
      <c r="FN62" s="225">
        <v>-2.0</v>
      </c>
      <c r="FO62" s="225">
        <v>-3.0</v>
      </c>
      <c r="FP62" s="225">
        <v>-4.0</v>
      </c>
      <c r="FQ62" s="225">
        <v>-5.0</v>
      </c>
      <c r="FR62" s="225">
        <v>-6.0</v>
      </c>
      <c r="FS62" s="225">
        <v>-7.0</v>
      </c>
      <c r="FT62" s="226">
        <v>-8.0</v>
      </c>
      <c r="FU62" s="227"/>
      <c r="FV62" s="227"/>
      <c r="FW62" s="227"/>
      <c r="FX62" s="115"/>
      <c r="FY62" s="224">
        <v>-1.0</v>
      </c>
      <c r="FZ62" s="225">
        <v>-2.0</v>
      </c>
      <c r="GA62" s="225">
        <v>-3.0</v>
      </c>
      <c r="GB62" s="225">
        <v>-4.0</v>
      </c>
      <c r="GC62" s="225">
        <v>-5.0</v>
      </c>
      <c r="GD62" s="225">
        <v>-6.0</v>
      </c>
      <c r="GE62" s="225">
        <v>-7.0</v>
      </c>
      <c r="GF62" s="226">
        <v>-8.0</v>
      </c>
      <c r="GG62" s="227"/>
      <c r="GH62" s="227"/>
      <c r="GI62" s="227"/>
      <c r="GJ62" s="115"/>
      <c r="GK62" s="224">
        <v>-1.0</v>
      </c>
      <c r="GL62" s="225">
        <v>-2.0</v>
      </c>
      <c r="GM62" s="225">
        <v>-3.0</v>
      </c>
      <c r="GN62" s="225">
        <v>-4.0</v>
      </c>
      <c r="GO62" s="225">
        <v>-5.0</v>
      </c>
      <c r="GP62" s="225">
        <v>-6.0</v>
      </c>
      <c r="GQ62" s="225">
        <v>-7.0</v>
      </c>
      <c r="GR62" s="226">
        <v>-8.0</v>
      </c>
      <c r="GS62" s="227"/>
      <c r="GT62" s="227"/>
      <c r="GU62" s="227"/>
      <c r="GV62" s="115"/>
      <c r="GW62" s="224">
        <v>-1.0</v>
      </c>
      <c r="GX62" s="225">
        <v>-2.0</v>
      </c>
      <c r="GY62" s="225">
        <v>-3.0</v>
      </c>
      <c r="GZ62" s="225">
        <v>-4.0</v>
      </c>
      <c r="HA62" s="225">
        <v>-5.0</v>
      </c>
      <c r="HB62" s="225">
        <v>-6.0</v>
      </c>
      <c r="HC62" s="225">
        <v>-7.0</v>
      </c>
      <c r="HD62" s="226">
        <v>-8.0</v>
      </c>
      <c r="HE62" s="227"/>
      <c r="HF62" s="227"/>
      <c r="HG62" s="227"/>
      <c r="HH62" s="115"/>
      <c r="HI62" s="114"/>
    </row>
    <row r="63" ht="15.75" customHeight="1">
      <c r="A63" s="228"/>
      <c r="B63" s="229"/>
      <c r="C63" s="230"/>
      <c r="D63" s="230"/>
      <c r="E63" s="230"/>
      <c r="F63" s="230"/>
      <c r="G63" s="230"/>
      <c r="H63" s="231"/>
      <c r="I63" s="232"/>
      <c r="J63" s="232"/>
      <c r="K63" s="232"/>
      <c r="L63" s="81"/>
      <c r="M63" s="228"/>
      <c r="N63" s="229"/>
      <c r="O63" s="230"/>
      <c r="P63" s="230"/>
      <c r="Q63" s="230"/>
      <c r="R63" s="230"/>
      <c r="S63" s="230"/>
      <c r="T63" s="231"/>
      <c r="U63" s="232"/>
      <c r="V63" s="232"/>
      <c r="W63" s="232"/>
      <c r="X63" s="81"/>
      <c r="Y63" s="228"/>
      <c r="Z63" s="229"/>
      <c r="AA63" s="230"/>
      <c r="AB63" s="230"/>
      <c r="AC63" s="230"/>
      <c r="AD63" s="230"/>
      <c r="AE63" s="230"/>
      <c r="AF63" s="231"/>
      <c r="AG63" s="232"/>
      <c r="AH63" s="232"/>
      <c r="AI63" s="232"/>
      <c r="AJ63" s="81"/>
      <c r="AK63" s="228"/>
      <c r="AL63" s="229"/>
      <c r="AM63" s="230"/>
      <c r="AN63" s="230"/>
      <c r="AO63" s="230"/>
      <c r="AP63" s="230"/>
      <c r="AQ63" s="230"/>
      <c r="AR63" s="231"/>
      <c r="AS63" s="232"/>
      <c r="AT63" s="232"/>
      <c r="AU63" s="232"/>
      <c r="AV63" s="81"/>
      <c r="AW63" s="228"/>
      <c r="AX63" s="229"/>
      <c r="AY63" s="230"/>
      <c r="AZ63" s="230"/>
      <c r="BA63" s="230"/>
      <c r="BB63" s="230"/>
      <c r="BC63" s="230"/>
      <c r="BD63" s="231"/>
      <c r="BE63" s="232"/>
      <c r="BF63" s="232"/>
      <c r="BG63" s="232"/>
      <c r="BH63" s="81"/>
      <c r="BI63" s="228"/>
      <c r="BJ63" s="229"/>
      <c r="BK63" s="230"/>
      <c r="BL63" s="230"/>
      <c r="BM63" s="230"/>
      <c r="BN63" s="230"/>
      <c r="BO63" s="230"/>
      <c r="BP63" s="231"/>
      <c r="BQ63" s="232"/>
      <c r="BR63" s="232"/>
      <c r="BS63" s="232"/>
      <c r="BT63" s="81"/>
      <c r="BU63" s="228"/>
      <c r="BV63" s="229"/>
      <c r="BW63" s="230"/>
      <c r="BX63" s="230"/>
      <c r="BY63" s="230"/>
      <c r="BZ63" s="230"/>
      <c r="CA63" s="230"/>
      <c r="CB63" s="231"/>
      <c r="CC63" s="232"/>
      <c r="CD63" s="232"/>
      <c r="CE63" s="232"/>
      <c r="CF63" s="81"/>
      <c r="CG63" s="228"/>
      <c r="CH63" s="229"/>
      <c r="CI63" s="230"/>
      <c r="CJ63" s="230"/>
      <c r="CK63" s="230"/>
      <c r="CL63" s="230"/>
      <c r="CM63" s="230"/>
      <c r="CN63" s="231"/>
      <c r="CO63" s="232"/>
      <c r="CP63" s="232"/>
      <c r="CQ63" s="232"/>
      <c r="CR63" s="81"/>
      <c r="CS63" s="228"/>
      <c r="CT63" s="229"/>
      <c r="CU63" s="230"/>
      <c r="CV63" s="230"/>
      <c r="CW63" s="230"/>
      <c r="CX63" s="230"/>
      <c r="CY63" s="230"/>
      <c r="CZ63" s="231"/>
      <c r="DA63" s="232"/>
      <c r="DB63" s="232"/>
      <c r="DC63" s="232"/>
      <c r="DD63" s="81"/>
      <c r="DE63" s="228"/>
      <c r="DF63" s="229"/>
      <c r="DG63" s="230"/>
      <c r="DH63" s="230"/>
      <c r="DI63" s="230"/>
      <c r="DJ63" s="230"/>
      <c r="DK63" s="230"/>
      <c r="DL63" s="231"/>
      <c r="DM63" s="232"/>
      <c r="DN63" s="232"/>
      <c r="DO63" s="232"/>
      <c r="DP63" s="81"/>
      <c r="DQ63" s="228"/>
      <c r="DR63" s="229"/>
      <c r="DS63" s="230"/>
      <c r="DT63" s="230"/>
      <c r="DU63" s="230"/>
      <c r="DV63" s="230"/>
      <c r="DW63" s="230"/>
      <c r="DX63" s="231"/>
      <c r="DY63" s="232"/>
      <c r="DZ63" s="232"/>
      <c r="EA63" s="232"/>
      <c r="EB63" s="81"/>
      <c r="EC63" s="228"/>
      <c r="ED63" s="229"/>
      <c r="EE63" s="230"/>
      <c r="EF63" s="230"/>
      <c r="EG63" s="230"/>
      <c r="EH63" s="230"/>
      <c r="EI63" s="230"/>
      <c r="EJ63" s="231"/>
      <c r="EK63" s="232"/>
      <c r="EL63" s="232"/>
      <c r="EM63" s="232"/>
      <c r="EN63" s="81"/>
      <c r="EO63" s="228"/>
      <c r="EP63" s="229"/>
      <c r="EQ63" s="230"/>
      <c r="ER63" s="230"/>
      <c r="ES63" s="230"/>
      <c r="ET63" s="230"/>
      <c r="EU63" s="230"/>
      <c r="EV63" s="231"/>
      <c r="EW63" s="232"/>
      <c r="EX63" s="232"/>
      <c r="EY63" s="232"/>
      <c r="EZ63" s="81"/>
      <c r="FA63" s="228"/>
      <c r="FB63" s="229"/>
      <c r="FC63" s="230"/>
      <c r="FD63" s="230"/>
      <c r="FE63" s="230"/>
      <c r="FF63" s="230"/>
      <c r="FG63" s="230"/>
      <c r="FH63" s="231"/>
      <c r="FI63" s="232"/>
      <c r="FJ63" s="232"/>
      <c r="FK63" s="232"/>
      <c r="FL63" s="81"/>
      <c r="FM63" s="228"/>
      <c r="FN63" s="229"/>
      <c r="FO63" s="230"/>
      <c r="FP63" s="230"/>
      <c r="FQ63" s="230"/>
      <c r="FR63" s="230"/>
      <c r="FS63" s="230"/>
      <c r="FT63" s="231"/>
      <c r="FU63" s="232"/>
      <c r="FV63" s="232"/>
      <c r="FW63" s="232"/>
      <c r="FX63" s="81"/>
      <c r="FY63" s="228"/>
      <c r="FZ63" s="229"/>
      <c r="GA63" s="230"/>
      <c r="GB63" s="230"/>
      <c r="GC63" s="230"/>
      <c r="GD63" s="230"/>
      <c r="GE63" s="230"/>
      <c r="GF63" s="231"/>
      <c r="GG63" s="232"/>
      <c r="GH63" s="232"/>
      <c r="GI63" s="232"/>
      <c r="GJ63" s="81"/>
      <c r="GK63" s="228"/>
      <c r="GL63" s="229"/>
      <c r="GM63" s="230"/>
      <c r="GN63" s="230"/>
      <c r="GO63" s="230"/>
      <c r="GP63" s="230"/>
      <c r="GQ63" s="230"/>
      <c r="GR63" s="231"/>
      <c r="GS63" s="232"/>
      <c r="GT63" s="232"/>
      <c r="GU63" s="232"/>
      <c r="GV63" s="81"/>
      <c r="GW63" s="228"/>
      <c r="GX63" s="229"/>
      <c r="GY63" s="230"/>
      <c r="GZ63" s="230"/>
      <c r="HA63" s="230"/>
      <c r="HB63" s="230"/>
      <c r="HC63" s="230"/>
      <c r="HD63" s="231"/>
      <c r="HE63" s="232"/>
      <c r="HF63" s="232"/>
      <c r="HG63" s="232"/>
      <c r="HH63" s="81"/>
      <c r="HI63" s="75"/>
    </row>
    <row r="64" ht="15.75" customHeight="1">
      <c r="A64" s="233">
        <v>1.0</v>
      </c>
      <c r="B64" s="234" t="s">
        <v>71</v>
      </c>
      <c r="C64" s="235"/>
      <c r="D64" s="236">
        <f t="shared" ref="D64:D69" si="253">1.16180660667508/100</f>
        <v>0.01161806607</v>
      </c>
      <c r="E64" s="235">
        <f t="shared" ref="E64:E69" si="254">IFERROR(+D64*C64,"0")</f>
        <v>0</v>
      </c>
      <c r="F64" s="236">
        <v>0.16716266605705102</v>
      </c>
      <c r="G64" s="235">
        <f t="shared" ref="G64:G69" si="255">IFERROR(+E64*F64,"")</f>
        <v>0</v>
      </c>
      <c r="H64" s="237">
        <f t="shared" ref="H64:H69" si="256">IFERROR(+(IF(E64="","0",E64))-(IF(G64="","0",G64)),"")</f>
        <v>0</v>
      </c>
      <c r="I64" s="232"/>
      <c r="J64" s="232"/>
      <c r="K64" s="232"/>
      <c r="L64" s="81"/>
      <c r="M64" s="233">
        <v>1.0</v>
      </c>
      <c r="N64" s="234" t="s">
        <v>71</v>
      </c>
      <c r="O64" s="235"/>
      <c r="P64" s="236">
        <f t="shared" ref="P64:P69" si="257">1.16180660667508/100</f>
        <v>0.01161806607</v>
      </c>
      <c r="Q64" s="235">
        <f t="shared" ref="Q64:Q69" si="258">IFERROR(+P64*O64,"0")</f>
        <v>0</v>
      </c>
      <c r="R64" s="236">
        <v>0.16716266605705102</v>
      </c>
      <c r="S64" s="235">
        <f t="shared" ref="S64:S69" si="259">IFERROR(+Q64*R64,"")</f>
        <v>0</v>
      </c>
      <c r="T64" s="237">
        <f t="shared" ref="T64:T69" si="260">IFERROR(+(IF(Q64="","0",Q64))-(IF(S64="","0",S64)),"")</f>
        <v>0</v>
      </c>
      <c r="U64" s="232"/>
      <c r="V64" s="232"/>
      <c r="W64" s="232"/>
      <c r="X64" s="81"/>
      <c r="Y64" s="233">
        <v>1.0</v>
      </c>
      <c r="Z64" s="234" t="s">
        <v>71</v>
      </c>
      <c r="AA64" s="235"/>
      <c r="AB64" s="236">
        <f t="shared" ref="AB64:AB69" si="261">1.16180660667508/100</f>
        <v>0.01161806607</v>
      </c>
      <c r="AC64" s="235">
        <f t="shared" ref="AC64:AC69" si="262">IFERROR(+AB64*AA64,"0")</f>
        <v>0</v>
      </c>
      <c r="AD64" s="236">
        <v>0.16716266605705102</v>
      </c>
      <c r="AE64" s="235">
        <f t="shared" ref="AE64:AE69" si="263">IFERROR(+AC64*AD64,"")</f>
        <v>0</v>
      </c>
      <c r="AF64" s="237">
        <f t="shared" ref="AF64:AF69" si="264">IFERROR(+(IF(AC64="","0",AC64))-(IF(AE64="","0",AE64)),"")</f>
        <v>0</v>
      </c>
      <c r="AG64" s="232"/>
      <c r="AH64" s="232"/>
      <c r="AI64" s="232"/>
      <c r="AJ64" s="81"/>
      <c r="AK64" s="233">
        <v>1.0</v>
      </c>
      <c r="AL64" s="234" t="s">
        <v>71</v>
      </c>
      <c r="AM64" s="235"/>
      <c r="AN64" s="236">
        <f t="shared" ref="AN64:AN69" si="265">1.16180660667508/100</f>
        <v>0.01161806607</v>
      </c>
      <c r="AO64" s="235">
        <f t="shared" ref="AO64:AO69" si="266">IFERROR(+AN64*AM64,"0")</f>
        <v>0</v>
      </c>
      <c r="AP64" s="236">
        <v>0.16716266605705102</v>
      </c>
      <c r="AQ64" s="235">
        <f t="shared" ref="AQ64:AQ69" si="267">IFERROR(+AO64*AP64,"")</f>
        <v>0</v>
      </c>
      <c r="AR64" s="237">
        <f t="shared" ref="AR64:AR69" si="268">IFERROR(+(IF(AO64="","0",AO64))-(IF(AQ64="","0",AQ64)),"")</f>
        <v>0</v>
      </c>
      <c r="AS64" s="232"/>
      <c r="AT64" s="232"/>
      <c r="AU64" s="232"/>
      <c r="AV64" s="81"/>
      <c r="AW64" s="233">
        <v>1.0</v>
      </c>
      <c r="AX64" s="234" t="s">
        <v>71</v>
      </c>
      <c r="AY64" s="235"/>
      <c r="AZ64" s="236">
        <f t="shared" ref="AZ64:AZ69" si="269">1.16180660667508/100</f>
        <v>0.01161806607</v>
      </c>
      <c r="BA64" s="235">
        <f t="shared" ref="BA64:BA69" si="270">IFERROR(+AZ64*AY64,"0")</f>
        <v>0</v>
      </c>
      <c r="BB64" s="236">
        <v>0.16716266605705102</v>
      </c>
      <c r="BC64" s="235">
        <f t="shared" ref="BC64:BC69" si="271">IFERROR(+BA64*BB64,"")</f>
        <v>0</v>
      </c>
      <c r="BD64" s="237">
        <f t="shared" ref="BD64:BD69" si="272">IFERROR(+(IF(BA64="","0",BA64))-(IF(BC64="","0",BC64)),"")</f>
        <v>0</v>
      </c>
      <c r="BE64" s="232"/>
      <c r="BF64" s="232"/>
      <c r="BG64" s="232"/>
      <c r="BH64" s="81"/>
      <c r="BI64" s="233">
        <v>1.0</v>
      </c>
      <c r="BJ64" s="234" t="s">
        <v>71</v>
      </c>
      <c r="BK64" s="235"/>
      <c r="BL64" s="236">
        <f t="shared" ref="BL64:BL69" si="273">1.16180660667508/100</f>
        <v>0.01161806607</v>
      </c>
      <c r="BM64" s="235">
        <f t="shared" ref="BM64:BM69" si="274">IFERROR(+BL64*BK64,"0")</f>
        <v>0</v>
      </c>
      <c r="BN64" s="236">
        <v>0.16716266605705102</v>
      </c>
      <c r="BO64" s="235">
        <f t="shared" ref="BO64:BO69" si="275">IFERROR(+BM64*BN64,"")</f>
        <v>0</v>
      </c>
      <c r="BP64" s="237">
        <f t="shared" ref="BP64:BP69" si="276">IFERROR(+(IF(BM64="","0",BM64))-(IF(BO64="","0",BO64)),"")</f>
        <v>0</v>
      </c>
      <c r="BQ64" s="232"/>
      <c r="BR64" s="232"/>
      <c r="BS64" s="232"/>
      <c r="BT64" s="81"/>
      <c r="BU64" s="233">
        <v>1.0</v>
      </c>
      <c r="BV64" s="234" t="s">
        <v>71</v>
      </c>
      <c r="BW64" s="235"/>
      <c r="BX64" s="236">
        <f t="shared" ref="BX64:BX69" si="277">1.16180660667508/100</f>
        <v>0.01161806607</v>
      </c>
      <c r="BY64" s="235">
        <f t="shared" ref="BY64:BY69" si="278">IFERROR(+BX64*BW64,"0")</f>
        <v>0</v>
      </c>
      <c r="BZ64" s="236">
        <v>0.16716266605705102</v>
      </c>
      <c r="CA64" s="235">
        <f t="shared" ref="CA64:CA69" si="279">IFERROR(+BY64*BZ64,"")</f>
        <v>0</v>
      </c>
      <c r="CB64" s="237">
        <f t="shared" ref="CB64:CB69" si="280">IFERROR(+(IF(BY64="","0",BY64))-(IF(CA64="","0",CA64)),"")</f>
        <v>0</v>
      </c>
      <c r="CC64" s="232"/>
      <c r="CD64" s="232"/>
      <c r="CE64" s="232"/>
      <c r="CF64" s="81"/>
      <c r="CG64" s="233">
        <v>1.0</v>
      </c>
      <c r="CH64" s="234" t="s">
        <v>71</v>
      </c>
      <c r="CI64" s="235"/>
      <c r="CJ64" s="236">
        <f t="shared" ref="CJ64:CJ69" si="281">1.16180660667508/100</f>
        <v>0.01161806607</v>
      </c>
      <c r="CK64" s="235">
        <f t="shared" ref="CK64:CK69" si="282">IFERROR(+CJ64*CI64,"0")</f>
        <v>0</v>
      </c>
      <c r="CL64" s="236">
        <v>0.16716266605705102</v>
      </c>
      <c r="CM64" s="235">
        <f t="shared" ref="CM64:CM69" si="283">IFERROR(+CK64*CL64,"")</f>
        <v>0</v>
      </c>
      <c r="CN64" s="237">
        <f t="shared" ref="CN64:CN69" si="284">IFERROR(+(IF(CK64="","0",CK64))-(IF(CM64="","0",CM64)),"")</f>
        <v>0</v>
      </c>
      <c r="CO64" s="232"/>
      <c r="CP64" s="232"/>
      <c r="CQ64" s="232"/>
      <c r="CR64" s="81"/>
      <c r="CS64" s="233">
        <v>1.0</v>
      </c>
      <c r="CT64" s="234" t="s">
        <v>71</v>
      </c>
      <c r="CU64" s="235"/>
      <c r="CV64" s="236">
        <f t="shared" ref="CV64:CV69" si="285">1.16180660667508/100</f>
        <v>0.01161806607</v>
      </c>
      <c r="CW64" s="235">
        <f t="shared" ref="CW64:CW69" si="286">IFERROR(+CV64*CU64,"0")</f>
        <v>0</v>
      </c>
      <c r="CX64" s="236">
        <v>0.16716266605705102</v>
      </c>
      <c r="CY64" s="235">
        <f t="shared" ref="CY64:CY69" si="287">IFERROR(+CW64*CX64,"")</f>
        <v>0</v>
      </c>
      <c r="CZ64" s="237">
        <f t="shared" ref="CZ64:CZ69" si="288">IFERROR(+(IF(CW64="","0",CW64))-(IF(CY64="","0",CY64)),"")</f>
        <v>0</v>
      </c>
      <c r="DA64" s="232"/>
      <c r="DB64" s="232"/>
      <c r="DC64" s="232"/>
      <c r="DD64" s="81"/>
      <c r="DE64" s="233">
        <v>1.0</v>
      </c>
      <c r="DF64" s="234" t="s">
        <v>71</v>
      </c>
      <c r="DG64" s="235">
        <f>'Hitung Output'!BH60</f>
        <v>612936.6768</v>
      </c>
      <c r="DH64" s="236">
        <f t="shared" ref="DH64:DH69" si="289">1.16180660667508/100</f>
        <v>0.01161806607</v>
      </c>
      <c r="DI64" s="238">
        <f t="shared" ref="DI64:DI69" si="290">IFERROR(+DH64*DG64,"0")</f>
        <v>7121.138806</v>
      </c>
      <c r="DJ64" s="236">
        <v>0.16716266605705102</v>
      </c>
      <c r="DK64" s="235">
        <f t="shared" ref="DK64:DK69" si="291">IFERROR(+DI64*DJ64,"")</f>
        <v>1190.388548</v>
      </c>
      <c r="DL64" s="237">
        <f t="shared" ref="DL64:DL69" si="292">IFERROR(+(IF(DI64="","0",DI64))-(IF(DK64="","0",DK64)),"")</f>
        <v>5930.750258</v>
      </c>
      <c r="DM64" s="232"/>
      <c r="DN64" s="232"/>
      <c r="DO64" s="232"/>
      <c r="DP64" s="81"/>
      <c r="DQ64" s="233">
        <v>1.0</v>
      </c>
      <c r="DR64" s="234" t="s">
        <v>71</v>
      </c>
      <c r="DS64" s="236">
        <f>'Hitung Output'!BM60</f>
        <v>564670.8563</v>
      </c>
      <c r="DT64" s="236">
        <f t="shared" ref="DT64:DT69" si="293">1.16180660667508/100</f>
        <v>0.01161806607</v>
      </c>
      <c r="DU64" s="238">
        <f t="shared" ref="DU64:DU69" si="294">IFERROR(+DT64*DS64,"0")</f>
        <v>6560.383315</v>
      </c>
      <c r="DV64" s="236">
        <v>0.16716266605705102</v>
      </c>
      <c r="DW64" s="235">
        <f t="shared" ref="DW64:DW69" si="295">IFERROR(+DU64*DV64,"")</f>
        <v>1096.651165</v>
      </c>
      <c r="DX64" s="237">
        <f t="shared" ref="DX64:DX69" si="296">IFERROR(+(IF(DU64="","0",DU64))-(IF(DW64="","0",DW64)),"")</f>
        <v>5463.732149</v>
      </c>
      <c r="DY64" s="232"/>
      <c r="DZ64" s="232"/>
      <c r="EA64" s="232"/>
      <c r="EB64" s="81"/>
      <c r="EC64" s="233">
        <v>1.0</v>
      </c>
      <c r="ED64" s="234" t="s">
        <v>71</v>
      </c>
      <c r="EE64" s="236">
        <f>'Hitung Output'!BR60</f>
        <v>652089.0356</v>
      </c>
      <c r="EF64" s="236">
        <f t="shared" ref="EF64:EF69" si="297">1.16180660667508/100</f>
        <v>0.01161806607</v>
      </c>
      <c r="EG64" s="238">
        <f t="shared" ref="EG64:EG69" si="298">IFERROR(+EF64*EE64,"0")</f>
        <v>7576.013497</v>
      </c>
      <c r="EH64" s="236">
        <v>0.16716266605705102</v>
      </c>
      <c r="EI64" s="235">
        <f t="shared" ref="EI64:EI69" si="299">IFERROR(+EG64*EH64,"")</f>
        <v>1266.426614</v>
      </c>
      <c r="EJ64" s="237">
        <f t="shared" ref="EJ64:EJ69" si="300">IFERROR(+(IF(EG64="","0",EG64))-(IF(EI64="","0",EI64)),"")</f>
        <v>6309.586883</v>
      </c>
      <c r="EK64" s="232"/>
      <c r="EL64" s="232"/>
      <c r="EM64" s="232"/>
      <c r="EN64" s="81"/>
      <c r="EO64" s="233">
        <v>1.0</v>
      </c>
      <c r="EP64" s="234" t="s">
        <v>71</v>
      </c>
      <c r="EQ64" s="235">
        <f>'Hitung Output'!BW60</f>
        <v>617034.7056</v>
      </c>
      <c r="ER64" s="236">
        <f t="shared" ref="ER64:ER69" si="301">1.16180660667508/100</f>
        <v>0.01161806607</v>
      </c>
      <c r="ES64" s="239">
        <f t="shared" ref="ES64:ES69" si="302">IFERROR(+ER64*EQ64,"0")</f>
        <v>7168.749975</v>
      </c>
      <c r="ET64" s="236">
        <v>0.16716266605705102</v>
      </c>
      <c r="EU64" s="235">
        <f t="shared" ref="EU64:EU69" si="303">IFERROR(+ES64*ET64,"")</f>
        <v>1198.347358</v>
      </c>
      <c r="EV64" s="237">
        <f t="shared" ref="EV64:EV69" si="304">IFERROR(+(IF(ES64="","0",ES64))-(IF(EU64="","0",EU64)),"")</f>
        <v>5970.402617</v>
      </c>
      <c r="EW64" s="232"/>
      <c r="EX64" s="232"/>
      <c r="EY64" s="232"/>
      <c r="EZ64" s="81"/>
      <c r="FA64" s="233">
        <v>1.0</v>
      </c>
      <c r="FB64" s="234" t="s">
        <v>71</v>
      </c>
      <c r="FC64" s="235">
        <f>'Hitung Output'!CB60</f>
        <v>558199.5099</v>
      </c>
      <c r="FD64" s="236">
        <f t="shared" ref="FD64:FD69" si="305">1.16180660667508/100</f>
        <v>0.01161806607</v>
      </c>
      <c r="FE64" s="235">
        <f t="shared" ref="FE64:FE69" si="306">IFERROR(+FD64*FC64,"0")</f>
        <v>6485.198784</v>
      </c>
      <c r="FF64" s="236">
        <v>0.16716266605705102</v>
      </c>
      <c r="FG64" s="235">
        <f t="shared" ref="FG64:FG69" si="307">IFERROR(+FE64*FF64,"")</f>
        <v>1084.083119</v>
      </c>
      <c r="FH64" s="237">
        <f t="shared" ref="FH64:FH69" si="308">IFERROR(+(IF(FE64="","0",FE64))-(IF(FG64="","0",FG64)),"")</f>
        <v>5401.115665</v>
      </c>
      <c r="FI64" s="232"/>
      <c r="FJ64" s="232"/>
      <c r="FK64" s="232"/>
      <c r="FL64" s="81"/>
      <c r="FM64" s="233">
        <v>1.0</v>
      </c>
      <c r="FN64" s="234" t="s">
        <v>71</v>
      </c>
      <c r="FO64" s="235">
        <f>'Hitung Output'!CG60</f>
        <v>599010.8444</v>
      </c>
      <c r="FP64" s="236">
        <f t="shared" ref="FP64:FP69" si="309">1.16180660667508/100</f>
        <v>0.01161806607</v>
      </c>
      <c r="FQ64" s="235">
        <f t="shared" ref="FQ64:FQ69" si="310">IFERROR(+FP64*FO64,"0")</f>
        <v>6959.347564</v>
      </c>
      <c r="FR64" s="236">
        <v>0.16716266605705102</v>
      </c>
      <c r="FS64" s="235">
        <f t="shared" ref="FS64:FS69" si="311">IFERROR(+FQ64*FR64,"")</f>
        <v>1163.343093</v>
      </c>
      <c r="FT64" s="237">
        <f t="shared" ref="FT64:FT69" si="312">IFERROR(+(IF(FQ64="","0",FQ64))-(IF(FS64="","0",FS64)),"")</f>
        <v>5796.004472</v>
      </c>
      <c r="FU64" s="232"/>
      <c r="FV64" s="232"/>
      <c r="FW64" s="232"/>
      <c r="FX64" s="81"/>
      <c r="FY64" s="233">
        <v>1.0</v>
      </c>
      <c r="FZ64" s="234" t="s">
        <v>71</v>
      </c>
      <c r="GA64" s="235">
        <f>'Hitung Output'!CL60</f>
        <v>637325.7961</v>
      </c>
      <c r="GB64" s="236">
        <f t="shared" ref="GB64:GB69" si="313">1.16180660667508/100</f>
        <v>0.01161806607</v>
      </c>
      <c r="GC64" s="235">
        <f t="shared" ref="GC64:GC69" si="314">IFERROR(+GB64*GA64,"0")</f>
        <v>7404.493205</v>
      </c>
      <c r="GD64" s="236">
        <v>0.16716266605705102</v>
      </c>
      <c r="GE64" s="235">
        <f t="shared" ref="GE64:GE69" si="315">IFERROR(+GC64*GD64,"")</f>
        <v>1237.754825</v>
      </c>
      <c r="GF64" s="237">
        <f t="shared" ref="GF64:GF69" si="316">IFERROR(+(IF(GC64="","0",GC64))-(IF(GE64="","0",GE64)),"")</f>
        <v>6166.73838</v>
      </c>
      <c r="GG64" s="232"/>
      <c r="GH64" s="232"/>
      <c r="GI64" s="232"/>
      <c r="GJ64" s="81"/>
      <c r="GK64" s="233">
        <v>1.0</v>
      </c>
      <c r="GL64" s="234" t="s">
        <v>71</v>
      </c>
      <c r="GM64" s="235"/>
      <c r="GN64" s="236">
        <f t="shared" ref="GN64:GN69" si="317">1.16180660667508/100</f>
        <v>0.01161806607</v>
      </c>
      <c r="GO64" s="235">
        <f t="shared" ref="GO64:GO69" si="318">IFERROR(+GN64*GM64,"0")</f>
        <v>0</v>
      </c>
      <c r="GP64" s="236">
        <v>0.16716266605705102</v>
      </c>
      <c r="GQ64" s="235">
        <f t="shared" ref="GQ64:GQ69" si="319">IFERROR(+GO64*GP64,"")</f>
        <v>0</v>
      </c>
      <c r="GR64" s="237">
        <f t="shared" ref="GR64:GR69" si="320">IFERROR(+(IF(GO64="","0",GO64))-(IF(GQ64="","0",GQ64)),"")</f>
        <v>0</v>
      </c>
      <c r="GS64" s="232"/>
      <c r="GT64" s="232"/>
      <c r="GU64" s="232"/>
      <c r="GV64" s="81"/>
      <c r="GW64" s="233">
        <v>1.0</v>
      </c>
      <c r="GX64" s="234" t="s">
        <v>71</v>
      </c>
      <c r="GY64" s="235"/>
      <c r="GZ64" s="236">
        <f t="shared" ref="GZ64:GZ69" si="321">1.16180660667508/100</f>
        <v>0.01161806607</v>
      </c>
      <c r="HA64" s="235">
        <f t="shared" ref="HA64:HA69" si="322">IFERROR(+GZ64*GY64,"0")</f>
        <v>0</v>
      </c>
      <c r="HB64" s="236">
        <v>0.16716266605705102</v>
      </c>
      <c r="HC64" s="235">
        <f t="shared" ref="HC64:HC69" si="323">IFERROR(+HA64*HB64,"")</f>
        <v>0</v>
      </c>
      <c r="HD64" s="237">
        <f t="shared" ref="HD64:HD69" si="324">IFERROR(+(IF(HA64="","0",HA64))-(IF(HC64="","0",HC64)),"")</f>
        <v>0</v>
      </c>
      <c r="HE64" s="232"/>
      <c r="HF64" s="232"/>
      <c r="HG64" s="232"/>
      <c r="HH64" s="81"/>
      <c r="HI64" s="75"/>
    </row>
    <row r="65" ht="15.75" customHeight="1">
      <c r="A65" s="233">
        <f t="shared" ref="A65:A69" si="325">A64+1</f>
        <v>2</v>
      </c>
      <c r="B65" s="234" t="s">
        <v>72</v>
      </c>
      <c r="C65" s="235"/>
      <c r="D65" s="236">
        <f t="shared" si="253"/>
        <v>0.01161806607</v>
      </c>
      <c r="E65" s="235">
        <f t="shared" si="254"/>
        <v>0</v>
      </c>
      <c r="F65" s="236">
        <v>0.16716266605705102</v>
      </c>
      <c r="G65" s="235">
        <f t="shared" si="255"/>
        <v>0</v>
      </c>
      <c r="H65" s="237">
        <f t="shared" si="256"/>
        <v>0</v>
      </c>
      <c r="I65" s="232"/>
      <c r="J65" s="232"/>
      <c r="K65" s="232"/>
      <c r="L65" s="81"/>
      <c r="M65" s="233">
        <f t="shared" ref="M65:M69" si="326">M64+1</f>
        <v>2</v>
      </c>
      <c r="N65" s="234" t="s">
        <v>72</v>
      </c>
      <c r="O65" s="235"/>
      <c r="P65" s="236">
        <f t="shared" si="257"/>
        <v>0.01161806607</v>
      </c>
      <c r="Q65" s="235">
        <f t="shared" si="258"/>
        <v>0</v>
      </c>
      <c r="R65" s="236">
        <v>0.16716266605705102</v>
      </c>
      <c r="S65" s="235">
        <f t="shared" si="259"/>
        <v>0</v>
      </c>
      <c r="T65" s="237">
        <f t="shared" si="260"/>
        <v>0</v>
      </c>
      <c r="U65" s="232"/>
      <c r="V65" s="232"/>
      <c r="W65" s="232"/>
      <c r="X65" s="81"/>
      <c r="Y65" s="233">
        <f t="shared" ref="Y65:Y69" si="327">Y64+1</f>
        <v>2</v>
      </c>
      <c r="Z65" s="234" t="s">
        <v>72</v>
      </c>
      <c r="AA65" s="235"/>
      <c r="AB65" s="236">
        <f t="shared" si="261"/>
        <v>0.01161806607</v>
      </c>
      <c r="AC65" s="235">
        <f t="shared" si="262"/>
        <v>0</v>
      </c>
      <c r="AD65" s="236">
        <v>0.16716266605705102</v>
      </c>
      <c r="AE65" s="235">
        <f t="shared" si="263"/>
        <v>0</v>
      </c>
      <c r="AF65" s="237">
        <f t="shared" si="264"/>
        <v>0</v>
      </c>
      <c r="AG65" s="232"/>
      <c r="AH65" s="232"/>
      <c r="AI65" s="232"/>
      <c r="AJ65" s="81"/>
      <c r="AK65" s="233">
        <f t="shared" ref="AK65:AK69" si="328">AK64+1</f>
        <v>2</v>
      </c>
      <c r="AL65" s="234" t="s">
        <v>72</v>
      </c>
      <c r="AM65" s="235"/>
      <c r="AN65" s="236">
        <f t="shared" si="265"/>
        <v>0.01161806607</v>
      </c>
      <c r="AO65" s="235">
        <f t="shared" si="266"/>
        <v>0</v>
      </c>
      <c r="AP65" s="236">
        <v>0.16716266605705102</v>
      </c>
      <c r="AQ65" s="235">
        <f t="shared" si="267"/>
        <v>0</v>
      </c>
      <c r="AR65" s="237">
        <f t="shared" si="268"/>
        <v>0</v>
      </c>
      <c r="AS65" s="232"/>
      <c r="AT65" s="232"/>
      <c r="AU65" s="232"/>
      <c r="AV65" s="81"/>
      <c r="AW65" s="233">
        <f t="shared" ref="AW65:AW69" si="329">AW64+1</f>
        <v>2</v>
      </c>
      <c r="AX65" s="234" t="s">
        <v>72</v>
      </c>
      <c r="AY65" s="235"/>
      <c r="AZ65" s="236">
        <f t="shared" si="269"/>
        <v>0.01161806607</v>
      </c>
      <c r="BA65" s="235">
        <f t="shared" si="270"/>
        <v>0</v>
      </c>
      <c r="BB65" s="236">
        <v>0.16716266605705102</v>
      </c>
      <c r="BC65" s="235">
        <f t="shared" si="271"/>
        <v>0</v>
      </c>
      <c r="BD65" s="237">
        <f t="shared" si="272"/>
        <v>0</v>
      </c>
      <c r="BE65" s="232"/>
      <c r="BF65" s="232"/>
      <c r="BG65" s="232"/>
      <c r="BH65" s="81"/>
      <c r="BI65" s="233">
        <f t="shared" ref="BI65:BI69" si="330">BI64+1</f>
        <v>2</v>
      </c>
      <c r="BJ65" s="234" t="s">
        <v>72</v>
      </c>
      <c r="BK65" s="235"/>
      <c r="BL65" s="236">
        <f t="shared" si="273"/>
        <v>0.01161806607</v>
      </c>
      <c r="BM65" s="235">
        <f t="shared" si="274"/>
        <v>0</v>
      </c>
      <c r="BN65" s="236">
        <v>0.16716266605705102</v>
      </c>
      <c r="BO65" s="235">
        <f t="shared" si="275"/>
        <v>0</v>
      </c>
      <c r="BP65" s="237">
        <f t="shared" si="276"/>
        <v>0</v>
      </c>
      <c r="BQ65" s="232"/>
      <c r="BR65" s="232"/>
      <c r="BS65" s="232"/>
      <c r="BT65" s="81"/>
      <c r="BU65" s="233">
        <f t="shared" ref="BU65:BU69" si="331">BU64+1</f>
        <v>2</v>
      </c>
      <c r="BV65" s="234" t="s">
        <v>72</v>
      </c>
      <c r="BW65" s="235"/>
      <c r="BX65" s="236">
        <f t="shared" si="277"/>
        <v>0.01161806607</v>
      </c>
      <c r="BY65" s="235">
        <f t="shared" si="278"/>
        <v>0</v>
      </c>
      <c r="BZ65" s="236">
        <v>0.16716266605705102</v>
      </c>
      <c r="CA65" s="235">
        <f t="shared" si="279"/>
        <v>0</v>
      </c>
      <c r="CB65" s="237">
        <f t="shared" si="280"/>
        <v>0</v>
      </c>
      <c r="CC65" s="232"/>
      <c r="CD65" s="232"/>
      <c r="CE65" s="232"/>
      <c r="CF65" s="81"/>
      <c r="CG65" s="233">
        <f t="shared" ref="CG65:CG69" si="332">CG64+1</f>
        <v>2</v>
      </c>
      <c r="CH65" s="234" t="s">
        <v>72</v>
      </c>
      <c r="CI65" s="235"/>
      <c r="CJ65" s="236">
        <f t="shared" si="281"/>
        <v>0.01161806607</v>
      </c>
      <c r="CK65" s="235">
        <f t="shared" si="282"/>
        <v>0</v>
      </c>
      <c r="CL65" s="236">
        <v>0.16716266605705102</v>
      </c>
      <c r="CM65" s="235">
        <f t="shared" si="283"/>
        <v>0</v>
      </c>
      <c r="CN65" s="237">
        <f t="shared" si="284"/>
        <v>0</v>
      </c>
      <c r="CO65" s="232"/>
      <c r="CP65" s="232"/>
      <c r="CQ65" s="232"/>
      <c r="CR65" s="81"/>
      <c r="CS65" s="233">
        <f t="shared" ref="CS65:CS69" si="333">CS64+1</f>
        <v>2</v>
      </c>
      <c r="CT65" s="234" t="s">
        <v>72</v>
      </c>
      <c r="CU65" s="235"/>
      <c r="CV65" s="236">
        <f t="shared" si="285"/>
        <v>0.01161806607</v>
      </c>
      <c r="CW65" s="235">
        <f t="shared" si="286"/>
        <v>0</v>
      </c>
      <c r="CX65" s="236">
        <v>0.16716266605705102</v>
      </c>
      <c r="CY65" s="235">
        <f t="shared" si="287"/>
        <v>0</v>
      </c>
      <c r="CZ65" s="237">
        <f t="shared" si="288"/>
        <v>0</v>
      </c>
      <c r="DA65" s="232"/>
      <c r="DB65" s="232"/>
      <c r="DC65" s="232"/>
      <c r="DD65" s="81"/>
      <c r="DE65" s="233">
        <f t="shared" ref="DE65:DE69" si="334">DE64+1</f>
        <v>2</v>
      </c>
      <c r="DF65" s="234" t="s">
        <v>72</v>
      </c>
      <c r="DG65" s="235">
        <f>'Hitung Output'!BH61</f>
        <v>86481.92261</v>
      </c>
      <c r="DH65" s="236">
        <f t="shared" si="289"/>
        <v>0.01161806607</v>
      </c>
      <c r="DI65" s="238">
        <f t="shared" si="290"/>
        <v>1004.75269</v>
      </c>
      <c r="DJ65" s="236">
        <v>0.16716266605705102</v>
      </c>
      <c r="DK65" s="235">
        <f t="shared" si="291"/>
        <v>167.9571385</v>
      </c>
      <c r="DL65" s="237">
        <f t="shared" si="292"/>
        <v>836.795552</v>
      </c>
      <c r="DM65" s="232"/>
      <c r="DN65" s="232"/>
      <c r="DO65" s="232"/>
      <c r="DP65" s="81"/>
      <c r="DQ65" s="233">
        <f t="shared" ref="DQ65:DQ69" si="335">DQ64+1</f>
        <v>2</v>
      </c>
      <c r="DR65" s="234" t="s">
        <v>72</v>
      </c>
      <c r="DS65" s="236">
        <f>'Hitung Output'!BM61</f>
        <v>82552.41094</v>
      </c>
      <c r="DT65" s="236">
        <f t="shared" si="293"/>
        <v>0.01161806607</v>
      </c>
      <c r="DU65" s="238">
        <f t="shared" si="294"/>
        <v>959.0993643</v>
      </c>
      <c r="DV65" s="236">
        <v>0.16716266605705102</v>
      </c>
      <c r="DW65" s="235">
        <f t="shared" si="295"/>
        <v>160.3256067</v>
      </c>
      <c r="DX65" s="237">
        <f t="shared" si="296"/>
        <v>798.7737575</v>
      </c>
      <c r="DY65" s="232"/>
      <c r="DZ65" s="232"/>
      <c r="EA65" s="232"/>
      <c r="EB65" s="81"/>
      <c r="EC65" s="233">
        <f t="shared" ref="EC65:EC69" si="336">EC64+1</f>
        <v>2</v>
      </c>
      <c r="ED65" s="234" t="s">
        <v>72</v>
      </c>
      <c r="EE65" s="236">
        <f>'Hitung Output'!BR61</f>
        <v>83621.18279</v>
      </c>
      <c r="EF65" s="236">
        <f t="shared" si="297"/>
        <v>0.01161806607</v>
      </c>
      <c r="EG65" s="238">
        <f t="shared" si="298"/>
        <v>971.5164262</v>
      </c>
      <c r="EH65" s="236">
        <v>0.16716266605705102</v>
      </c>
      <c r="EI65" s="235">
        <f t="shared" si="299"/>
        <v>162.4012759</v>
      </c>
      <c r="EJ65" s="237">
        <f t="shared" si="300"/>
        <v>809.1151503</v>
      </c>
      <c r="EK65" s="232"/>
      <c r="EL65" s="232"/>
      <c r="EM65" s="232"/>
      <c r="EN65" s="81"/>
      <c r="EO65" s="233">
        <f t="shared" ref="EO65:EO69" si="337">EO64+1</f>
        <v>2</v>
      </c>
      <c r="EP65" s="234" t="s">
        <v>72</v>
      </c>
      <c r="EQ65" s="235">
        <f>'Hitung Output'!BW61</f>
        <v>82633.26349</v>
      </c>
      <c r="ER65" s="236">
        <f t="shared" si="301"/>
        <v>0.01161806607</v>
      </c>
      <c r="ES65" s="239">
        <f t="shared" si="302"/>
        <v>960.0387146</v>
      </c>
      <c r="ET65" s="236">
        <v>0.16716266605705102</v>
      </c>
      <c r="EU65" s="235">
        <f t="shared" si="303"/>
        <v>160.482631</v>
      </c>
      <c r="EV65" s="237">
        <f t="shared" si="304"/>
        <v>799.5560835</v>
      </c>
      <c r="EW65" s="232"/>
      <c r="EX65" s="232"/>
      <c r="EY65" s="232"/>
      <c r="EZ65" s="81"/>
      <c r="FA65" s="233">
        <f t="shared" ref="FA65:FA69" si="338">FA64+1</f>
        <v>2</v>
      </c>
      <c r="FB65" s="234" t="s">
        <v>72</v>
      </c>
      <c r="FC65" s="235">
        <f>'Hitung Output'!CB61</f>
        <v>89377.31663</v>
      </c>
      <c r="FD65" s="236">
        <f t="shared" si="305"/>
        <v>0.01161806607</v>
      </c>
      <c r="FE65" s="235">
        <f t="shared" si="306"/>
        <v>1038.39157</v>
      </c>
      <c r="FF65" s="236">
        <v>0.16716266605705102</v>
      </c>
      <c r="FG65" s="235">
        <f t="shared" si="307"/>
        <v>173.5803032</v>
      </c>
      <c r="FH65" s="237">
        <f t="shared" si="308"/>
        <v>864.8112663</v>
      </c>
      <c r="FI65" s="232"/>
      <c r="FJ65" s="232"/>
      <c r="FK65" s="232"/>
      <c r="FL65" s="81"/>
      <c r="FM65" s="233">
        <f t="shared" ref="FM65:FM69" si="339">FM64+1</f>
        <v>2</v>
      </c>
      <c r="FN65" s="234" t="s">
        <v>72</v>
      </c>
      <c r="FO65" s="235">
        <f>'Hitung Output'!CG61</f>
        <v>83086.92628</v>
      </c>
      <c r="FP65" s="236">
        <f t="shared" si="309"/>
        <v>0.01161806607</v>
      </c>
      <c r="FQ65" s="235">
        <f t="shared" si="310"/>
        <v>965.3093988</v>
      </c>
      <c r="FR65" s="236">
        <v>0.16716266605705102</v>
      </c>
      <c r="FS65" s="235">
        <f t="shared" si="311"/>
        <v>161.3636927</v>
      </c>
      <c r="FT65" s="237">
        <f t="shared" si="312"/>
        <v>803.9457061</v>
      </c>
      <c r="FU65" s="232"/>
      <c r="FV65" s="232"/>
      <c r="FW65" s="232"/>
      <c r="FX65" s="81"/>
      <c r="FY65" s="233">
        <f t="shared" ref="FY65:FY69" si="340">FY64+1</f>
        <v>2</v>
      </c>
      <c r="FZ65" s="234" t="s">
        <v>72</v>
      </c>
      <c r="GA65" s="235">
        <f>'Hitung Output'!CL61</f>
        <v>83484.57282</v>
      </c>
      <c r="GB65" s="236">
        <f t="shared" si="313"/>
        <v>0.01161806607</v>
      </c>
      <c r="GC65" s="235">
        <f t="shared" si="314"/>
        <v>969.9292826</v>
      </c>
      <c r="GD65" s="236">
        <v>0.16716266605705102</v>
      </c>
      <c r="GE65" s="235">
        <f t="shared" si="315"/>
        <v>162.1359648</v>
      </c>
      <c r="GF65" s="237">
        <f t="shared" si="316"/>
        <v>807.7933178</v>
      </c>
      <c r="GG65" s="232"/>
      <c r="GH65" s="232"/>
      <c r="GI65" s="232"/>
      <c r="GJ65" s="81"/>
      <c r="GK65" s="233">
        <f t="shared" ref="GK65:GK69" si="341">GK64+1</f>
        <v>2</v>
      </c>
      <c r="GL65" s="234" t="s">
        <v>72</v>
      </c>
      <c r="GM65" s="235"/>
      <c r="GN65" s="236">
        <f t="shared" si="317"/>
        <v>0.01161806607</v>
      </c>
      <c r="GO65" s="235">
        <f t="shared" si="318"/>
        <v>0</v>
      </c>
      <c r="GP65" s="236">
        <v>0.16716266605705102</v>
      </c>
      <c r="GQ65" s="235">
        <f t="shared" si="319"/>
        <v>0</v>
      </c>
      <c r="GR65" s="237">
        <f t="shared" si="320"/>
        <v>0</v>
      </c>
      <c r="GS65" s="232"/>
      <c r="GT65" s="232"/>
      <c r="GU65" s="232"/>
      <c r="GV65" s="81"/>
      <c r="GW65" s="233">
        <f t="shared" ref="GW65:GW69" si="342">GW64+1</f>
        <v>2</v>
      </c>
      <c r="GX65" s="234" t="s">
        <v>72</v>
      </c>
      <c r="GY65" s="235"/>
      <c r="GZ65" s="236">
        <f t="shared" si="321"/>
        <v>0.01161806607</v>
      </c>
      <c r="HA65" s="235">
        <f t="shared" si="322"/>
        <v>0</v>
      </c>
      <c r="HB65" s="236">
        <v>0.16716266605705102</v>
      </c>
      <c r="HC65" s="235">
        <f t="shared" si="323"/>
        <v>0</v>
      </c>
      <c r="HD65" s="237">
        <f t="shared" si="324"/>
        <v>0</v>
      </c>
      <c r="HE65" s="232"/>
      <c r="HF65" s="232"/>
      <c r="HG65" s="232"/>
      <c r="HH65" s="81"/>
      <c r="HI65" s="75"/>
    </row>
    <row r="66" ht="15.75" customHeight="1">
      <c r="A66" s="233">
        <f t="shared" si="325"/>
        <v>3</v>
      </c>
      <c r="B66" s="234" t="s">
        <v>73</v>
      </c>
      <c r="C66" s="235"/>
      <c r="D66" s="236">
        <f t="shared" si="253"/>
        <v>0.01161806607</v>
      </c>
      <c r="E66" s="235">
        <f t="shared" si="254"/>
        <v>0</v>
      </c>
      <c r="F66" s="236">
        <v>0.16716266605705102</v>
      </c>
      <c r="G66" s="235">
        <f t="shared" si="255"/>
        <v>0</v>
      </c>
      <c r="H66" s="237">
        <f t="shared" si="256"/>
        <v>0</v>
      </c>
      <c r="I66" s="232"/>
      <c r="J66" s="232"/>
      <c r="K66" s="232"/>
      <c r="L66" s="81"/>
      <c r="M66" s="233">
        <f t="shared" si="326"/>
        <v>3</v>
      </c>
      <c r="N66" s="234" t="s">
        <v>73</v>
      </c>
      <c r="O66" s="235"/>
      <c r="P66" s="236">
        <f t="shared" si="257"/>
        <v>0.01161806607</v>
      </c>
      <c r="Q66" s="235">
        <f t="shared" si="258"/>
        <v>0</v>
      </c>
      <c r="R66" s="236">
        <v>0.16716266605705102</v>
      </c>
      <c r="S66" s="235">
        <f t="shared" si="259"/>
        <v>0</v>
      </c>
      <c r="T66" s="237">
        <f t="shared" si="260"/>
        <v>0</v>
      </c>
      <c r="U66" s="232"/>
      <c r="V66" s="232"/>
      <c r="W66" s="232"/>
      <c r="X66" s="81"/>
      <c r="Y66" s="233">
        <f t="shared" si="327"/>
        <v>3</v>
      </c>
      <c r="Z66" s="234" t="s">
        <v>73</v>
      </c>
      <c r="AA66" s="235"/>
      <c r="AB66" s="236">
        <f t="shared" si="261"/>
        <v>0.01161806607</v>
      </c>
      <c r="AC66" s="235">
        <f t="shared" si="262"/>
        <v>0</v>
      </c>
      <c r="AD66" s="236">
        <v>0.16716266605705102</v>
      </c>
      <c r="AE66" s="235">
        <f t="shared" si="263"/>
        <v>0</v>
      </c>
      <c r="AF66" s="237">
        <f t="shared" si="264"/>
        <v>0</v>
      </c>
      <c r="AG66" s="232"/>
      <c r="AH66" s="232"/>
      <c r="AI66" s="232"/>
      <c r="AJ66" s="81"/>
      <c r="AK66" s="233">
        <f t="shared" si="328"/>
        <v>3</v>
      </c>
      <c r="AL66" s="234" t="s">
        <v>73</v>
      </c>
      <c r="AM66" s="235"/>
      <c r="AN66" s="236">
        <f t="shared" si="265"/>
        <v>0.01161806607</v>
      </c>
      <c r="AO66" s="235">
        <f t="shared" si="266"/>
        <v>0</v>
      </c>
      <c r="AP66" s="236">
        <v>0.16716266605705102</v>
      </c>
      <c r="AQ66" s="235">
        <f t="shared" si="267"/>
        <v>0</v>
      </c>
      <c r="AR66" s="237">
        <f t="shared" si="268"/>
        <v>0</v>
      </c>
      <c r="AS66" s="232"/>
      <c r="AT66" s="232"/>
      <c r="AU66" s="232"/>
      <c r="AV66" s="81"/>
      <c r="AW66" s="233">
        <f t="shared" si="329"/>
        <v>3</v>
      </c>
      <c r="AX66" s="234" t="s">
        <v>73</v>
      </c>
      <c r="AY66" s="235"/>
      <c r="AZ66" s="236">
        <f t="shared" si="269"/>
        <v>0.01161806607</v>
      </c>
      <c r="BA66" s="235">
        <f t="shared" si="270"/>
        <v>0</v>
      </c>
      <c r="BB66" s="236">
        <v>0.16716266605705102</v>
      </c>
      <c r="BC66" s="235">
        <f t="shared" si="271"/>
        <v>0</v>
      </c>
      <c r="BD66" s="237">
        <f t="shared" si="272"/>
        <v>0</v>
      </c>
      <c r="BE66" s="232"/>
      <c r="BF66" s="232"/>
      <c r="BG66" s="232"/>
      <c r="BH66" s="81"/>
      <c r="BI66" s="233">
        <f t="shared" si="330"/>
        <v>3</v>
      </c>
      <c r="BJ66" s="234" t="s">
        <v>73</v>
      </c>
      <c r="BK66" s="235"/>
      <c r="BL66" s="236">
        <f t="shared" si="273"/>
        <v>0.01161806607</v>
      </c>
      <c r="BM66" s="235">
        <f t="shared" si="274"/>
        <v>0</v>
      </c>
      <c r="BN66" s="236">
        <v>0.16716266605705102</v>
      </c>
      <c r="BO66" s="235">
        <f t="shared" si="275"/>
        <v>0</v>
      </c>
      <c r="BP66" s="237">
        <f t="shared" si="276"/>
        <v>0</v>
      </c>
      <c r="BQ66" s="232"/>
      <c r="BR66" s="232"/>
      <c r="BS66" s="232"/>
      <c r="BT66" s="81"/>
      <c r="BU66" s="233">
        <f t="shared" si="331"/>
        <v>3</v>
      </c>
      <c r="BV66" s="234" t="s">
        <v>73</v>
      </c>
      <c r="BW66" s="235"/>
      <c r="BX66" s="236">
        <f t="shared" si="277"/>
        <v>0.01161806607</v>
      </c>
      <c r="BY66" s="235">
        <f t="shared" si="278"/>
        <v>0</v>
      </c>
      <c r="BZ66" s="236">
        <v>0.16716266605705102</v>
      </c>
      <c r="CA66" s="235">
        <f t="shared" si="279"/>
        <v>0</v>
      </c>
      <c r="CB66" s="237">
        <f t="shared" si="280"/>
        <v>0</v>
      </c>
      <c r="CC66" s="232"/>
      <c r="CD66" s="232"/>
      <c r="CE66" s="232"/>
      <c r="CF66" s="81"/>
      <c r="CG66" s="233">
        <f t="shared" si="332"/>
        <v>3</v>
      </c>
      <c r="CH66" s="234" t="s">
        <v>73</v>
      </c>
      <c r="CI66" s="235"/>
      <c r="CJ66" s="236">
        <f t="shared" si="281"/>
        <v>0.01161806607</v>
      </c>
      <c r="CK66" s="235">
        <f t="shared" si="282"/>
        <v>0</v>
      </c>
      <c r="CL66" s="236">
        <v>0.16716266605705102</v>
      </c>
      <c r="CM66" s="235">
        <f t="shared" si="283"/>
        <v>0</v>
      </c>
      <c r="CN66" s="237">
        <f t="shared" si="284"/>
        <v>0</v>
      </c>
      <c r="CO66" s="232"/>
      <c r="CP66" s="232"/>
      <c r="CQ66" s="232"/>
      <c r="CR66" s="81"/>
      <c r="CS66" s="233">
        <f t="shared" si="333"/>
        <v>3</v>
      </c>
      <c r="CT66" s="234" t="s">
        <v>73</v>
      </c>
      <c r="CU66" s="235"/>
      <c r="CV66" s="236">
        <f t="shared" si="285"/>
        <v>0.01161806607</v>
      </c>
      <c r="CW66" s="235">
        <f t="shared" si="286"/>
        <v>0</v>
      </c>
      <c r="CX66" s="236">
        <v>0.16716266605705102</v>
      </c>
      <c r="CY66" s="235">
        <f t="shared" si="287"/>
        <v>0</v>
      </c>
      <c r="CZ66" s="237">
        <f t="shared" si="288"/>
        <v>0</v>
      </c>
      <c r="DA66" s="232"/>
      <c r="DB66" s="232"/>
      <c r="DC66" s="232"/>
      <c r="DD66" s="81"/>
      <c r="DE66" s="233">
        <f t="shared" si="334"/>
        <v>3</v>
      </c>
      <c r="DF66" s="234" t="s">
        <v>73</v>
      </c>
      <c r="DG66" s="235">
        <f>'Hitung Output'!BH62</f>
        <v>21997.54131</v>
      </c>
      <c r="DH66" s="236">
        <f t="shared" si="289"/>
        <v>0.01161806607</v>
      </c>
      <c r="DI66" s="238">
        <f t="shared" si="290"/>
        <v>255.5688882</v>
      </c>
      <c r="DJ66" s="236">
        <v>0.16716266605705102</v>
      </c>
      <c r="DK66" s="235">
        <f t="shared" si="291"/>
        <v>42.72157672</v>
      </c>
      <c r="DL66" s="237">
        <f t="shared" si="292"/>
        <v>212.8473115</v>
      </c>
      <c r="DM66" s="232"/>
      <c r="DN66" s="232"/>
      <c r="DO66" s="232"/>
      <c r="DP66" s="81"/>
      <c r="DQ66" s="233">
        <f t="shared" si="335"/>
        <v>3</v>
      </c>
      <c r="DR66" s="234" t="s">
        <v>73</v>
      </c>
      <c r="DS66" s="236">
        <f>'Hitung Output'!BM62</f>
        <v>24102.80426</v>
      </c>
      <c r="DT66" s="236">
        <f t="shared" si="293"/>
        <v>0.01161806607</v>
      </c>
      <c r="DU66" s="238">
        <f t="shared" si="294"/>
        <v>280.0279723</v>
      </c>
      <c r="DV66" s="236">
        <v>0.16716266605705102</v>
      </c>
      <c r="DW66" s="235">
        <f t="shared" si="295"/>
        <v>46.81022242</v>
      </c>
      <c r="DX66" s="237">
        <f t="shared" si="296"/>
        <v>233.2177499</v>
      </c>
      <c r="DY66" s="232"/>
      <c r="DZ66" s="232"/>
      <c r="EA66" s="232"/>
      <c r="EB66" s="81"/>
      <c r="EC66" s="233">
        <f t="shared" si="336"/>
        <v>3</v>
      </c>
      <c r="ED66" s="234" t="s">
        <v>73</v>
      </c>
      <c r="EE66" s="236">
        <f>'Hitung Output'!BR62</f>
        <v>21773.59096</v>
      </c>
      <c r="EF66" s="236">
        <f t="shared" si="297"/>
        <v>0.01161806607</v>
      </c>
      <c r="EG66" s="238">
        <f t="shared" si="298"/>
        <v>252.9670183</v>
      </c>
      <c r="EH66" s="236">
        <v>0.16716266605705102</v>
      </c>
      <c r="EI66" s="235">
        <f t="shared" si="299"/>
        <v>42.28664121</v>
      </c>
      <c r="EJ66" s="237">
        <f t="shared" si="300"/>
        <v>210.6803771</v>
      </c>
      <c r="EK66" s="232"/>
      <c r="EL66" s="232"/>
      <c r="EM66" s="232"/>
      <c r="EN66" s="81"/>
      <c r="EO66" s="233">
        <f t="shared" si="337"/>
        <v>3</v>
      </c>
      <c r="EP66" s="234" t="s">
        <v>73</v>
      </c>
      <c r="EQ66" s="235">
        <f>'Hitung Output'!BW62</f>
        <v>20871.49089</v>
      </c>
      <c r="ER66" s="236">
        <f t="shared" si="301"/>
        <v>0.01161806607</v>
      </c>
      <c r="ES66" s="239">
        <f t="shared" si="302"/>
        <v>242.4863601</v>
      </c>
      <c r="ET66" s="236">
        <v>0.16716266605705102</v>
      </c>
      <c r="EU66" s="235">
        <f t="shared" si="303"/>
        <v>40.53466643</v>
      </c>
      <c r="EV66" s="237">
        <f t="shared" si="304"/>
        <v>201.9516936</v>
      </c>
      <c r="EW66" s="232"/>
      <c r="EX66" s="232"/>
      <c r="EY66" s="232"/>
      <c r="EZ66" s="81"/>
      <c r="FA66" s="233">
        <f t="shared" si="338"/>
        <v>3</v>
      </c>
      <c r="FB66" s="234" t="s">
        <v>73</v>
      </c>
      <c r="FC66" s="235">
        <f>'Hitung Output'!CB62</f>
        <v>23113.63283</v>
      </c>
      <c r="FD66" s="236">
        <f t="shared" si="305"/>
        <v>0.01161806607</v>
      </c>
      <c r="FE66" s="235">
        <f t="shared" si="306"/>
        <v>268.5357133</v>
      </c>
      <c r="FF66" s="236">
        <v>0.16716266605705102</v>
      </c>
      <c r="FG66" s="235">
        <f t="shared" si="307"/>
        <v>44.88914577</v>
      </c>
      <c r="FH66" s="237">
        <f t="shared" si="308"/>
        <v>223.6465675</v>
      </c>
      <c r="FI66" s="232"/>
      <c r="FJ66" s="232"/>
      <c r="FK66" s="232"/>
      <c r="FL66" s="81"/>
      <c r="FM66" s="233">
        <f t="shared" si="339"/>
        <v>3</v>
      </c>
      <c r="FN66" s="234" t="s">
        <v>73</v>
      </c>
      <c r="FO66" s="235">
        <f>'Hitung Output'!CG62</f>
        <v>26119.75766</v>
      </c>
      <c r="FP66" s="236">
        <f t="shared" si="309"/>
        <v>0.01161806607</v>
      </c>
      <c r="FQ66" s="235">
        <f t="shared" si="310"/>
        <v>303.4610702</v>
      </c>
      <c r="FR66" s="236">
        <v>0.16716266605705102</v>
      </c>
      <c r="FS66" s="235">
        <f t="shared" si="311"/>
        <v>50.72736153</v>
      </c>
      <c r="FT66" s="237">
        <f t="shared" si="312"/>
        <v>252.7337086</v>
      </c>
      <c r="FU66" s="232"/>
      <c r="FV66" s="232"/>
      <c r="FW66" s="232"/>
      <c r="FX66" s="81"/>
      <c r="FY66" s="233">
        <f t="shared" si="340"/>
        <v>3</v>
      </c>
      <c r="FZ66" s="234" t="s">
        <v>73</v>
      </c>
      <c r="GA66" s="235">
        <f>'Hitung Output'!CL62</f>
        <v>48046.85631</v>
      </c>
      <c r="GB66" s="236">
        <f t="shared" si="313"/>
        <v>0.01161806607</v>
      </c>
      <c r="GC66" s="235">
        <f t="shared" si="314"/>
        <v>558.2115509</v>
      </c>
      <c r="GD66" s="236">
        <v>0.16716266605705102</v>
      </c>
      <c r="GE66" s="235">
        <f t="shared" si="315"/>
        <v>93.31213108</v>
      </c>
      <c r="GF66" s="237">
        <f t="shared" si="316"/>
        <v>464.8994199</v>
      </c>
      <c r="GG66" s="232"/>
      <c r="GH66" s="232"/>
      <c r="GI66" s="232"/>
      <c r="GJ66" s="81"/>
      <c r="GK66" s="233">
        <f t="shared" si="341"/>
        <v>3</v>
      </c>
      <c r="GL66" s="234" t="s">
        <v>73</v>
      </c>
      <c r="GM66" s="235"/>
      <c r="GN66" s="236">
        <f t="shared" si="317"/>
        <v>0.01161806607</v>
      </c>
      <c r="GO66" s="235">
        <f t="shared" si="318"/>
        <v>0</v>
      </c>
      <c r="GP66" s="236">
        <v>0.16716266605705102</v>
      </c>
      <c r="GQ66" s="235">
        <f t="shared" si="319"/>
        <v>0</v>
      </c>
      <c r="GR66" s="237">
        <f t="shared" si="320"/>
        <v>0</v>
      </c>
      <c r="GS66" s="232"/>
      <c r="GT66" s="232"/>
      <c r="GU66" s="232"/>
      <c r="GV66" s="81"/>
      <c r="GW66" s="233">
        <f t="shared" si="342"/>
        <v>3</v>
      </c>
      <c r="GX66" s="234" t="s">
        <v>73</v>
      </c>
      <c r="GY66" s="235"/>
      <c r="GZ66" s="236">
        <f t="shared" si="321"/>
        <v>0.01161806607</v>
      </c>
      <c r="HA66" s="235">
        <f t="shared" si="322"/>
        <v>0</v>
      </c>
      <c r="HB66" s="236">
        <v>0.16716266605705102</v>
      </c>
      <c r="HC66" s="235">
        <f t="shared" si="323"/>
        <v>0</v>
      </c>
      <c r="HD66" s="237">
        <f t="shared" si="324"/>
        <v>0</v>
      </c>
      <c r="HE66" s="232"/>
      <c r="HF66" s="232"/>
      <c r="HG66" s="232"/>
      <c r="HH66" s="81"/>
      <c r="HI66" s="75"/>
    </row>
    <row r="67" ht="15.75" customHeight="1">
      <c r="A67" s="233">
        <f t="shared" si="325"/>
        <v>4</v>
      </c>
      <c r="B67" s="234" t="s">
        <v>74</v>
      </c>
      <c r="C67" s="235"/>
      <c r="D67" s="236">
        <f t="shared" si="253"/>
        <v>0.01161806607</v>
      </c>
      <c r="E67" s="235">
        <f t="shared" si="254"/>
        <v>0</v>
      </c>
      <c r="F67" s="236">
        <v>0.16716266605705102</v>
      </c>
      <c r="G67" s="235">
        <f t="shared" si="255"/>
        <v>0</v>
      </c>
      <c r="H67" s="237">
        <f t="shared" si="256"/>
        <v>0</v>
      </c>
      <c r="I67" s="232"/>
      <c r="J67" s="232"/>
      <c r="K67" s="232"/>
      <c r="L67" s="81"/>
      <c r="M67" s="233">
        <f t="shared" si="326"/>
        <v>4</v>
      </c>
      <c r="N67" s="234" t="s">
        <v>74</v>
      </c>
      <c r="O67" s="235"/>
      <c r="P67" s="236">
        <f t="shared" si="257"/>
        <v>0.01161806607</v>
      </c>
      <c r="Q67" s="235">
        <f t="shared" si="258"/>
        <v>0</v>
      </c>
      <c r="R67" s="236">
        <v>0.16716266605705102</v>
      </c>
      <c r="S67" s="235">
        <f t="shared" si="259"/>
        <v>0</v>
      </c>
      <c r="T67" s="237">
        <f t="shared" si="260"/>
        <v>0</v>
      </c>
      <c r="U67" s="232"/>
      <c r="V67" s="232"/>
      <c r="W67" s="232"/>
      <c r="X67" s="81"/>
      <c r="Y67" s="233">
        <f t="shared" si="327"/>
        <v>4</v>
      </c>
      <c r="Z67" s="234" t="s">
        <v>74</v>
      </c>
      <c r="AA67" s="235"/>
      <c r="AB67" s="236">
        <f t="shared" si="261"/>
        <v>0.01161806607</v>
      </c>
      <c r="AC67" s="235">
        <f t="shared" si="262"/>
        <v>0</v>
      </c>
      <c r="AD67" s="236">
        <v>0.16716266605705102</v>
      </c>
      <c r="AE67" s="235">
        <f t="shared" si="263"/>
        <v>0</v>
      </c>
      <c r="AF67" s="237">
        <f t="shared" si="264"/>
        <v>0</v>
      </c>
      <c r="AG67" s="232"/>
      <c r="AH67" s="232"/>
      <c r="AI67" s="232"/>
      <c r="AJ67" s="81"/>
      <c r="AK67" s="233">
        <f t="shared" si="328"/>
        <v>4</v>
      </c>
      <c r="AL67" s="234" t="s">
        <v>74</v>
      </c>
      <c r="AM67" s="235"/>
      <c r="AN67" s="236">
        <f t="shared" si="265"/>
        <v>0.01161806607</v>
      </c>
      <c r="AO67" s="235">
        <f t="shared" si="266"/>
        <v>0</v>
      </c>
      <c r="AP67" s="236">
        <v>0.16716266605705102</v>
      </c>
      <c r="AQ67" s="235">
        <f t="shared" si="267"/>
        <v>0</v>
      </c>
      <c r="AR67" s="237">
        <f t="shared" si="268"/>
        <v>0</v>
      </c>
      <c r="AS67" s="232"/>
      <c r="AT67" s="232"/>
      <c r="AU67" s="232"/>
      <c r="AV67" s="81"/>
      <c r="AW67" s="233">
        <f t="shared" si="329"/>
        <v>4</v>
      </c>
      <c r="AX67" s="234" t="s">
        <v>74</v>
      </c>
      <c r="AY67" s="235"/>
      <c r="AZ67" s="236">
        <f t="shared" si="269"/>
        <v>0.01161806607</v>
      </c>
      <c r="BA67" s="235">
        <f t="shared" si="270"/>
        <v>0</v>
      </c>
      <c r="BB67" s="236">
        <v>0.16716266605705102</v>
      </c>
      <c r="BC67" s="235">
        <f t="shared" si="271"/>
        <v>0</v>
      </c>
      <c r="BD67" s="237">
        <f t="shared" si="272"/>
        <v>0</v>
      </c>
      <c r="BE67" s="232"/>
      <c r="BF67" s="232"/>
      <c r="BG67" s="232"/>
      <c r="BH67" s="81"/>
      <c r="BI67" s="233">
        <f t="shared" si="330"/>
        <v>4</v>
      </c>
      <c r="BJ67" s="234" t="s">
        <v>74</v>
      </c>
      <c r="BK67" s="235"/>
      <c r="BL67" s="236">
        <f t="shared" si="273"/>
        <v>0.01161806607</v>
      </c>
      <c r="BM67" s="235">
        <f t="shared" si="274"/>
        <v>0</v>
      </c>
      <c r="BN67" s="236">
        <v>0.16716266605705102</v>
      </c>
      <c r="BO67" s="235">
        <f t="shared" si="275"/>
        <v>0</v>
      </c>
      <c r="BP67" s="237">
        <f t="shared" si="276"/>
        <v>0</v>
      </c>
      <c r="BQ67" s="232"/>
      <c r="BR67" s="232"/>
      <c r="BS67" s="232"/>
      <c r="BT67" s="81"/>
      <c r="BU67" s="233">
        <f t="shared" si="331"/>
        <v>4</v>
      </c>
      <c r="BV67" s="234" t="s">
        <v>74</v>
      </c>
      <c r="BW67" s="235"/>
      <c r="BX67" s="236">
        <f t="shared" si="277"/>
        <v>0.01161806607</v>
      </c>
      <c r="BY67" s="235">
        <f t="shared" si="278"/>
        <v>0</v>
      </c>
      <c r="BZ67" s="236">
        <v>0.16716266605705102</v>
      </c>
      <c r="CA67" s="235">
        <f t="shared" si="279"/>
        <v>0</v>
      </c>
      <c r="CB67" s="237">
        <f t="shared" si="280"/>
        <v>0</v>
      </c>
      <c r="CC67" s="232"/>
      <c r="CD67" s="232"/>
      <c r="CE67" s="232"/>
      <c r="CF67" s="81"/>
      <c r="CG67" s="233">
        <f t="shared" si="332"/>
        <v>4</v>
      </c>
      <c r="CH67" s="234" t="s">
        <v>74</v>
      </c>
      <c r="CI67" s="235"/>
      <c r="CJ67" s="236">
        <f t="shared" si="281"/>
        <v>0.01161806607</v>
      </c>
      <c r="CK67" s="235">
        <f t="shared" si="282"/>
        <v>0</v>
      </c>
      <c r="CL67" s="236">
        <v>0.16716266605705102</v>
      </c>
      <c r="CM67" s="235">
        <f t="shared" si="283"/>
        <v>0</v>
      </c>
      <c r="CN67" s="237">
        <f t="shared" si="284"/>
        <v>0</v>
      </c>
      <c r="CO67" s="232"/>
      <c r="CP67" s="232"/>
      <c r="CQ67" s="232"/>
      <c r="CR67" s="81"/>
      <c r="CS67" s="233">
        <f t="shared" si="333"/>
        <v>4</v>
      </c>
      <c r="CT67" s="234" t="s">
        <v>74</v>
      </c>
      <c r="CU67" s="235"/>
      <c r="CV67" s="236">
        <f t="shared" si="285"/>
        <v>0.01161806607</v>
      </c>
      <c r="CW67" s="235">
        <f t="shared" si="286"/>
        <v>0</v>
      </c>
      <c r="CX67" s="236">
        <v>0.16716266605705102</v>
      </c>
      <c r="CY67" s="235">
        <f t="shared" si="287"/>
        <v>0</v>
      </c>
      <c r="CZ67" s="237">
        <f t="shared" si="288"/>
        <v>0</v>
      </c>
      <c r="DA67" s="232"/>
      <c r="DB67" s="232"/>
      <c r="DC67" s="232"/>
      <c r="DD67" s="81"/>
      <c r="DE67" s="233">
        <f t="shared" si="334"/>
        <v>4</v>
      </c>
      <c r="DF67" s="234" t="s">
        <v>74</v>
      </c>
      <c r="DG67" s="235">
        <f>'Hitung Output'!BH63</f>
        <v>182595.1135</v>
      </c>
      <c r="DH67" s="236">
        <f t="shared" si="289"/>
        <v>0.01161806607</v>
      </c>
      <c r="DI67" s="238">
        <f t="shared" si="290"/>
        <v>2121.402092</v>
      </c>
      <c r="DJ67" s="236">
        <v>0.16716266605705102</v>
      </c>
      <c r="DK67" s="235">
        <f t="shared" si="291"/>
        <v>354.6192294</v>
      </c>
      <c r="DL67" s="237">
        <f t="shared" si="292"/>
        <v>1766.782862</v>
      </c>
      <c r="DM67" s="232"/>
      <c r="DN67" s="232"/>
      <c r="DO67" s="232"/>
      <c r="DP67" s="81"/>
      <c r="DQ67" s="233">
        <f t="shared" si="335"/>
        <v>4</v>
      </c>
      <c r="DR67" s="234" t="s">
        <v>74</v>
      </c>
      <c r="DS67" s="236">
        <f>'Hitung Output'!BM63</f>
        <v>180891.1101</v>
      </c>
      <c r="DT67" s="236">
        <f t="shared" si="293"/>
        <v>0.01161806607</v>
      </c>
      <c r="DU67" s="238">
        <f t="shared" si="294"/>
        <v>2101.604868</v>
      </c>
      <c r="DV67" s="236">
        <v>0.16716266605705102</v>
      </c>
      <c r="DW67" s="235">
        <f t="shared" si="295"/>
        <v>351.3098727</v>
      </c>
      <c r="DX67" s="237">
        <f t="shared" si="296"/>
        <v>1750.294995</v>
      </c>
      <c r="DY67" s="232"/>
      <c r="DZ67" s="232"/>
      <c r="EA67" s="232"/>
      <c r="EB67" s="81"/>
      <c r="EC67" s="233">
        <f t="shared" si="336"/>
        <v>4</v>
      </c>
      <c r="ED67" s="234" t="s">
        <v>74</v>
      </c>
      <c r="EE67" s="236">
        <f>'Hitung Output'!BR63</f>
        <v>178343.5833</v>
      </c>
      <c r="EF67" s="236">
        <f t="shared" si="297"/>
        <v>0.01161806607</v>
      </c>
      <c r="EG67" s="238">
        <f t="shared" si="298"/>
        <v>2072.007533</v>
      </c>
      <c r="EH67" s="236">
        <v>0.16716266605705102</v>
      </c>
      <c r="EI67" s="235">
        <f t="shared" si="299"/>
        <v>346.3623033</v>
      </c>
      <c r="EJ67" s="237">
        <f t="shared" si="300"/>
        <v>1725.64523</v>
      </c>
      <c r="EK67" s="232"/>
      <c r="EL67" s="232"/>
      <c r="EM67" s="232"/>
      <c r="EN67" s="81"/>
      <c r="EO67" s="233">
        <f t="shared" si="337"/>
        <v>4</v>
      </c>
      <c r="EP67" s="234" t="s">
        <v>74</v>
      </c>
      <c r="EQ67" s="235">
        <f>'Hitung Output'!BW63</f>
        <v>182864.7316</v>
      </c>
      <c r="ER67" s="236">
        <f t="shared" si="301"/>
        <v>0.01161806607</v>
      </c>
      <c r="ES67" s="239">
        <f t="shared" si="302"/>
        <v>2124.534533</v>
      </c>
      <c r="ET67" s="236">
        <v>0.16716266605705102</v>
      </c>
      <c r="EU67" s="235">
        <f t="shared" si="303"/>
        <v>355.1428567</v>
      </c>
      <c r="EV67" s="237">
        <f t="shared" si="304"/>
        <v>1769.391676</v>
      </c>
      <c r="EW67" s="232"/>
      <c r="EX67" s="232"/>
      <c r="EY67" s="232"/>
      <c r="EZ67" s="81"/>
      <c r="FA67" s="233">
        <f t="shared" si="338"/>
        <v>4</v>
      </c>
      <c r="FB67" s="234" t="s">
        <v>74</v>
      </c>
      <c r="FC67" s="235">
        <f>'Hitung Output'!CB63</f>
        <v>192589.4338</v>
      </c>
      <c r="FD67" s="236">
        <f t="shared" si="305"/>
        <v>0.01161806607</v>
      </c>
      <c r="FE67" s="235">
        <f t="shared" si="306"/>
        <v>2237.516765</v>
      </c>
      <c r="FF67" s="236">
        <v>0.16716266605705102</v>
      </c>
      <c r="FG67" s="235">
        <f t="shared" si="307"/>
        <v>374.0292678</v>
      </c>
      <c r="FH67" s="237">
        <f t="shared" si="308"/>
        <v>1863.487497</v>
      </c>
      <c r="FI67" s="232"/>
      <c r="FJ67" s="232"/>
      <c r="FK67" s="232"/>
      <c r="FL67" s="81"/>
      <c r="FM67" s="233">
        <f t="shared" si="339"/>
        <v>4</v>
      </c>
      <c r="FN67" s="234" t="s">
        <v>74</v>
      </c>
      <c r="FO67" s="235">
        <f>'Hitung Output'!CG63</f>
        <v>179807.0254</v>
      </c>
      <c r="FP67" s="236">
        <f t="shared" si="309"/>
        <v>0.01161806607</v>
      </c>
      <c r="FQ67" s="235">
        <f t="shared" si="310"/>
        <v>2089.0099</v>
      </c>
      <c r="FR67" s="236">
        <v>0.16716266605705102</v>
      </c>
      <c r="FS67" s="235">
        <f t="shared" si="311"/>
        <v>349.2044644</v>
      </c>
      <c r="FT67" s="237">
        <f t="shared" si="312"/>
        <v>1739.805436</v>
      </c>
      <c r="FU67" s="232"/>
      <c r="FV67" s="232"/>
      <c r="FW67" s="232"/>
      <c r="FX67" s="81"/>
      <c r="FY67" s="233">
        <f t="shared" si="340"/>
        <v>4</v>
      </c>
      <c r="FZ67" s="234" t="s">
        <v>74</v>
      </c>
      <c r="GA67" s="235">
        <f>'Hitung Output'!CL63</f>
        <v>178173.3203</v>
      </c>
      <c r="GB67" s="236">
        <f t="shared" si="313"/>
        <v>0.01161806607</v>
      </c>
      <c r="GC67" s="235">
        <f t="shared" si="314"/>
        <v>2070.029407</v>
      </c>
      <c r="GD67" s="236">
        <v>0.16716266605705102</v>
      </c>
      <c r="GE67" s="235">
        <f t="shared" si="315"/>
        <v>346.0316345</v>
      </c>
      <c r="GF67" s="237">
        <f t="shared" si="316"/>
        <v>1723.997773</v>
      </c>
      <c r="GG67" s="232"/>
      <c r="GH67" s="232"/>
      <c r="GI67" s="232"/>
      <c r="GJ67" s="81"/>
      <c r="GK67" s="233">
        <f t="shared" si="341"/>
        <v>4</v>
      </c>
      <c r="GL67" s="234" t="s">
        <v>74</v>
      </c>
      <c r="GM67" s="235"/>
      <c r="GN67" s="236">
        <f t="shared" si="317"/>
        <v>0.01161806607</v>
      </c>
      <c r="GO67" s="235">
        <f t="shared" si="318"/>
        <v>0</v>
      </c>
      <c r="GP67" s="236">
        <v>0.16716266605705102</v>
      </c>
      <c r="GQ67" s="235">
        <f t="shared" si="319"/>
        <v>0</v>
      </c>
      <c r="GR67" s="237">
        <f t="shared" si="320"/>
        <v>0</v>
      </c>
      <c r="GS67" s="232"/>
      <c r="GT67" s="232"/>
      <c r="GU67" s="232"/>
      <c r="GV67" s="81"/>
      <c r="GW67" s="233">
        <f t="shared" si="342"/>
        <v>4</v>
      </c>
      <c r="GX67" s="234" t="s">
        <v>74</v>
      </c>
      <c r="GY67" s="235"/>
      <c r="GZ67" s="236">
        <f t="shared" si="321"/>
        <v>0.01161806607</v>
      </c>
      <c r="HA67" s="235">
        <f t="shared" si="322"/>
        <v>0</v>
      </c>
      <c r="HB67" s="236">
        <v>0.16716266605705102</v>
      </c>
      <c r="HC67" s="235">
        <f t="shared" si="323"/>
        <v>0</v>
      </c>
      <c r="HD67" s="237">
        <f t="shared" si="324"/>
        <v>0</v>
      </c>
      <c r="HE67" s="232"/>
      <c r="HF67" s="232"/>
      <c r="HG67" s="232"/>
      <c r="HH67" s="81"/>
      <c r="HI67" s="75"/>
    </row>
    <row r="68" ht="15.75" customHeight="1">
      <c r="A68" s="233">
        <f t="shared" si="325"/>
        <v>5</v>
      </c>
      <c r="B68" s="234" t="s">
        <v>75</v>
      </c>
      <c r="C68" s="235"/>
      <c r="D68" s="236">
        <f t="shared" si="253"/>
        <v>0.01161806607</v>
      </c>
      <c r="E68" s="235">
        <f t="shared" si="254"/>
        <v>0</v>
      </c>
      <c r="F68" s="236">
        <v>0.16716266605705102</v>
      </c>
      <c r="G68" s="235">
        <f t="shared" si="255"/>
        <v>0</v>
      </c>
      <c r="H68" s="237">
        <f t="shared" si="256"/>
        <v>0</v>
      </c>
      <c r="I68" s="232"/>
      <c r="J68" s="232"/>
      <c r="K68" s="232"/>
      <c r="L68" s="81"/>
      <c r="M68" s="233">
        <f t="shared" si="326"/>
        <v>5</v>
      </c>
      <c r="N68" s="234" t="s">
        <v>75</v>
      </c>
      <c r="O68" s="235"/>
      <c r="P68" s="236">
        <f t="shared" si="257"/>
        <v>0.01161806607</v>
      </c>
      <c r="Q68" s="235">
        <f t="shared" si="258"/>
        <v>0</v>
      </c>
      <c r="R68" s="236">
        <v>0.16716266605705102</v>
      </c>
      <c r="S68" s="235">
        <f t="shared" si="259"/>
        <v>0</v>
      </c>
      <c r="T68" s="237">
        <f t="shared" si="260"/>
        <v>0</v>
      </c>
      <c r="U68" s="232"/>
      <c r="V68" s="232"/>
      <c r="W68" s="232"/>
      <c r="X68" s="81"/>
      <c r="Y68" s="233">
        <f t="shared" si="327"/>
        <v>5</v>
      </c>
      <c r="Z68" s="234" t="s">
        <v>75</v>
      </c>
      <c r="AA68" s="235"/>
      <c r="AB68" s="236">
        <f t="shared" si="261"/>
        <v>0.01161806607</v>
      </c>
      <c r="AC68" s="235">
        <f t="shared" si="262"/>
        <v>0</v>
      </c>
      <c r="AD68" s="236">
        <v>0.16716266605705102</v>
      </c>
      <c r="AE68" s="235">
        <f t="shared" si="263"/>
        <v>0</v>
      </c>
      <c r="AF68" s="237">
        <f t="shared" si="264"/>
        <v>0</v>
      </c>
      <c r="AG68" s="232"/>
      <c r="AH68" s="232"/>
      <c r="AI68" s="232"/>
      <c r="AJ68" s="81"/>
      <c r="AK68" s="233">
        <f t="shared" si="328"/>
        <v>5</v>
      </c>
      <c r="AL68" s="234" t="s">
        <v>75</v>
      </c>
      <c r="AM68" s="235"/>
      <c r="AN68" s="236">
        <f t="shared" si="265"/>
        <v>0.01161806607</v>
      </c>
      <c r="AO68" s="235">
        <f t="shared" si="266"/>
        <v>0</v>
      </c>
      <c r="AP68" s="236">
        <v>0.16716266605705102</v>
      </c>
      <c r="AQ68" s="235">
        <f t="shared" si="267"/>
        <v>0</v>
      </c>
      <c r="AR68" s="237">
        <f t="shared" si="268"/>
        <v>0</v>
      </c>
      <c r="AS68" s="232"/>
      <c r="AT68" s="232"/>
      <c r="AU68" s="232"/>
      <c r="AV68" s="81"/>
      <c r="AW68" s="233">
        <f t="shared" si="329"/>
        <v>5</v>
      </c>
      <c r="AX68" s="234" t="s">
        <v>75</v>
      </c>
      <c r="AY68" s="235"/>
      <c r="AZ68" s="236">
        <f t="shared" si="269"/>
        <v>0.01161806607</v>
      </c>
      <c r="BA68" s="235">
        <f t="shared" si="270"/>
        <v>0</v>
      </c>
      <c r="BB68" s="236">
        <v>0.16716266605705102</v>
      </c>
      <c r="BC68" s="235">
        <f t="shared" si="271"/>
        <v>0</v>
      </c>
      <c r="BD68" s="237">
        <f t="shared" si="272"/>
        <v>0</v>
      </c>
      <c r="BE68" s="232"/>
      <c r="BF68" s="232"/>
      <c r="BG68" s="232"/>
      <c r="BH68" s="81"/>
      <c r="BI68" s="233">
        <f t="shared" si="330"/>
        <v>5</v>
      </c>
      <c r="BJ68" s="234" t="s">
        <v>75</v>
      </c>
      <c r="BK68" s="235"/>
      <c r="BL68" s="236">
        <f t="shared" si="273"/>
        <v>0.01161806607</v>
      </c>
      <c r="BM68" s="235">
        <f t="shared" si="274"/>
        <v>0</v>
      </c>
      <c r="BN68" s="236">
        <v>0.16716266605705102</v>
      </c>
      <c r="BO68" s="235">
        <f t="shared" si="275"/>
        <v>0</v>
      </c>
      <c r="BP68" s="237">
        <f t="shared" si="276"/>
        <v>0</v>
      </c>
      <c r="BQ68" s="232"/>
      <c r="BR68" s="232"/>
      <c r="BS68" s="232"/>
      <c r="BT68" s="81"/>
      <c r="BU68" s="233">
        <f t="shared" si="331"/>
        <v>5</v>
      </c>
      <c r="BV68" s="234" t="s">
        <v>75</v>
      </c>
      <c r="BW68" s="235"/>
      <c r="BX68" s="236">
        <f t="shared" si="277"/>
        <v>0.01161806607</v>
      </c>
      <c r="BY68" s="235">
        <f t="shared" si="278"/>
        <v>0</v>
      </c>
      <c r="BZ68" s="236">
        <v>0.16716266605705102</v>
      </c>
      <c r="CA68" s="235">
        <f t="shared" si="279"/>
        <v>0</v>
      </c>
      <c r="CB68" s="237">
        <f t="shared" si="280"/>
        <v>0</v>
      </c>
      <c r="CC68" s="232"/>
      <c r="CD68" s="232"/>
      <c r="CE68" s="232"/>
      <c r="CF68" s="81"/>
      <c r="CG68" s="233">
        <f t="shared" si="332"/>
        <v>5</v>
      </c>
      <c r="CH68" s="234" t="s">
        <v>75</v>
      </c>
      <c r="CI68" s="235"/>
      <c r="CJ68" s="236">
        <f t="shared" si="281"/>
        <v>0.01161806607</v>
      </c>
      <c r="CK68" s="235">
        <f t="shared" si="282"/>
        <v>0</v>
      </c>
      <c r="CL68" s="236">
        <v>0.16716266605705102</v>
      </c>
      <c r="CM68" s="235">
        <f t="shared" si="283"/>
        <v>0</v>
      </c>
      <c r="CN68" s="237">
        <f t="shared" si="284"/>
        <v>0</v>
      </c>
      <c r="CO68" s="232"/>
      <c r="CP68" s="232"/>
      <c r="CQ68" s="232"/>
      <c r="CR68" s="81"/>
      <c r="CS68" s="233">
        <f t="shared" si="333"/>
        <v>5</v>
      </c>
      <c r="CT68" s="234" t="s">
        <v>75</v>
      </c>
      <c r="CU68" s="235"/>
      <c r="CV68" s="236">
        <f t="shared" si="285"/>
        <v>0.01161806607</v>
      </c>
      <c r="CW68" s="235">
        <f t="shared" si="286"/>
        <v>0</v>
      </c>
      <c r="CX68" s="236">
        <v>0.16716266605705102</v>
      </c>
      <c r="CY68" s="235">
        <f t="shared" si="287"/>
        <v>0</v>
      </c>
      <c r="CZ68" s="237">
        <f t="shared" si="288"/>
        <v>0</v>
      </c>
      <c r="DA68" s="232"/>
      <c r="DB68" s="232"/>
      <c r="DC68" s="232"/>
      <c r="DD68" s="81"/>
      <c r="DE68" s="233">
        <f t="shared" si="334"/>
        <v>5</v>
      </c>
      <c r="DF68" s="234" t="s">
        <v>75</v>
      </c>
      <c r="DG68" s="235">
        <f>'Hitung Output'!BH64</f>
        <v>1945116.056</v>
      </c>
      <c r="DH68" s="236">
        <f t="shared" si="289"/>
        <v>0.01161806607</v>
      </c>
      <c r="DI68" s="238">
        <f t="shared" si="290"/>
        <v>22598.48684</v>
      </c>
      <c r="DJ68" s="236">
        <v>0.16716266605705102</v>
      </c>
      <c r="DK68" s="235">
        <f t="shared" si="291"/>
        <v>3777.623309</v>
      </c>
      <c r="DL68" s="237">
        <f t="shared" si="292"/>
        <v>18820.86353</v>
      </c>
      <c r="DM68" s="232"/>
      <c r="DN68" s="232"/>
      <c r="DO68" s="232"/>
      <c r="DP68" s="81"/>
      <c r="DQ68" s="233">
        <f t="shared" si="335"/>
        <v>5</v>
      </c>
      <c r="DR68" s="234" t="s">
        <v>75</v>
      </c>
      <c r="DS68" s="236">
        <f>'Hitung Output'!BM64</f>
        <v>1868499.017</v>
      </c>
      <c r="DT68" s="236">
        <f t="shared" si="293"/>
        <v>0.01161806607</v>
      </c>
      <c r="DU68" s="238">
        <f t="shared" si="294"/>
        <v>21708.34503</v>
      </c>
      <c r="DV68" s="236">
        <v>0.16716266605705102</v>
      </c>
      <c r="DW68" s="235">
        <f t="shared" si="295"/>
        <v>3628.82483</v>
      </c>
      <c r="DX68" s="237">
        <f t="shared" si="296"/>
        <v>18079.5202</v>
      </c>
      <c r="DY68" s="232"/>
      <c r="DZ68" s="232"/>
      <c r="EA68" s="232"/>
      <c r="EB68" s="81"/>
      <c r="EC68" s="233">
        <f t="shared" si="336"/>
        <v>5</v>
      </c>
      <c r="ED68" s="234" t="s">
        <v>75</v>
      </c>
      <c r="EE68" s="236">
        <f>'Hitung Output'!BR64</f>
        <v>1876015.207</v>
      </c>
      <c r="EF68" s="236">
        <f t="shared" si="297"/>
        <v>0.01161806607</v>
      </c>
      <c r="EG68" s="238">
        <f t="shared" si="298"/>
        <v>21795.66861</v>
      </c>
      <c r="EH68" s="236">
        <v>0.16716266605705102</v>
      </c>
      <c r="EI68" s="235">
        <f t="shared" si="299"/>
        <v>3643.422074</v>
      </c>
      <c r="EJ68" s="237">
        <f t="shared" si="300"/>
        <v>18152.24654</v>
      </c>
      <c r="EK68" s="232"/>
      <c r="EL68" s="232"/>
      <c r="EM68" s="232"/>
      <c r="EN68" s="81"/>
      <c r="EO68" s="233">
        <f t="shared" si="337"/>
        <v>5</v>
      </c>
      <c r="EP68" s="234" t="s">
        <v>75</v>
      </c>
      <c r="EQ68" s="235">
        <f>'Hitung Output'!BW64</f>
        <v>2050599.654</v>
      </c>
      <c r="ER68" s="236">
        <f t="shared" si="301"/>
        <v>0.01161806607</v>
      </c>
      <c r="ES68" s="239">
        <f t="shared" si="302"/>
        <v>23824.00225</v>
      </c>
      <c r="ET68" s="236">
        <v>0.16716266605705102</v>
      </c>
      <c r="EU68" s="235">
        <f t="shared" si="303"/>
        <v>3982.483733</v>
      </c>
      <c r="EV68" s="237">
        <f t="shared" si="304"/>
        <v>19841.51852</v>
      </c>
      <c r="EW68" s="232"/>
      <c r="EX68" s="232"/>
      <c r="EY68" s="232"/>
      <c r="EZ68" s="81"/>
      <c r="FA68" s="233">
        <f t="shared" si="338"/>
        <v>5</v>
      </c>
      <c r="FB68" s="234" t="s">
        <v>75</v>
      </c>
      <c r="FC68" s="235">
        <f>'Hitung Output'!CB64</f>
        <v>2086444.043</v>
      </c>
      <c r="FD68" s="236">
        <f t="shared" si="305"/>
        <v>0.01161806607</v>
      </c>
      <c r="FE68" s="235">
        <f t="shared" si="306"/>
        <v>24240.44474</v>
      </c>
      <c r="FF68" s="236">
        <v>0.16716266605705102</v>
      </c>
      <c r="FG68" s="235">
        <f t="shared" si="307"/>
        <v>4052.097369</v>
      </c>
      <c r="FH68" s="237">
        <f t="shared" si="308"/>
        <v>20188.34737</v>
      </c>
      <c r="FI68" s="232"/>
      <c r="FJ68" s="232"/>
      <c r="FK68" s="232"/>
      <c r="FL68" s="81"/>
      <c r="FM68" s="233">
        <f t="shared" si="339"/>
        <v>5</v>
      </c>
      <c r="FN68" s="234" t="s">
        <v>75</v>
      </c>
      <c r="FO68" s="235">
        <f>'Hitung Output'!CG64</f>
        <v>2322697.634</v>
      </c>
      <c r="FP68" s="236">
        <f t="shared" si="309"/>
        <v>0.01161806607</v>
      </c>
      <c r="FQ68" s="235">
        <f t="shared" si="310"/>
        <v>26985.25456</v>
      </c>
      <c r="FR68" s="236">
        <v>0.16716266605705102</v>
      </c>
      <c r="FS68" s="235">
        <f t="shared" si="311"/>
        <v>4510.927097</v>
      </c>
      <c r="FT68" s="237">
        <f t="shared" si="312"/>
        <v>22474.32747</v>
      </c>
      <c r="FU68" s="232"/>
      <c r="FV68" s="232"/>
      <c r="FW68" s="232"/>
      <c r="FX68" s="81"/>
      <c r="FY68" s="233">
        <f t="shared" si="340"/>
        <v>5</v>
      </c>
      <c r="FZ68" s="234" t="s">
        <v>75</v>
      </c>
      <c r="GA68" s="235">
        <f>'Hitung Output'!CL64</f>
        <v>2490449.849</v>
      </c>
      <c r="GB68" s="236">
        <f t="shared" si="313"/>
        <v>0.01161806607</v>
      </c>
      <c r="GC68" s="235">
        <f t="shared" si="314"/>
        <v>28934.21088</v>
      </c>
      <c r="GD68" s="236">
        <v>0.16716266605705102</v>
      </c>
      <c r="GE68" s="235">
        <f t="shared" si="315"/>
        <v>4836.71983</v>
      </c>
      <c r="GF68" s="237">
        <f t="shared" si="316"/>
        <v>24097.49105</v>
      </c>
      <c r="GG68" s="232"/>
      <c r="GH68" s="232"/>
      <c r="GI68" s="232"/>
      <c r="GJ68" s="81"/>
      <c r="GK68" s="233">
        <f t="shared" si="341"/>
        <v>5</v>
      </c>
      <c r="GL68" s="234" t="s">
        <v>75</v>
      </c>
      <c r="GM68" s="235"/>
      <c r="GN68" s="236">
        <f t="shared" si="317"/>
        <v>0.01161806607</v>
      </c>
      <c r="GO68" s="235">
        <f t="shared" si="318"/>
        <v>0</v>
      </c>
      <c r="GP68" s="236">
        <v>0.16716266605705102</v>
      </c>
      <c r="GQ68" s="235">
        <f t="shared" si="319"/>
        <v>0</v>
      </c>
      <c r="GR68" s="237">
        <f t="shared" si="320"/>
        <v>0</v>
      </c>
      <c r="GS68" s="232"/>
      <c r="GT68" s="232"/>
      <c r="GU68" s="232"/>
      <c r="GV68" s="81"/>
      <c r="GW68" s="233">
        <f t="shared" si="342"/>
        <v>5</v>
      </c>
      <c r="GX68" s="234" t="s">
        <v>75</v>
      </c>
      <c r="GY68" s="235"/>
      <c r="GZ68" s="236">
        <f t="shared" si="321"/>
        <v>0.01161806607</v>
      </c>
      <c r="HA68" s="235">
        <f t="shared" si="322"/>
        <v>0</v>
      </c>
      <c r="HB68" s="236">
        <v>0.16716266605705102</v>
      </c>
      <c r="HC68" s="235">
        <f t="shared" si="323"/>
        <v>0</v>
      </c>
      <c r="HD68" s="237">
        <f t="shared" si="324"/>
        <v>0</v>
      </c>
      <c r="HE68" s="232"/>
      <c r="HF68" s="232"/>
      <c r="HG68" s="232"/>
      <c r="HH68" s="81"/>
      <c r="HI68" s="75"/>
    </row>
    <row r="69" ht="15.75" customHeight="1">
      <c r="A69" s="233">
        <f t="shared" si="325"/>
        <v>6</v>
      </c>
      <c r="B69" s="234" t="s">
        <v>76</v>
      </c>
      <c r="C69" s="235"/>
      <c r="D69" s="236">
        <f t="shared" si="253"/>
        <v>0.01161806607</v>
      </c>
      <c r="E69" s="235">
        <f t="shared" si="254"/>
        <v>0</v>
      </c>
      <c r="F69" s="236">
        <v>0.16716266605705102</v>
      </c>
      <c r="G69" s="235">
        <f t="shared" si="255"/>
        <v>0</v>
      </c>
      <c r="H69" s="237">
        <f t="shared" si="256"/>
        <v>0</v>
      </c>
      <c r="I69" s="232"/>
      <c r="J69" s="232"/>
      <c r="K69" s="232"/>
      <c r="L69" s="81"/>
      <c r="M69" s="233">
        <f t="shared" si="326"/>
        <v>6</v>
      </c>
      <c r="N69" s="234" t="s">
        <v>76</v>
      </c>
      <c r="O69" s="235"/>
      <c r="P69" s="236">
        <f t="shared" si="257"/>
        <v>0.01161806607</v>
      </c>
      <c r="Q69" s="235">
        <f t="shared" si="258"/>
        <v>0</v>
      </c>
      <c r="R69" s="236">
        <v>0.16716266605705102</v>
      </c>
      <c r="S69" s="235">
        <f t="shared" si="259"/>
        <v>0</v>
      </c>
      <c r="T69" s="237">
        <f t="shared" si="260"/>
        <v>0</v>
      </c>
      <c r="U69" s="232"/>
      <c r="V69" s="232"/>
      <c r="W69" s="232"/>
      <c r="X69" s="81"/>
      <c r="Y69" s="233">
        <f t="shared" si="327"/>
        <v>6</v>
      </c>
      <c r="Z69" s="234" t="s">
        <v>76</v>
      </c>
      <c r="AA69" s="235"/>
      <c r="AB69" s="236">
        <f t="shared" si="261"/>
        <v>0.01161806607</v>
      </c>
      <c r="AC69" s="235">
        <f t="shared" si="262"/>
        <v>0</v>
      </c>
      <c r="AD69" s="236">
        <v>0.16716266605705102</v>
      </c>
      <c r="AE69" s="235">
        <f t="shared" si="263"/>
        <v>0</v>
      </c>
      <c r="AF69" s="237">
        <f t="shared" si="264"/>
        <v>0</v>
      </c>
      <c r="AG69" s="232"/>
      <c r="AH69" s="232"/>
      <c r="AI69" s="232"/>
      <c r="AJ69" s="81"/>
      <c r="AK69" s="233">
        <f t="shared" si="328"/>
        <v>6</v>
      </c>
      <c r="AL69" s="234" t="s">
        <v>76</v>
      </c>
      <c r="AM69" s="235"/>
      <c r="AN69" s="236">
        <f t="shared" si="265"/>
        <v>0.01161806607</v>
      </c>
      <c r="AO69" s="235">
        <f t="shared" si="266"/>
        <v>0</v>
      </c>
      <c r="AP69" s="236">
        <v>0.16716266605705102</v>
      </c>
      <c r="AQ69" s="235">
        <f t="shared" si="267"/>
        <v>0</v>
      </c>
      <c r="AR69" s="237">
        <f t="shared" si="268"/>
        <v>0</v>
      </c>
      <c r="AS69" s="232"/>
      <c r="AT69" s="232"/>
      <c r="AU69" s="232"/>
      <c r="AV69" s="81"/>
      <c r="AW69" s="233">
        <f t="shared" si="329"/>
        <v>6</v>
      </c>
      <c r="AX69" s="234" t="s">
        <v>76</v>
      </c>
      <c r="AY69" s="235"/>
      <c r="AZ69" s="236">
        <f t="shared" si="269"/>
        <v>0.01161806607</v>
      </c>
      <c r="BA69" s="235">
        <f t="shared" si="270"/>
        <v>0</v>
      </c>
      <c r="BB69" s="236">
        <v>0.16716266605705102</v>
      </c>
      <c r="BC69" s="235">
        <f t="shared" si="271"/>
        <v>0</v>
      </c>
      <c r="BD69" s="237">
        <f t="shared" si="272"/>
        <v>0</v>
      </c>
      <c r="BE69" s="232"/>
      <c r="BF69" s="232"/>
      <c r="BG69" s="232"/>
      <c r="BH69" s="81"/>
      <c r="BI69" s="233">
        <f t="shared" si="330"/>
        <v>6</v>
      </c>
      <c r="BJ69" s="234" t="s">
        <v>76</v>
      </c>
      <c r="BK69" s="235"/>
      <c r="BL69" s="236">
        <f t="shared" si="273"/>
        <v>0.01161806607</v>
      </c>
      <c r="BM69" s="235">
        <f t="shared" si="274"/>
        <v>0</v>
      </c>
      <c r="BN69" s="236">
        <v>0.16716266605705102</v>
      </c>
      <c r="BO69" s="235">
        <f t="shared" si="275"/>
        <v>0</v>
      </c>
      <c r="BP69" s="237">
        <f t="shared" si="276"/>
        <v>0</v>
      </c>
      <c r="BQ69" s="232"/>
      <c r="BR69" s="232"/>
      <c r="BS69" s="232"/>
      <c r="BT69" s="81"/>
      <c r="BU69" s="233">
        <f t="shared" si="331"/>
        <v>6</v>
      </c>
      <c r="BV69" s="234" t="s">
        <v>76</v>
      </c>
      <c r="BW69" s="235"/>
      <c r="BX69" s="236">
        <f t="shared" si="277"/>
        <v>0.01161806607</v>
      </c>
      <c r="BY69" s="235">
        <f t="shared" si="278"/>
        <v>0</v>
      </c>
      <c r="BZ69" s="236">
        <v>0.16716266605705102</v>
      </c>
      <c r="CA69" s="235">
        <f t="shared" si="279"/>
        <v>0</v>
      </c>
      <c r="CB69" s="237">
        <f t="shared" si="280"/>
        <v>0</v>
      </c>
      <c r="CC69" s="232"/>
      <c r="CD69" s="232"/>
      <c r="CE69" s="232"/>
      <c r="CF69" s="81"/>
      <c r="CG69" s="233">
        <f t="shared" si="332"/>
        <v>6</v>
      </c>
      <c r="CH69" s="234" t="s">
        <v>76</v>
      </c>
      <c r="CI69" s="235"/>
      <c r="CJ69" s="236">
        <f t="shared" si="281"/>
        <v>0.01161806607</v>
      </c>
      <c r="CK69" s="235">
        <f t="shared" si="282"/>
        <v>0</v>
      </c>
      <c r="CL69" s="236">
        <v>0.16716266605705102</v>
      </c>
      <c r="CM69" s="235">
        <f t="shared" si="283"/>
        <v>0</v>
      </c>
      <c r="CN69" s="237">
        <f t="shared" si="284"/>
        <v>0</v>
      </c>
      <c r="CO69" s="232"/>
      <c r="CP69" s="232"/>
      <c r="CQ69" s="232"/>
      <c r="CR69" s="81"/>
      <c r="CS69" s="233">
        <f t="shared" si="333"/>
        <v>6</v>
      </c>
      <c r="CT69" s="234" t="s">
        <v>76</v>
      </c>
      <c r="CU69" s="235"/>
      <c r="CV69" s="236">
        <f t="shared" si="285"/>
        <v>0.01161806607</v>
      </c>
      <c r="CW69" s="235">
        <f t="shared" si="286"/>
        <v>0</v>
      </c>
      <c r="CX69" s="236">
        <v>0.16716266605705102</v>
      </c>
      <c r="CY69" s="235">
        <f t="shared" si="287"/>
        <v>0</v>
      </c>
      <c r="CZ69" s="237">
        <f t="shared" si="288"/>
        <v>0</v>
      </c>
      <c r="DA69" s="232"/>
      <c r="DB69" s="232"/>
      <c r="DC69" s="232"/>
      <c r="DD69" s="81"/>
      <c r="DE69" s="233">
        <f t="shared" si="334"/>
        <v>6</v>
      </c>
      <c r="DF69" s="234" t="s">
        <v>76</v>
      </c>
      <c r="DG69" s="235">
        <f>'Hitung Output'!BH65</f>
        <v>784739.51</v>
      </c>
      <c r="DH69" s="236">
        <f t="shared" si="289"/>
        <v>0.01161806607</v>
      </c>
      <c r="DI69" s="238">
        <f t="shared" si="290"/>
        <v>9117.155472</v>
      </c>
      <c r="DJ69" s="236">
        <v>0.16716266605705102</v>
      </c>
      <c r="DK69" s="235">
        <f t="shared" si="291"/>
        <v>1524.048016</v>
      </c>
      <c r="DL69" s="237">
        <f t="shared" si="292"/>
        <v>7593.107457</v>
      </c>
      <c r="DM69" s="232"/>
      <c r="DN69" s="232"/>
      <c r="DO69" s="232"/>
      <c r="DP69" s="81"/>
      <c r="DQ69" s="233">
        <f t="shared" si="335"/>
        <v>6</v>
      </c>
      <c r="DR69" s="234" t="s">
        <v>76</v>
      </c>
      <c r="DS69" s="236">
        <f>'Hitung Output'!BM65</f>
        <v>772910.0469</v>
      </c>
      <c r="DT69" s="236">
        <f t="shared" si="293"/>
        <v>0.01161806607</v>
      </c>
      <c r="DU69" s="238">
        <f t="shared" si="294"/>
        <v>8979.719988</v>
      </c>
      <c r="DV69" s="236">
        <v>0.16716266605705102</v>
      </c>
      <c r="DW69" s="235">
        <f t="shared" si="295"/>
        <v>1501.073934</v>
      </c>
      <c r="DX69" s="237">
        <f t="shared" si="296"/>
        <v>7478.646055</v>
      </c>
      <c r="DY69" s="232"/>
      <c r="DZ69" s="232"/>
      <c r="EA69" s="232"/>
      <c r="EB69" s="81"/>
      <c r="EC69" s="233">
        <f t="shared" si="336"/>
        <v>6</v>
      </c>
      <c r="ED69" s="234" t="s">
        <v>76</v>
      </c>
      <c r="EE69" s="236">
        <f>'Hitung Output'!BR65</f>
        <v>834384.6501</v>
      </c>
      <c r="EF69" s="236">
        <f t="shared" si="297"/>
        <v>0.01161806607</v>
      </c>
      <c r="EG69" s="238">
        <f t="shared" si="298"/>
        <v>9693.93599</v>
      </c>
      <c r="EH69" s="236">
        <v>0.16716266605705102</v>
      </c>
      <c r="EI69" s="235">
        <f t="shared" si="299"/>
        <v>1620.464185</v>
      </c>
      <c r="EJ69" s="237">
        <f t="shared" si="300"/>
        <v>8073.471806</v>
      </c>
      <c r="EK69" s="232"/>
      <c r="EL69" s="232"/>
      <c r="EM69" s="232"/>
      <c r="EN69" s="81"/>
      <c r="EO69" s="233">
        <f t="shared" si="337"/>
        <v>6</v>
      </c>
      <c r="EP69" s="234" t="s">
        <v>76</v>
      </c>
      <c r="EQ69" s="235">
        <f>'Hitung Output'!BW65</f>
        <v>831273.4775</v>
      </c>
      <c r="ER69" s="236">
        <f t="shared" si="301"/>
        <v>0.01161806607</v>
      </c>
      <c r="ES69" s="239">
        <f t="shared" si="302"/>
        <v>9657.790181</v>
      </c>
      <c r="ET69" s="236">
        <v>0.16716266605705102</v>
      </c>
      <c r="EU69" s="235">
        <f t="shared" si="303"/>
        <v>1614.421955</v>
      </c>
      <c r="EV69" s="237">
        <f t="shared" si="304"/>
        <v>8043.368226</v>
      </c>
      <c r="EW69" s="232"/>
      <c r="EX69" s="232"/>
      <c r="EY69" s="232"/>
      <c r="EZ69" s="81"/>
      <c r="FA69" s="233">
        <f t="shared" si="338"/>
        <v>6</v>
      </c>
      <c r="FB69" s="234" t="s">
        <v>76</v>
      </c>
      <c r="FC69" s="235">
        <f>'Hitung Output'!CB65</f>
        <v>958877.5624</v>
      </c>
      <c r="FD69" s="236">
        <f t="shared" si="305"/>
        <v>0.01161806607</v>
      </c>
      <c r="FE69" s="235">
        <f t="shared" si="306"/>
        <v>11140.30287</v>
      </c>
      <c r="FF69" s="236">
        <v>0.16716266605705102</v>
      </c>
      <c r="FG69" s="235">
        <f t="shared" si="307"/>
        <v>1862.242728</v>
      </c>
      <c r="FH69" s="237">
        <f t="shared" si="308"/>
        <v>9278.060141</v>
      </c>
      <c r="FI69" s="232"/>
      <c r="FJ69" s="232"/>
      <c r="FK69" s="232"/>
      <c r="FL69" s="81"/>
      <c r="FM69" s="233">
        <f t="shared" si="339"/>
        <v>6</v>
      </c>
      <c r="FN69" s="234" t="s">
        <v>76</v>
      </c>
      <c r="FO69" s="235">
        <f>'Hitung Output'!CG65</f>
        <v>955444.4758</v>
      </c>
      <c r="FP69" s="236">
        <f t="shared" si="309"/>
        <v>0.01161806607</v>
      </c>
      <c r="FQ69" s="235">
        <f t="shared" si="310"/>
        <v>11100.41704</v>
      </c>
      <c r="FR69" s="236">
        <v>0.16716266605705102</v>
      </c>
      <c r="FS69" s="235">
        <f t="shared" si="311"/>
        <v>1855.575307</v>
      </c>
      <c r="FT69" s="237">
        <f t="shared" si="312"/>
        <v>9244.841736</v>
      </c>
      <c r="FU69" s="232"/>
      <c r="FV69" s="232"/>
      <c r="FW69" s="232"/>
      <c r="FX69" s="81"/>
      <c r="FY69" s="233">
        <f t="shared" si="340"/>
        <v>6</v>
      </c>
      <c r="FZ69" s="234" t="s">
        <v>76</v>
      </c>
      <c r="GA69" s="235">
        <f>'Hitung Output'!CL65</f>
        <v>1063829.919</v>
      </c>
      <c r="GB69" s="236">
        <f t="shared" si="313"/>
        <v>0.01161806607</v>
      </c>
      <c r="GC69" s="235">
        <f t="shared" si="314"/>
        <v>12359.64629</v>
      </c>
      <c r="GD69" s="236">
        <v>0.16716266605705102</v>
      </c>
      <c r="GE69" s="235">
        <f t="shared" si="315"/>
        <v>2066.071425</v>
      </c>
      <c r="GF69" s="237">
        <f t="shared" si="316"/>
        <v>10293.57486</v>
      </c>
      <c r="GG69" s="232"/>
      <c r="GH69" s="232"/>
      <c r="GI69" s="232"/>
      <c r="GJ69" s="81"/>
      <c r="GK69" s="233">
        <f t="shared" si="341"/>
        <v>6</v>
      </c>
      <c r="GL69" s="234" t="s">
        <v>76</v>
      </c>
      <c r="GM69" s="235"/>
      <c r="GN69" s="236">
        <f t="shared" si="317"/>
        <v>0.01161806607</v>
      </c>
      <c r="GO69" s="235">
        <f t="shared" si="318"/>
        <v>0</v>
      </c>
      <c r="GP69" s="236">
        <v>0.16716266605705102</v>
      </c>
      <c r="GQ69" s="235">
        <f t="shared" si="319"/>
        <v>0</v>
      </c>
      <c r="GR69" s="237">
        <f t="shared" si="320"/>
        <v>0</v>
      </c>
      <c r="GS69" s="232"/>
      <c r="GT69" s="232"/>
      <c r="GU69" s="232"/>
      <c r="GV69" s="81"/>
      <c r="GW69" s="233">
        <f t="shared" si="342"/>
        <v>6</v>
      </c>
      <c r="GX69" s="234" t="s">
        <v>76</v>
      </c>
      <c r="GY69" s="235"/>
      <c r="GZ69" s="236">
        <f t="shared" si="321"/>
        <v>0.01161806607</v>
      </c>
      <c r="HA69" s="235">
        <f t="shared" si="322"/>
        <v>0</v>
      </c>
      <c r="HB69" s="236">
        <v>0.16716266605705102</v>
      </c>
      <c r="HC69" s="235">
        <f t="shared" si="323"/>
        <v>0</v>
      </c>
      <c r="HD69" s="237">
        <f t="shared" si="324"/>
        <v>0</v>
      </c>
      <c r="HE69" s="232"/>
      <c r="HF69" s="232"/>
      <c r="HG69" s="232"/>
      <c r="HH69" s="81"/>
      <c r="HI69" s="75"/>
    </row>
    <row r="70" ht="15.75" customHeight="1">
      <c r="A70" s="233"/>
      <c r="B70" s="240"/>
      <c r="C70" s="235"/>
      <c r="D70" s="235"/>
      <c r="E70" s="235"/>
      <c r="F70" s="235"/>
      <c r="G70" s="235"/>
      <c r="H70" s="237"/>
      <c r="I70" s="232"/>
      <c r="J70" s="232"/>
      <c r="K70" s="232"/>
      <c r="L70" s="81"/>
      <c r="M70" s="233"/>
      <c r="N70" s="240"/>
      <c r="O70" s="235"/>
      <c r="P70" s="235"/>
      <c r="Q70" s="235"/>
      <c r="R70" s="235"/>
      <c r="S70" s="235"/>
      <c r="T70" s="237"/>
      <c r="U70" s="232"/>
      <c r="V70" s="232"/>
      <c r="W70" s="232"/>
      <c r="X70" s="81"/>
      <c r="Y70" s="233"/>
      <c r="Z70" s="240"/>
      <c r="AA70" s="235"/>
      <c r="AB70" s="235"/>
      <c r="AC70" s="235"/>
      <c r="AD70" s="235"/>
      <c r="AE70" s="235"/>
      <c r="AF70" s="237"/>
      <c r="AG70" s="232"/>
      <c r="AH70" s="232"/>
      <c r="AI70" s="232"/>
      <c r="AJ70" s="81"/>
      <c r="AK70" s="233"/>
      <c r="AL70" s="240"/>
      <c r="AM70" s="235"/>
      <c r="AN70" s="235"/>
      <c r="AO70" s="235"/>
      <c r="AP70" s="235"/>
      <c r="AQ70" s="235"/>
      <c r="AR70" s="237"/>
      <c r="AS70" s="232"/>
      <c r="AT70" s="232"/>
      <c r="AU70" s="232"/>
      <c r="AV70" s="81"/>
      <c r="AW70" s="233"/>
      <c r="AX70" s="240"/>
      <c r="AY70" s="235"/>
      <c r="AZ70" s="235"/>
      <c r="BA70" s="235"/>
      <c r="BB70" s="235"/>
      <c r="BC70" s="235"/>
      <c r="BD70" s="237"/>
      <c r="BE70" s="232"/>
      <c r="BF70" s="232"/>
      <c r="BG70" s="232"/>
      <c r="BH70" s="81"/>
      <c r="BI70" s="233"/>
      <c r="BJ70" s="240"/>
      <c r="BK70" s="235"/>
      <c r="BL70" s="235"/>
      <c r="BM70" s="235"/>
      <c r="BN70" s="235"/>
      <c r="BO70" s="235"/>
      <c r="BP70" s="237"/>
      <c r="BQ70" s="232"/>
      <c r="BR70" s="232"/>
      <c r="BS70" s="232"/>
      <c r="BT70" s="81"/>
      <c r="BU70" s="233"/>
      <c r="BV70" s="240"/>
      <c r="BW70" s="235"/>
      <c r="BX70" s="235"/>
      <c r="BY70" s="235"/>
      <c r="BZ70" s="235"/>
      <c r="CA70" s="235"/>
      <c r="CB70" s="237"/>
      <c r="CC70" s="232"/>
      <c r="CD70" s="232"/>
      <c r="CE70" s="232"/>
      <c r="CF70" s="81"/>
      <c r="CG70" s="233"/>
      <c r="CH70" s="240"/>
      <c r="CI70" s="235"/>
      <c r="CJ70" s="235"/>
      <c r="CK70" s="235"/>
      <c r="CL70" s="235"/>
      <c r="CM70" s="235"/>
      <c r="CN70" s="237"/>
      <c r="CO70" s="232"/>
      <c r="CP70" s="232"/>
      <c r="CQ70" s="232"/>
      <c r="CR70" s="81"/>
      <c r="CS70" s="233"/>
      <c r="CT70" s="240"/>
      <c r="CU70" s="235"/>
      <c r="CV70" s="235"/>
      <c r="CW70" s="235"/>
      <c r="CX70" s="235"/>
      <c r="CY70" s="235"/>
      <c r="CZ70" s="237"/>
      <c r="DA70" s="232"/>
      <c r="DB70" s="232"/>
      <c r="DC70" s="232"/>
      <c r="DD70" s="81"/>
      <c r="DE70" s="233"/>
      <c r="DF70" s="240"/>
      <c r="DG70" s="235"/>
      <c r="DH70" s="235"/>
      <c r="DI70" s="235"/>
      <c r="DJ70" s="235"/>
      <c r="DK70" s="235"/>
      <c r="DL70" s="237"/>
      <c r="DM70" s="232"/>
      <c r="DN70" s="232"/>
      <c r="DO70" s="232"/>
      <c r="DP70" s="81"/>
      <c r="DQ70" s="233"/>
      <c r="DR70" s="240"/>
      <c r="DS70" s="235"/>
      <c r="DT70" s="235"/>
      <c r="DU70" s="235"/>
      <c r="DV70" s="235"/>
      <c r="DW70" s="235"/>
      <c r="DX70" s="237"/>
      <c r="DY70" s="232"/>
      <c r="DZ70" s="232"/>
      <c r="EA70" s="232"/>
      <c r="EB70" s="81"/>
      <c r="EC70" s="233"/>
      <c r="ED70" s="240"/>
      <c r="EE70" s="235"/>
      <c r="EF70" s="235"/>
      <c r="EG70" s="235"/>
      <c r="EH70" s="235"/>
      <c r="EI70" s="235"/>
      <c r="EJ70" s="237"/>
      <c r="EK70" s="232"/>
      <c r="EL70" s="232"/>
      <c r="EM70" s="232"/>
      <c r="EN70" s="81"/>
      <c r="EO70" s="233"/>
      <c r="EP70" s="240"/>
      <c r="EQ70" s="235"/>
      <c r="ER70" s="235"/>
      <c r="ES70" s="235"/>
      <c r="ET70" s="235"/>
      <c r="EU70" s="235"/>
      <c r="EV70" s="237"/>
      <c r="EW70" s="232"/>
      <c r="EX70" s="232"/>
      <c r="EY70" s="232"/>
      <c r="EZ70" s="81"/>
      <c r="FA70" s="233"/>
      <c r="FB70" s="240"/>
      <c r="FC70" s="235"/>
      <c r="FD70" s="235"/>
      <c r="FE70" s="235"/>
      <c r="FF70" s="235"/>
      <c r="FG70" s="235"/>
      <c r="FH70" s="237"/>
      <c r="FI70" s="232"/>
      <c r="FJ70" s="232"/>
      <c r="FK70" s="232"/>
      <c r="FL70" s="81"/>
      <c r="FM70" s="233"/>
      <c r="FN70" s="240"/>
      <c r="FO70" s="235"/>
      <c r="FP70" s="235"/>
      <c r="FQ70" s="235"/>
      <c r="FR70" s="235"/>
      <c r="FS70" s="235"/>
      <c r="FT70" s="237"/>
      <c r="FU70" s="232"/>
      <c r="FV70" s="232"/>
      <c r="FW70" s="232"/>
      <c r="FX70" s="81"/>
      <c r="FY70" s="233"/>
      <c r="FZ70" s="240"/>
      <c r="GA70" s="235"/>
      <c r="GB70" s="235"/>
      <c r="GC70" s="235"/>
      <c r="GD70" s="235"/>
      <c r="GE70" s="235"/>
      <c r="GF70" s="237"/>
      <c r="GG70" s="232"/>
      <c r="GH70" s="232"/>
      <c r="GI70" s="232"/>
      <c r="GJ70" s="81"/>
      <c r="GK70" s="233"/>
      <c r="GL70" s="240"/>
      <c r="GM70" s="235"/>
      <c r="GN70" s="235"/>
      <c r="GO70" s="235"/>
      <c r="GP70" s="235"/>
      <c r="GQ70" s="235"/>
      <c r="GR70" s="237"/>
      <c r="GS70" s="232"/>
      <c r="GT70" s="232"/>
      <c r="GU70" s="232"/>
      <c r="GV70" s="81"/>
      <c r="GW70" s="233"/>
      <c r="GX70" s="240"/>
      <c r="GY70" s="235"/>
      <c r="GZ70" s="235"/>
      <c r="HA70" s="235"/>
      <c r="HB70" s="235"/>
      <c r="HC70" s="235"/>
      <c r="HD70" s="237"/>
      <c r="HE70" s="232"/>
      <c r="HF70" s="232"/>
      <c r="HG70" s="232"/>
      <c r="HH70" s="81"/>
      <c r="HI70" s="75"/>
    </row>
    <row r="71" ht="15.75" customHeight="1">
      <c r="A71" s="241" t="s">
        <v>77</v>
      </c>
      <c r="B71" s="127"/>
      <c r="C71" s="242">
        <f>SUM(C64:C70)</f>
        <v>0</v>
      </c>
      <c r="D71" s="243"/>
      <c r="E71" s="242">
        <f>SUM(E64:E70)</f>
        <v>0</v>
      </c>
      <c r="F71" s="244"/>
      <c r="G71" s="242">
        <f t="shared" ref="G71:H71" si="343">SUM(G64:G70)</f>
        <v>0</v>
      </c>
      <c r="H71" s="245">
        <f t="shared" si="343"/>
        <v>0</v>
      </c>
      <c r="I71" s="246"/>
      <c r="J71" s="246"/>
      <c r="K71" s="246"/>
      <c r="L71" s="133"/>
      <c r="M71" s="241" t="s">
        <v>77</v>
      </c>
      <c r="N71" s="127"/>
      <c r="O71" s="242">
        <f>SUM(O64:O70)</f>
        <v>0</v>
      </c>
      <c r="P71" s="243"/>
      <c r="Q71" s="242">
        <f>SUM(Q64:Q70)</f>
        <v>0</v>
      </c>
      <c r="R71" s="244"/>
      <c r="S71" s="242">
        <f t="shared" ref="S71:T71" si="344">SUM(S64:S70)</f>
        <v>0</v>
      </c>
      <c r="T71" s="245">
        <f t="shared" si="344"/>
        <v>0</v>
      </c>
      <c r="U71" s="246"/>
      <c r="V71" s="246"/>
      <c r="W71" s="246"/>
      <c r="X71" s="133"/>
      <c r="Y71" s="241" t="s">
        <v>77</v>
      </c>
      <c r="Z71" s="127"/>
      <c r="AA71" s="242">
        <f>SUM(AA64:AA70)</f>
        <v>0</v>
      </c>
      <c r="AB71" s="243"/>
      <c r="AC71" s="242">
        <f>SUM(AC64:AC70)</f>
        <v>0</v>
      </c>
      <c r="AD71" s="244"/>
      <c r="AE71" s="242">
        <f t="shared" ref="AE71:AF71" si="345">SUM(AE64:AE70)</f>
        <v>0</v>
      </c>
      <c r="AF71" s="245">
        <f t="shared" si="345"/>
        <v>0</v>
      </c>
      <c r="AG71" s="246"/>
      <c r="AH71" s="246"/>
      <c r="AI71" s="246"/>
      <c r="AJ71" s="133"/>
      <c r="AK71" s="241" t="s">
        <v>77</v>
      </c>
      <c r="AL71" s="127"/>
      <c r="AM71" s="242">
        <f>SUM(AM64:AM70)</f>
        <v>0</v>
      </c>
      <c r="AN71" s="243"/>
      <c r="AO71" s="242">
        <f>SUM(AO64:AO70)</f>
        <v>0</v>
      </c>
      <c r="AP71" s="244"/>
      <c r="AQ71" s="242">
        <f t="shared" ref="AQ71:AR71" si="346">SUM(AQ64:AQ70)</f>
        <v>0</v>
      </c>
      <c r="AR71" s="245">
        <f t="shared" si="346"/>
        <v>0</v>
      </c>
      <c r="AS71" s="246"/>
      <c r="AT71" s="246"/>
      <c r="AU71" s="246"/>
      <c r="AV71" s="133"/>
      <c r="AW71" s="241" t="s">
        <v>77</v>
      </c>
      <c r="AX71" s="127"/>
      <c r="AY71" s="242">
        <f>SUM(AY64:AY70)</f>
        <v>0</v>
      </c>
      <c r="AZ71" s="243"/>
      <c r="BA71" s="242">
        <f>SUM(BA64:BA70)</f>
        <v>0</v>
      </c>
      <c r="BB71" s="244"/>
      <c r="BC71" s="242">
        <f t="shared" ref="BC71:BD71" si="347">SUM(BC64:BC70)</f>
        <v>0</v>
      </c>
      <c r="BD71" s="245">
        <f t="shared" si="347"/>
        <v>0</v>
      </c>
      <c r="BE71" s="246"/>
      <c r="BF71" s="246"/>
      <c r="BG71" s="246"/>
      <c r="BH71" s="133"/>
      <c r="BI71" s="241" t="s">
        <v>77</v>
      </c>
      <c r="BJ71" s="127"/>
      <c r="BK71" s="242">
        <f>SUM(BK64:BK70)</f>
        <v>0</v>
      </c>
      <c r="BL71" s="243"/>
      <c r="BM71" s="242">
        <f>SUM(BM64:BM70)</f>
        <v>0</v>
      </c>
      <c r="BN71" s="244"/>
      <c r="BO71" s="242">
        <f t="shared" ref="BO71:BP71" si="348">SUM(BO64:BO70)</f>
        <v>0</v>
      </c>
      <c r="BP71" s="245">
        <f t="shared" si="348"/>
        <v>0</v>
      </c>
      <c r="BQ71" s="246"/>
      <c r="BR71" s="246"/>
      <c r="BS71" s="246"/>
      <c r="BT71" s="133"/>
      <c r="BU71" s="241" t="s">
        <v>77</v>
      </c>
      <c r="BV71" s="127"/>
      <c r="BW71" s="242">
        <f>SUM(BW64:BW70)</f>
        <v>0</v>
      </c>
      <c r="BX71" s="243"/>
      <c r="BY71" s="242">
        <f>SUM(BY64:BY70)</f>
        <v>0</v>
      </c>
      <c r="BZ71" s="244"/>
      <c r="CA71" s="242">
        <f t="shared" ref="CA71:CB71" si="349">SUM(CA64:CA70)</f>
        <v>0</v>
      </c>
      <c r="CB71" s="245">
        <f t="shared" si="349"/>
        <v>0</v>
      </c>
      <c r="CC71" s="246"/>
      <c r="CD71" s="246"/>
      <c r="CE71" s="246"/>
      <c r="CF71" s="133"/>
      <c r="CG71" s="241" t="s">
        <v>77</v>
      </c>
      <c r="CH71" s="127"/>
      <c r="CI71" s="242">
        <f>SUM(CI64:CI70)</f>
        <v>0</v>
      </c>
      <c r="CJ71" s="243"/>
      <c r="CK71" s="242">
        <f>SUM(CK64:CK70)</f>
        <v>0</v>
      </c>
      <c r="CL71" s="244"/>
      <c r="CM71" s="242">
        <f t="shared" ref="CM71:CN71" si="350">SUM(CM64:CM70)</f>
        <v>0</v>
      </c>
      <c r="CN71" s="245">
        <f t="shared" si="350"/>
        <v>0</v>
      </c>
      <c r="CO71" s="246"/>
      <c r="CP71" s="246"/>
      <c r="CQ71" s="246"/>
      <c r="CR71" s="133"/>
      <c r="CS71" s="241" t="s">
        <v>77</v>
      </c>
      <c r="CT71" s="127"/>
      <c r="CU71" s="242">
        <f>SUM(CU64:CU70)</f>
        <v>0</v>
      </c>
      <c r="CV71" s="243"/>
      <c r="CW71" s="242">
        <f>SUM(CW64:CW70)</f>
        <v>0</v>
      </c>
      <c r="CX71" s="244"/>
      <c r="CY71" s="242">
        <f t="shared" ref="CY71:CZ71" si="351">SUM(CY64:CY70)</f>
        <v>0</v>
      </c>
      <c r="CZ71" s="245">
        <f t="shared" si="351"/>
        <v>0</v>
      </c>
      <c r="DA71" s="246"/>
      <c r="DB71" s="246"/>
      <c r="DC71" s="246"/>
      <c r="DD71" s="133"/>
      <c r="DE71" s="241" t="s">
        <v>77</v>
      </c>
      <c r="DF71" s="127"/>
      <c r="DG71" s="242">
        <f>SUM(DG64:DG70)</f>
        <v>3633866.82</v>
      </c>
      <c r="DH71" s="243"/>
      <c r="DI71" s="242">
        <f>SUM(DI64:DI70)</f>
        <v>42218.50479</v>
      </c>
      <c r="DJ71" s="244"/>
      <c r="DK71" s="242">
        <f t="shared" ref="DK71:DL71" si="352">SUM(DK64:DK70)</f>
        <v>7057.357818</v>
      </c>
      <c r="DL71" s="245">
        <f t="shared" si="352"/>
        <v>35161.14697</v>
      </c>
      <c r="DM71" s="246"/>
      <c r="DN71" s="246"/>
      <c r="DO71" s="246"/>
      <c r="DP71" s="133"/>
      <c r="DQ71" s="241" t="s">
        <v>77</v>
      </c>
      <c r="DR71" s="127"/>
      <c r="DS71" s="242">
        <f>SUM(DS64:DS70)</f>
        <v>3493626.246</v>
      </c>
      <c r="DT71" s="243"/>
      <c r="DU71" s="242">
        <f>SUM(DU64:DU70)</f>
        <v>40589.18053</v>
      </c>
      <c r="DV71" s="244"/>
      <c r="DW71" s="242">
        <f t="shared" ref="DW71:DX71" si="353">SUM(DW64:DW70)</f>
        <v>6784.995631</v>
      </c>
      <c r="DX71" s="245">
        <f t="shared" si="353"/>
        <v>33804.1849</v>
      </c>
      <c r="DY71" s="246"/>
      <c r="DZ71" s="246"/>
      <c r="EA71" s="246"/>
      <c r="EB71" s="133"/>
      <c r="EC71" s="241" t="s">
        <v>77</v>
      </c>
      <c r="ED71" s="127"/>
      <c r="EE71" s="242">
        <f>SUM(EE64:EE70)</f>
        <v>3646227.249</v>
      </c>
      <c r="EF71" s="243"/>
      <c r="EG71" s="242">
        <f>SUM(EG64:EG70)</f>
        <v>42362.10908</v>
      </c>
      <c r="EH71" s="244"/>
      <c r="EI71" s="242">
        <f t="shared" ref="EI71:EJ71" si="354">SUM(EI64:EI70)</f>
        <v>7081.363093</v>
      </c>
      <c r="EJ71" s="245">
        <f t="shared" si="354"/>
        <v>35280.74598</v>
      </c>
      <c r="EK71" s="246"/>
      <c r="EL71" s="246"/>
      <c r="EM71" s="246"/>
      <c r="EN71" s="133"/>
      <c r="EO71" s="241" t="s">
        <v>77</v>
      </c>
      <c r="EP71" s="127"/>
      <c r="EQ71" s="242">
        <f>SUM(EQ64:EQ70)</f>
        <v>3785277.323</v>
      </c>
      <c r="ER71" s="243"/>
      <c r="ES71" s="242">
        <f>SUM(ES64:ES70)</f>
        <v>43977.60202</v>
      </c>
      <c r="ET71" s="244"/>
      <c r="EU71" s="242">
        <f t="shared" ref="EU71:EV71" si="355">SUM(EU64:EU70)</f>
        <v>7351.4132</v>
      </c>
      <c r="EV71" s="245">
        <f t="shared" si="355"/>
        <v>36626.18882</v>
      </c>
      <c r="EW71" s="246"/>
      <c r="EX71" s="246"/>
      <c r="EY71" s="246"/>
      <c r="EZ71" s="133"/>
      <c r="FA71" s="241" t="s">
        <v>77</v>
      </c>
      <c r="FB71" s="127"/>
      <c r="FC71" s="242">
        <f>SUM(FC64:FC70)</f>
        <v>3908601.499</v>
      </c>
      <c r="FD71" s="243"/>
      <c r="FE71" s="242">
        <f>SUM(FE64:FE70)</f>
        <v>45410.39044</v>
      </c>
      <c r="FF71" s="244"/>
      <c r="FG71" s="242">
        <f t="shared" ref="FG71:FH71" si="356">SUM(FG64:FG70)</f>
        <v>7590.921933</v>
      </c>
      <c r="FH71" s="245">
        <f t="shared" si="356"/>
        <v>37819.46851</v>
      </c>
      <c r="FI71" s="246"/>
      <c r="FJ71" s="246"/>
      <c r="FK71" s="246"/>
      <c r="FL71" s="133"/>
      <c r="FM71" s="241" t="s">
        <v>77</v>
      </c>
      <c r="FN71" s="127"/>
      <c r="FO71" s="242">
        <f>SUM(FO64:FO70)</f>
        <v>4166166.663</v>
      </c>
      <c r="FP71" s="243"/>
      <c r="FQ71" s="242">
        <f>SUM(FQ64:FQ70)</f>
        <v>48402.79954</v>
      </c>
      <c r="FR71" s="244"/>
      <c r="FS71" s="242">
        <f t="shared" ref="FS71:FT71" si="357">SUM(FS64:FS70)</f>
        <v>8091.141016</v>
      </c>
      <c r="FT71" s="245">
        <f t="shared" si="357"/>
        <v>40311.65852</v>
      </c>
      <c r="FU71" s="246"/>
      <c r="FV71" s="246"/>
      <c r="FW71" s="246"/>
      <c r="FX71" s="133"/>
      <c r="FY71" s="241" t="s">
        <v>77</v>
      </c>
      <c r="FZ71" s="127"/>
      <c r="GA71" s="242">
        <f>SUM(GA64:GA70)</f>
        <v>4501310.314</v>
      </c>
      <c r="GB71" s="243"/>
      <c r="GC71" s="242">
        <f>SUM(GC64:GC70)</f>
        <v>52296.52061</v>
      </c>
      <c r="GD71" s="244"/>
      <c r="GE71" s="242">
        <f t="shared" ref="GE71:GF71" si="358">SUM(GE64:GE70)</f>
        <v>8742.025811</v>
      </c>
      <c r="GF71" s="245">
        <f t="shared" si="358"/>
        <v>43554.4948</v>
      </c>
      <c r="GG71" s="246"/>
      <c r="GH71" s="246"/>
      <c r="GI71" s="246"/>
      <c r="GJ71" s="133"/>
      <c r="GK71" s="241" t="s">
        <v>77</v>
      </c>
      <c r="GL71" s="127"/>
      <c r="GM71" s="242">
        <f>SUM(GM64:GM70)</f>
        <v>0</v>
      </c>
      <c r="GN71" s="243"/>
      <c r="GO71" s="242">
        <f>SUM(GO64:GO70)</f>
        <v>0</v>
      </c>
      <c r="GP71" s="244"/>
      <c r="GQ71" s="242">
        <f t="shared" ref="GQ71:GR71" si="359">SUM(GQ64:GQ70)</f>
        <v>0</v>
      </c>
      <c r="GR71" s="245">
        <f t="shared" si="359"/>
        <v>0</v>
      </c>
      <c r="GS71" s="246"/>
      <c r="GT71" s="246"/>
      <c r="GU71" s="246"/>
      <c r="GV71" s="133"/>
      <c r="GW71" s="241" t="s">
        <v>77</v>
      </c>
      <c r="GX71" s="127"/>
      <c r="GY71" s="242">
        <f>SUM(GY64:GY70)</f>
        <v>0</v>
      </c>
      <c r="GZ71" s="243"/>
      <c r="HA71" s="242">
        <f>SUM(HA64:HA70)</f>
        <v>0</v>
      </c>
      <c r="HB71" s="244"/>
      <c r="HC71" s="242">
        <f t="shared" ref="HC71:HD71" si="360">SUM(HC64:HC70)</f>
        <v>0</v>
      </c>
      <c r="HD71" s="245">
        <f t="shared" si="360"/>
        <v>0</v>
      </c>
      <c r="HE71" s="246"/>
      <c r="HF71" s="246"/>
      <c r="HG71" s="246"/>
      <c r="HH71" s="133"/>
      <c r="HI71" s="132"/>
    </row>
    <row r="72" ht="15.75" customHeight="1">
      <c r="A72" s="233"/>
      <c r="B72" s="234"/>
      <c r="C72" s="234"/>
      <c r="D72" s="234"/>
      <c r="E72" s="235"/>
      <c r="F72" s="235"/>
      <c r="G72" s="235"/>
      <c r="H72" s="247"/>
      <c r="I72" s="248"/>
      <c r="J72" s="248"/>
      <c r="K72" s="248"/>
      <c r="L72" s="136"/>
      <c r="M72" s="233"/>
      <c r="N72" s="234"/>
      <c r="O72" s="234"/>
      <c r="P72" s="234"/>
      <c r="Q72" s="235"/>
      <c r="R72" s="235"/>
      <c r="S72" s="235"/>
      <c r="T72" s="247"/>
      <c r="U72" s="248"/>
      <c r="V72" s="248"/>
      <c r="W72" s="248"/>
      <c r="X72" s="136"/>
      <c r="Y72" s="233"/>
      <c r="Z72" s="234"/>
      <c r="AA72" s="234"/>
      <c r="AB72" s="234"/>
      <c r="AC72" s="235"/>
      <c r="AD72" s="235"/>
      <c r="AE72" s="235"/>
      <c r="AF72" s="247"/>
      <c r="AG72" s="248"/>
      <c r="AH72" s="248"/>
      <c r="AI72" s="248"/>
      <c r="AJ72" s="136"/>
      <c r="AK72" s="233"/>
      <c r="AL72" s="234"/>
      <c r="AM72" s="234"/>
      <c r="AN72" s="234"/>
      <c r="AO72" s="235"/>
      <c r="AP72" s="235"/>
      <c r="AQ72" s="235"/>
      <c r="AR72" s="247"/>
      <c r="AS72" s="248"/>
      <c r="AT72" s="248"/>
      <c r="AU72" s="248"/>
      <c r="AV72" s="136"/>
      <c r="AW72" s="233"/>
      <c r="AX72" s="234"/>
      <c r="AY72" s="234"/>
      <c r="AZ72" s="234"/>
      <c r="BA72" s="235"/>
      <c r="BB72" s="235"/>
      <c r="BC72" s="235"/>
      <c r="BD72" s="247"/>
      <c r="BE72" s="248"/>
      <c r="BF72" s="248"/>
      <c r="BG72" s="248"/>
      <c r="BH72" s="136"/>
      <c r="BI72" s="233"/>
      <c r="BJ72" s="234"/>
      <c r="BK72" s="234"/>
      <c r="BL72" s="234"/>
      <c r="BM72" s="235"/>
      <c r="BN72" s="235"/>
      <c r="BO72" s="235"/>
      <c r="BP72" s="247"/>
      <c r="BQ72" s="248"/>
      <c r="BR72" s="248"/>
      <c r="BS72" s="248"/>
      <c r="BT72" s="136"/>
      <c r="BU72" s="233"/>
      <c r="BV72" s="234"/>
      <c r="BW72" s="234"/>
      <c r="BX72" s="234"/>
      <c r="BY72" s="235"/>
      <c r="BZ72" s="235"/>
      <c r="CA72" s="235"/>
      <c r="CB72" s="247"/>
      <c r="CC72" s="248"/>
      <c r="CD72" s="248"/>
      <c r="CE72" s="248"/>
      <c r="CF72" s="136"/>
      <c r="CG72" s="233"/>
      <c r="CH72" s="234"/>
      <c r="CI72" s="234"/>
      <c r="CJ72" s="234"/>
      <c r="CK72" s="235"/>
      <c r="CL72" s="235"/>
      <c r="CM72" s="235"/>
      <c r="CN72" s="247"/>
      <c r="CO72" s="248"/>
      <c r="CP72" s="248"/>
      <c r="CQ72" s="248"/>
      <c r="CR72" s="136"/>
      <c r="CS72" s="233"/>
      <c r="CT72" s="234"/>
      <c r="CU72" s="234"/>
      <c r="CV72" s="234"/>
      <c r="CW72" s="235"/>
      <c r="CX72" s="235"/>
      <c r="CY72" s="235"/>
      <c r="CZ72" s="247"/>
      <c r="DA72" s="248"/>
      <c r="DB72" s="248"/>
      <c r="DC72" s="248"/>
      <c r="DD72" s="136"/>
      <c r="DE72" s="233"/>
      <c r="DF72" s="234"/>
      <c r="DG72" s="234"/>
      <c r="DH72" s="234"/>
      <c r="DI72" s="235"/>
      <c r="DJ72" s="235"/>
      <c r="DK72" s="235"/>
      <c r="DL72" s="247"/>
      <c r="DM72" s="248"/>
      <c r="DN72" s="248"/>
      <c r="DO72" s="248"/>
      <c r="DP72" s="136"/>
      <c r="DQ72" s="233"/>
      <c r="DR72" s="234"/>
      <c r="DS72" s="234"/>
      <c r="DT72" s="234"/>
      <c r="DU72" s="235"/>
      <c r="DV72" s="235"/>
      <c r="DW72" s="235"/>
      <c r="DX72" s="247"/>
      <c r="DY72" s="248"/>
      <c r="DZ72" s="248"/>
      <c r="EA72" s="248"/>
      <c r="EB72" s="136"/>
      <c r="EC72" s="233"/>
      <c r="ED72" s="234"/>
      <c r="EE72" s="234"/>
      <c r="EF72" s="234"/>
      <c r="EG72" s="235"/>
      <c r="EH72" s="235"/>
      <c r="EI72" s="235"/>
      <c r="EJ72" s="247"/>
      <c r="EK72" s="248"/>
      <c r="EL72" s="248"/>
      <c r="EM72" s="248"/>
      <c r="EN72" s="136"/>
      <c r="EO72" s="233"/>
      <c r="EP72" s="234"/>
      <c r="EQ72" s="234"/>
      <c r="ER72" s="234"/>
      <c r="ES72" s="235"/>
      <c r="ET72" s="235"/>
      <c r="EU72" s="235"/>
      <c r="EV72" s="247"/>
      <c r="EW72" s="248"/>
      <c r="EX72" s="248"/>
      <c r="EY72" s="248"/>
      <c r="EZ72" s="136"/>
      <c r="FA72" s="233"/>
      <c r="FB72" s="234"/>
      <c r="FC72" s="234"/>
      <c r="FD72" s="234"/>
      <c r="FE72" s="235"/>
      <c r="FF72" s="235"/>
      <c r="FG72" s="235"/>
      <c r="FH72" s="247"/>
      <c r="FI72" s="248"/>
      <c r="FJ72" s="248"/>
      <c r="FK72" s="248"/>
      <c r="FL72" s="136"/>
      <c r="FM72" s="233"/>
      <c r="FN72" s="234"/>
      <c r="FO72" s="234"/>
      <c r="FP72" s="234"/>
      <c r="FQ72" s="235"/>
      <c r="FR72" s="235"/>
      <c r="FS72" s="235"/>
      <c r="FT72" s="247"/>
      <c r="FU72" s="248"/>
      <c r="FV72" s="248"/>
      <c r="FW72" s="248"/>
      <c r="FX72" s="136"/>
      <c r="FY72" s="233"/>
      <c r="FZ72" s="234"/>
      <c r="GA72" s="234"/>
      <c r="GB72" s="234"/>
      <c r="GC72" s="235"/>
      <c r="GD72" s="235"/>
      <c r="GE72" s="235"/>
      <c r="GF72" s="247"/>
      <c r="GG72" s="248"/>
      <c r="GH72" s="248"/>
      <c r="GI72" s="248"/>
      <c r="GJ72" s="136"/>
      <c r="GK72" s="233"/>
      <c r="GL72" s="234"/>
      <c r="GM72" s="234"/>
      <c r="GN72" s="234"/>
      <c r="GO72" s="235"/>
      <c r="GP72" s="235"/>
      <c r="GQ72" s="235"/>
      <c r="GR72" s="247"/>
      <c r="GS72" s="248"/>
      <c r="GT72" s="248"/>
      <c r="GU72" s="248"/>
      <c r="GV72" s="136"/>
      <c r="GW72" s="233"/>
      <c r="GX72" s="234"/>
      <c r="GY72" s="234"/>
      <c r="GZ72" s="234"/>
      <c r="HA72" s="235"/>
      <c r="HB72" s="235"/>
      <c r="HC72" s="235"/>
      <c r="HD72" s="247"/>
      <c r="HE72" s="248"/>
      <c r="HF72" s="248"/>
      <c r="HG72" s="248"/>
      <c r="HH72" s="136"/>
      <c r="HI72" s="135"/>
    </row>
    <row r="73" ht="15.75" customHeight="1">
      <c r="A73" s="233"/>
      <c r="B73" s="249" t="str">
        <f>"Adjusment "&amp;" %"</f>
        <v>Adjusment  %</v>
      </c>
      <c r="C73" s="250"/>
      <c r="D73" s="251"/>
      <c r="E73" s="252">
        <f>C73/100*E71</f>
        <v>0</v>
      </c>
      <c r="F73" s="253"/>
      <c r="G73" s="235">
        <f>IFERROR(+E73-H73,"")</f>
        <v>0</v>
      </c>
      <c r="H73" s="254">
        <f>C73/100*H71</f>
        <v>0</v>
      </c>
      <c r="I73" s="232"/>
      <c r="J73" s="232"/>
      <c r="K73" s="232"/>
      <c r="L73" s="81"/>
      <c r="M73" s="233"/>
      <c r="N73" s="249" t="str">
        <f>"Adjusment "&amp;" %"</f>
        <v>Adjusment  %</v>
      </c>
      <c r="O73" s="250"/>
      <c r="P73" s="251"/>
      <c r="Q73" s="252">
        <f>O73/100*Q71</f>
        <v>0</v>
      </c>
      <c r="R73" s="253"/>
      <c r="S73" s="235">
        <f>IFERROR(+Q73-T73,"")</f>
        <v>0</v>
      </c>
      <c r="T73" s="254">
        <f>O73/100*T71</f>
        <v>0</v>
      </c>
      <c r="U73" s="232"/>
      <c r="V73" s="232"/>
      <c r="W73" s="232"/>
      <c r="X73" s="81"/>
      <c r="Y73" s="233"/>
      <c r="Z73" s="249" t="str">
        <f>"Adjusment "&amp;" %"</f>
        <v>Adjusment  %</v>
      </c>
      <c r="AA73" s="250"/>
      <c r="AB73" s="251"/>
      <c r="AC73" s="252">
        <f>AA73/100*AC71</f>
        <v>0</v>
      </c>
      <c r="AD73" s="253"/>
      <c r="AE73" s="235">
        <f>IFERROR(+AC73-AF73,"")</f>
        <v>0</v>
      </c>
      <c r="AF73" s="254">
        <f>AA73/100*AF71</f>
        <v>0</v>
      </c>
      <c r="AG73" s="232"/>
      <c r="AH73" s="232"/>
      <c r="AI73" s="232"/>
      <c r="AJ73" s="81"/>
      <c r="AK73" s="233"/>
      <c r="AL73" s="249" t="str">
        <f>"Adjusment "&amp;" %"</f>
        <v>Adjusment  %</v>
      </c>
      <c r="AM73" s="250"/>
      <c r="AN73" s="251"/>
      <c r="AO73" s="252">
        <f>AM73/100*AO71</f>
        <v>0</v>
      </c>
      <c r="AP73" s="253"/>
      <c r="AQ73" s="235">
        <f>IFERROR(+AO73-AR73,"")</f>
        <v>0</v>
      </c>
      <c r="AR73" s="254">
        <f>AM73/100*AR71</f>
        <v>0</v>
      </c>
      <c r="AS73" s="232"/>
      <c r="AT73" s="232"/>
      <c r="AU73" s="232"/>
      <c r="AV73" s="81"/>
      <c r="AW73" s="233"/>
      <c r="AX73" s="249" t="str">
        <f>"Adjusment "&amp;" %"</f>
        <v>Adjusment  %</v>
      </c>
      <c r="AY73" s="250"/>
      <c r="AZ73" s="251"/>
      <c r="BA73" s="252">
        <f>AY73/100*BA71</f>
        <v>0</v>
      </c>
      <c r="BB73" s="253"/>
      <c r="BC73" s="235">
        <f>IFERROR(+BA73-BD73,"")</f>
        <v>0</v>
      </c>
      <c r="BD73" s="254">
        <f>AY73/100*BD71</f>
        <v>0</v>
      </c>
      <c r="BE73" s="232"/>
      <c r="BF73" s="232"/>
      <c r="BG73" s="232"/>
      <c r="BH73" s="81"/>
      <c r="BI73" s="233"/>
      <c r="BJ73" s="249" t="str">
        <f>"Adjusment "&amp;" %"</f>
        <v>Adjusment  %</v>
      </c>
      <c r="BK73" s="250"/>
      <c r="BL73" s="251"/>
      <c r="BM73" s="252">
        <f>BK73/100*BM71</f>
        <v>0</v>
      </c>
      <c r="BN73" s="253"/>
      <c r="BO73" s="235">
        <f>IFERROR(+BM73-BP73,"")</f>
        <v>0</v>
      </c>
      <c r="BP73" s="254">
        <f>BK73/100*BP71</f>
        <v>0</v>
      </c>
      <c r="BQ73" s="232"/>
      <c r="BR73" s="232"/>
      <c r="BS73" s="232"/>
      <c r="BT73" s="81"/>
      <c r="BU73" s="233"/>
      <c r="BV73" s="249" t="str">
        <f>"Adjusment "&amp;" %"</f>
        <v>Adjusment  %</v>
      </c>
      <c r="BW73" s="250"/>
      <c r="BX73" s="251"/>
      <c r="BY73" s="252">
        <f>BW73/100*BY71</f>
        <v>0</v>
      </c>
      <c r="BZ73" s="253"/>
      <c r="CA73" s="235">
        <f>IFERROR(+BY73-CB73,"")</f>
        <v>0</v>
      </c>
      <c r="CB73" s="254">
        <f>BW73/100*CB71</f>
        <v>0</v>
      </c>
      <c r="CC73" s="232"/>
      <c r="CD73" s="232"/>
      <c r="CE73" s="232"/>
      <c r="CF73" s="81"/>
      <c r="CG73" s="233"/>
      <c r="CH73" s="249" t="str">
        <f>"Adjusment "&amp;" %"</f>
        <v>Adjusment  %</v>
      </c>
      <c r="CI73" s="250"/>
      <c r="CJ73" s="251"/>
      <c r="CK73" s="252">
        <f>CI73/100*CK71</f>
        <v>0</v>
      </c>
      <c r="CL73" s="253"/>
      <c r="CM73" s="235">
        <f>IFERROR(+CK73-CN73,"")</f>
        <v>0</v>
      </c>
      <c r="CN73" s="254">
        <f>CI73/100*CN71</f>
        <v>0</v>
      </c>
      <c r="CO73" s="232"/>
      <c r="CP73" s="232"/>
      <c r="CQ73" s="232"/>
      <c r="CR73" s="81"/>
      <c r="CS73" s="233"/>
      <c r="CT73" s="249" t="str">
        <f>"Adjusment "&amp;" %"</f>
        <v>Adjusment  %</v>
      </c>
      <c r="CU73" s="250"/>
      <c r="CV73" s="251"/>
      <c r="CW73" s="252">
        <f>CU73/100*CW71</f>
        <v>0</v>
      </c>
      <c r="CX73" s="253"/>
      <c r="CY73" s="235">
        <f>IFERROR(+CW73-CZ73,"")</f>
        <v>0</v>
      </c>
      <c r="CZ73" s="254">
        <f>CU73/100*CZ71</f>
        <v>0</v>
      </c>
      <c r="DA73" s="232"/>
      <c r="DB73" s="232"/>
      <c r="DC73" s="232"/>
      <c r="DD73" s="81"/>
      <c r="DE73" s="233"/>
      <c r="DF73" s="249" t="str">
        <f>"Adjusment "&amp;" %"</f>
        <v>Adjusment  %</v>
      </c>
      <c r="DG73" s="250"/>
      <c r="DH73" s="251"/>
      <c r="DI73" s="252">
        <f>DG73/100*DI71</f>
        <v>0</v>
      </c>
      <c r="DJ73" s="253"/>
      <c r="DK73" s="235">
        <f>IFERROR(+DI73-DL73,"")</f>
        <v>0</v>
      </c>
      <c r="DL73" s="254">
        <f>DG73/100*DL71</f>
        <v>0</v>
      </c>
      <c r="DM73" s="232"/>
      <c r="DN73" s="232"/>
      <c r="DO73" s="232"/>
      <c r="DP73" s="81"/>
      <c r="DQ73" s="233"/>
      <c r="DR73" s="249" t="str">
        <f>"Adjusment "&amp;" %"</f>
        <v>Adjusment  %</v>
      </c>
      <c r="DS73" s="250"/>
      <c r="DT73" s="251"/>
      <c r="DU73" s="252">
        <f>DS73/100*DU71</f>
        <v>0</v>
      </c>
      <c r="DV73" s="253"/>
      <c r="DW73" s="235">
        <f>IFERROR(+DU73-DX73,"")</f>
        <v>0</v>
      </c>
      <c r="DX73" s="254">
        <f>DS73/100*DX71</f>
        <v>0</v>
      </c>
      <c r="DY73" s="232"/>
      <c r="DZ73" s="232"/>
      <c r="EA73" s="232"/>
      <c r="EB73" s="81"/>
      <c r="EC73" s="233"/>
      <c r="ED73" s="249" t="str">
        <f>"Adjusment "&amp;" %"</f>
        <v>Adjusment  %</v>
      </c>
      <c r="EE73" s="250"/>
      <c r="EF73" s="251"/>
      <c r="EG73" s="252">
        <f>EE73/100*EG71</f>
        <v>0</v>
      </c>
      <c r="EH73" s="253"/>
      <c r="EI73" s="235">
        <f>IFERROR(+EG73-EJ73,"")</f>
        <v>0</v>
      </c>
      <c r="EJ73" s="254">
        <f>EE73/100*EJ71</f>
        <v>0</v>
      </c>
      <c r="EK73" s="232"/>
      <c r="EL73" s="232"/>
      <c r="EM73" s="232"/>
      <c r="EN73" s="81"/>
      <c r="EO73" s="233"/>
      <c r="EP73" s="249" t="str">
        <f>"Adjusment "&amp;" %"</f>
        <v>Adjusment  %</v>
      </c>
      <c r="EQ73" s="250"/>
      <c r="ER73" s="251"/>
      <c r="ES73" s="252">
        <f>EQ73/100*ES71</f>
        <v>0</v>
      </c>
      <c r="ET73" s="253"/>
      <c r="EU73" s="235">
        <f>IFERROR(+ES73-EV73,"")</f>
        <v>0</v>
      </c>
      <c r="EV73" s="254">
        <f>EQ73/100*EV71</f>
        <v>0</v>
      </c>
      <c r="EW73" s="232"/>
      <c r="EX73" s="232"/>
      <c r="EY73" s="232"/>
      <c r="EZ73" s="81"/>
      <c r="FA73" s="233"/>
      <c r="FB73" s="249" t="str">
        <f>"Adjusment "&amp;" %"</f>
        <v>Adjusment  %</v>
      </c>
      <c r="FC73" s="250"/>
      <c r="FD73" s="251"/>
      <c r="FE73" s="252">
        <f>FC73/100*FE71</f>
        <v>0</v>
      </c>
      <c r="FF73" s="253"/>
      <c r="FG73" s="235">
        <f>IFERROR(+FE73-FH73,"")</f>
        <v>0</v>
      </c>
      <c r="FH73" s="254">
        <f>FC73/100*FH71</f>
        <v>0</v>
      </c>
      <c r="FI73" s="232"/>
      <c r="FJ73" s="232"/>
      <c r="FK73" s="232"/>
      <c r="FL73" s="81"/>
      <c r="FM73" s="233"/>
      <c r="FN73" s="249" t="str">
        <f>"Adjusment "&amp;" %"</f>
        <v>Adjusment  %</v>
      </c>
      <c r="FO73" s="250"/>
      <c r="FP73" s="251"/>
      <c r="FQ73" s="252">
        <f>FO73/100*FQ71</f>
        <v>0</v>
      </c>
      <c r="FR73" s="253"/>
      <c r="FS73" s="235">
        <f>IFERROR(+FQ73-FT73,"")</f>
        <v>0</v>
      </c>
      <c r="FT73" s="254">
        <f>FO73/100*FT71</f>
        <v>0</v>
      </c>
      <c r="FU73" s="232"/>
      <c r="FV73" s="232"/>
      <c r="FW73" s="232"/>
      <c r="FX73" s="81"/>
      <c r="FY73" s="233"/>
      <c r="FZ73" s="249" t="str">
        <f>"Adjusment "&amp;" %"</f>
        <v>Adjusment  %</v>
      </c>
      <c r="GA73" s="250"/>
      <c r="GB73" s="251"/>
      <c r="GC73" s="252">
        <f>GA73/100*GC71</f>
        <v>0</v>
      </c>
      <c r="GD73" s="253"/>
      <c r="GE73" s="235">
        <f>IFERROR(+GC73-GF73,"")</f>
        <v>0</v>
      </c>
      <c r="GF73" s="254">
        <f>GA73/100*GF71</f>
        <v>0</v>
      </c>
      <c r="GG73" s="232"/>
      <c r="GH73" s="232"/>
      <c r="GI73" s="232"/>
      <c r="GJ73" s="81"/>
      <c r="GK73" s="233"/>
      <c r="GL73" s="249" t="str">
        <f>"Adjusment "&amp;" %"</f>
        <v>Adjusment  %</v>
      </c>
      <c r="GM73" s="250"/>
      <c r="GN73" s="251"/>
      <c r="GO73" s="252">
        <f>GM73/100*GO71</f>
        <v>0</v>
      </c>
      <c r="GP73" s="253"/>
      <c r="GQ73" s="235">
        <f>IFERROR(+GO73-GR73,"")</f>
        <v>0</v>
      </c>
      <c r="GR73" s="254">
        <f>GM73/100*GR71</f>
        <v>0</v>
      </c>
      <c r="GS73" s="232"/>
      <c r="GT73" s="232"/>
      <c r="GU73" s="232"/>
      <c r="GV73" s="81"/>
      <c r="GW73" s="233"/>
      <c r="GX73" s="249" t="str">
        <f>"Adjusment "&amp;" %"</f>
        <v>Adjusment  %</v>
      </c>
      <c r="GY73" s="250"/>
      <c r="GZ73" s="251"/>
      <c r="HA73" s="252">
        <f>GY73/100*HA71</f>
        <v>0</v>
      </c>
      <c r="HB73" s="253"/>
      <c r="HC73" s="235">
        <f>IFERROR(+HA73-HD73,"")</f>
        <v>0</v>
      </c>
      <c r="HD73" s="254">
        <f>GY73/100*HD71</f>
        <v>0</v>
      </c>
      <c r="HE73" s="232"/>
      <c r="HF73" s="232"/>
      <c r="HG73" s="232"/>
      <c r="HH73" s="81"/>
      <c r="HI73" s="75"/>
    </row>
    <row r="74" ht="15.75" customHeight="1">
      <c r="A74" s="233"/>
      <c r="B74" s="240"/>
      <c r="C74" s="235"/>
      <c r="D74" s="235"/>
      <c r="E74" s="235"/>
      <c r="F74" s="235"/>
      <c r="G74" s="235"/>
      <c r="H74" s="237"/>
      <c r="I74" s="232"/>
      <c r="J74" s="232"/>
      <c r="K74" s="232"/>
      <c r="L74" s="81"/>
      <c r="M74" s="233"/>
      <c r="N74" s="240"/>
      <c r="O74" s="235"/>
      <c r="P74" s="235"/>
      <c r="Q74" s="235"/>
      <c r="R74" s="235"/>
      <c r="S74" s="235"/>
      <c r="T74" s="237"/>
      <c r="U74" s="232"/>
      <c r="V74" s="232"/>
      <c r="W74" s="232"/>
      <c r="X74" s="81"/>
      <c r="Y74" s="233"/>
      <c r="Z74" s="240"/>
      <c r="AA74" s="235"/>
      <c r="AB74" s="235"/>
      <c r="AC74" s="235"/>
      <c r="AD74" s="235"/>
      <c r="AE74" s="235"/>
      <c r="AF74" s="237"/>
      <c r="AG74" s="232"/>
      <c r="AH74" s="232"/>
      <c r="AI74" s="232"/>
      <c r="AJ74" s="81"/>
      <c r="AK74" s="233"/>
      <c r="AL74" s="240"/>
      <c r="AM74" s="235"/>
      <c r="AN74" s="235"/>
      <c r="AO74" s="235"/>
      <c r="AP74" s="235"/>
      <c r="AQ74" s="235"/>
      <c r="AR74" s="237"/>
      <c r="AS74" s="232"/>
      <c r="AT74" s="232"/>
      <c r="AU74" s="232"/>
      <c r="AV74" s="81"/>
      <c r="AW74" s="233"/>
      <c r="AX74" s="240"/>
      <c r="AY74" s="235"/>
      <c r="AZ74" s="235"/>
      <c r="BA74" s="235"/>
      <c r="BB74" s="235"/>
      <c r="BC74" s="235"/>
      <c r="BD74" s="237"/>
      <c r="BE74" s="232"/>
      <c r="BF74" s="232"/>
      <c r="BG74" s="232"/>
      <c r="BH74" s="81"/>
      <c r="BI74" s="233"/>
      <c r="BJ74" s="240"/>
      <c r="BK74" s="235"/>
      <c r="BL74" s="235"/>
      <c r="BM74" s="235"/>
      <c r="BN74" s="235"/>
      <c r="BO74" s="235"/>
      <c r="BP74" s="237"/>
      <c r="BQ74" s="232"/>
      <c r="BR74" s="232"/>
      <c r="BS74" s="232"/>
      <c r="BT74" s="81"/>
      <c r="BU74" s="233"/>
      <c r="BV74" s="240"/>
      <c r="BW74" s="235"/>
      <c r="BX74" s="235"/>
      <c r="BY74" s="235"/>
      <c r="BZ74" s="235"/>
      <c r="CA74" s="235"/>
      <c r="CB74" s="237"/>
      <c r="CC74" s="232"/>
      <c r="CD74" s="232"/>
      <c r="CE74" s="232"/>
      <c r="CF74" s="81"/>
      <c r="CG74" s="233"/>
      <c r="CH74" s="240"/>
      <c r="CI74" s="235"/>
      <c r="CJ74" s="235"/>
      <c r="CK74" s="235"/>
      <c r="CL74" s="235"/>
      <c r="CM74" s="235"/>
      <c r="CN74" s="237"/>
      <c r="CO74" s="232"/>
      <c r="CP74" s="232"/>
      <c r="CQ74" s="232"/>
      <c r="CR74" s="81"/>
      <c r="CS74" s="233"/>
      <c r="CT74" s="240"/>
      <c r="CU74" s="235"/>
      <c r="CV74" s="235"/>
      <c r="CW74" s="235"/>
      <c r="CX74" s="235"/>
      <c r="CY74" s="235"/>
      <c r="CZ74" s="237"/>
      <c r="DA74" s="232"/>
      <c r="DB74" s="232"/>
      <c r="DC74" s="232"/>
      <c r="DD74" s="81"/>
      <c r="DE74" s="233"/>
      <c r="DF74" s="240"/>
      <c r="DG74" s="235"/>
      <c r="DH74" s="235"/>
      <c r="DI74" s="235"/>
      <c r="DJ74" s="235"/>
      <c r="DK74" s="235"/>
      <c r="DL74" s="237"/>
      <c r="DM74" s="232"/>
      <c r="DN74" s="232"/>
      <c r="DO74" s="232"/>
      <c r="DP74" s="81"/>
      <c r="DQ74" s="233"/>
      <c r="DR74" s="240"/>
      <c r="DS74" s="235"/>
      <c r="DT74" s="235"/>
      <c r="DU74" s="235"/>
      <c r="DV74" s="235"/>
      <c r="DW74" s="235"/>
      <c r="DX74" s="237"/>
      <c r="DY74" s="232"/>
      <c r="DZ74" s="232"/>
      <c r="EA74" s="232"/>
      <c r="EB74" s="81"/>
      <c r="EC74" s="233"/>
      <c r="ED74" s="240"/>
      <c r="EE74" s="235"/>
      <c r="EF74" s="235"/>
      <c r="EG74" s="235"/>
      <c r="EH74" s="235"/>
      <c r="EI74" s="235"/>
      <c r="EJ74" s="237"/>
      <c r="EK74" s="232"/>
      <c r="EL74" s="232"/>
      <c r="EM74" s="232"/>
      <c r="EN74" s="81"/>
      <c r="EO74" s="233"/>
      <c r="EP74" s="240"/>
      <c r="EQ74" s="235"/>
      <c r="ER74" s="235"/>
      <c r="ES74" s="235"/>
      <c r="ET74" s="235"/>
      <c r="EU74" s="235"/>
      <c r="EV74" s="237"/>
      <c r="EW74" s="232"/>
      <c r="EX74" s="232"/>
      <c r="EY74" s="232"/>
      <c r="EZ74" s="81"/>
      <c r="FA74" s="233"/>
      <c r="FB74" s="240"/>
      <c r="FC74" s="235"/>
      <c r="FD74" s="235"/>
      <c r="FE74" s="235"/>
      <c r="FF74" s="235"/>
      <c r="FG74" s="235"/>
      <c r="FH74" s="237"/>
      <c r="FI74" s="232"/>
      <c r="FJ74" s="232"/>
      <c r="FK74" s="232"/>
      <c r="FL74" s="81"/>
      <c r="FM74" s="233"/>
      <c r="FN74" s="240"/>
      <c r="FO74" s="235"/>
      <c r="FP74" s="235"/>
      <c r="FQ74" s="235"/>
      <c r="FR74" s="235"/>
      <c r="FS74" s="235"/>
      <c r="FT74" s="237"/>
      <c r="FU74" s="232"/>
      <c r="FV74" s="232"/>
      <c r="FW74" s="232"/>
      <c r="FX74" s="81"/>
      <c r="FY74" s="233"/>
      <c r="FZ74" s="240"/>
      <c r="GA74" s="235"/>
      <c r="GB74" s="235"/>
      <c r="GC74" s="235"/>
      <c r="GD74" s="235"/>
      <c r="GE74" s="235"/>
      <c r="GF74" s="237"/>
      <c r="GG74" s="232"/>
      <c r="GH74" s="232"/>
      <c r="GI74" s="232"/>
      <c r="GJ74" s="81"/>
      <c r="GK74" s="233"/>
      <c r="GL74" s="240"/>
      <c r="GM74" s="235"/>
      <c r="GN74" s="235"/>
      <c r="GO74" s="235"/>
      <c r="GP74" s="235"/>
      <c r="GQ74" s="235"/>
      <c r="GR74" s="237"/>
      <c r="GS74" s="232"/>
      <c r="GT74" s="232"/>
      <c r="GU74" s="232"/>
      <c r="GV74" s="81"/>
      <c r="GW74" s="233"/>
      <c r="GX74" s="240"/>
      <c r="GY74" s="235"/>
      <c r="GZ74" s="235"/>
      <c r="HA74" s="235"/>
      <c r="HB74" s="235"/>
      <c r="HC74" s="235"/>
      <c r="HD74" s="237"/>
      <c r="HE74" s="232"/>
      <c r="HF74" s="232"/>
      <c r="HG74" s="232"/>
      <c r="HH74" s="81"/>
      <c r="HI74" s="75"/>
    </row>
    <row r="75" ht="24.0" customHeight="1">
      <c r="A75" s="255" t="s">
        <v>78</v>
      </c>
      <c r="B75" s="144"/>
      <c r="C75" s="256">
        <f>SUM(C71:C74)</f>
        <v>0</v>
      </c>
      <c r="D75" s="257"/>
      <c r="E75" s="256">
        <f>SUM(E71:E74)</f>
        <v>0</v>
      </c>
      <c r="F75" s="257"/>
      <c r="G75" s="256">
        <f t="shared" ref="G75:H75" si="361">SUM(G71:G74)</f>
        <v>0</v>
      </c>
      <c r="H75" s="258">
        <f t="shared" si="361"/>
        <v>0</v>
      </c>
      <c r="I75" s="232"/>
      <c r="J75" s="232"/>
      <c r="K75" s="232"/>
      <c r="L75" s="81"/>
      <c r="M75" s="255" t="s">
        <v>78</v>
      </c>
      <c r="N75" s="144"/>
      <c r="O75" s="256">
        <f>SUM(O71:O74)</f>
        <v>0</v>
      </c>
      <c r="P75" s="257"/>
      <c r="Q75" s="256">
        <f>SUM(Q71:Q74)</f>
        <v>0</v>
      </c>
      <c r="R75" s="257"/>
      <c r="S75" s="256">
        <f t="shared" ref="S75:T75" si="362">SUM(S71:S74)</f>
        <v>0</v>
      </c>
      <c r="T75" s="258">
        <f t="shared" si="362"/>
        <v>0</v>
      </c>
      <c r="U75" s="232"/>
      <c r="V75" s="232"/>
      <c r="W75" s="232"/>
      <c r="X75" s="81"/>
      <c r="Y75" s="255" t="s">
        <v>78</v>
      </c>
      <c r="Z75" s="144"/>
      <c r="AA75" s="256">
        <f>SUM(AA71:AA74)</f>
        <v>0</v>
      </c>
      <c r="AB75" s="257"/>
      <c r="AC75" s="256">
        <f>SUM(AC71:AC74)</f>
        <v>0</v>
      </c>
      <c r="AD75" s="257"/>
      <c r="AE75" s="256">
        <f t="shared" ref="AE75:AF75" si="363">SUM(AE71:AE74)</f>
        <v>0</v>
      </c>
      <c r="AF75" s="258">
        <f t="shared" si="363"/>
        <v>0</v>
      </c>
      <c r="AG75" s="232"/>
      <c r="AH75" s="232"/>
      <c r="AI75" s="232"/>
      <c r="AJ75" s="81"/>
      <c r="AK75" s="255" t="s">
        <v>78</v>
      </c>
      <c r="AL75" s="144"/>
      <c r="AM75" s="256">
        <f>SUM(AM71:AM74)</f>
        <v>0</v>
      </c>
      <c r="AN75" s="257"/>
      <c r="AO75" s="256">
        <f>SUM(AO71:AO74)</f>
        <v>0</v>
      </c>
      <c r="AP75" s="257"/>
      <c r="AQ75" s="256">
        <f t="shared" ref="AQ75:AR75" si="364">SUM(AQ71:AQ74)</f>
        <v>0</v>
      </c>
      <c r="AR75" s="258">
        <f t="shared" si="364"/>
        <v>0</v>
      </c>
      <c r="AS75" s="232"/>
      <c r="AT75" s="232"/>
      <c r="AU75" s="232"/>
      <c r="AV75" s="81"/>
      <c r="AW75" s="255" t="s">
        <v>78</v>
      </c>
      <c r="AX75" s="144"/>
      <c r="AY75" s="256">
        <f>SUM(AY71:AY74)</f>
        <v>0</v>
      </c>
      <c r="AZ75" s="257"/>
      <c r="BA75" s="256">
        <f>SUM(BA71:BA74)</f>
        <v>0</v>
      </c>
      <c r="BB75" s="257"/>
      <c r="BC75" s="256">
        <f t="shared" ref="BC75:BD75" si="365">SUM(BC71:BC74)</f>
        <v>0</v>
      </c>
      <c r="BD75" s="258">
        <f t="shared" si="365"/>
        <v>0</v>
      </c>
      <c r="BE75" s="232"/>
      <c r="BF75" s="232"/>
      <c r="BG75" s="232"/>
      <c r="BH75" s="81"/>
      <c r="BI75" s="255" t="s">
        <v>78</v>
      </c>
      <c r="BJ75" s="144"/>
      <c r="BK75" s="256">
        <f>SUM(BK71:BK74)</f>
        <v>0</v>
      </c>
      <c r="BL75" s="257"/>
      <c r="BM75" s="256">
        <f>SUM(BM71:BM74)</f>
        <v>0</v>
      </c>
      <c r="BN75" s="257"/>
      <c r="BO75" s="256">
        <f t="shared" ref="BO75:BP75" si="366">SUM(BO71:BO74)</f>
        <v>0</v>
      </c>
      <c r="BP75" s="258">
        <f t="shared" si="366"/>
        <v>0</v>
      </c>
      <c r="BQ75" s="232"/>
      <c r="BR75" s="232"/>
      <c r="BS75" s="232"/>
      <c r="BT75" s="81"/>
      <c r="BU75" s="255" t="s">
        <v>78</v>
      </c>
      <c r="BV75" s="144"/>
      <c r="BW75" s="256">
        <f>SUM(BW71:BW74)</f>
        <v>0</v>
      </c>
      <c r="BX75" s="257"/>
      <c r="BY75" s="256">
        <f>SUM(BY71:BY74)</f>
        <v>0</v>
      </c>
      <c r="BZ75" s="257"/>
      <c r="CA75" s="256">
        <f t="shared" ref="CA75:CB75" si="367">SUM(CA71:CA74)</f>
        <v>0</v>
      </c>
      <c r="CB75" s="258">
        <f t="shared" si="367"/>
        <v>0</v>
      </c>
      <c r="CC75" s="232"/>
      <c r="CD75" s="232"/>
      <c r="CE75" s="232"/>
      <c r="CF75" s="81"/>
      <c r="CG75" s="255" t="s">
        <v>78</v>
      </c>
      <c r="CH75" s="144"/>
      <c r="CI75" s="256">
        <f>SUM(CI71:CI74)</f>
        <v>0</v>
      </c>
      <c r="CJ75" s="257"/>
      <c r="CK75" s="256">
        <f>SUM(CK71:CK74)</f>
        <v>0</v>
      </c>
      <c r="CL75" s="257"/>
      <c r="CM75" s="256">
        <f t="shared" ref="CM75:CN75" si="368">SUM(CM71:CM74)</f>
        <v>0</v>
      </c>
      <c r="CN75" s="258">
        <f t="shared" si="368"/>
        <v>0</v>
      </c>
      <c r="CO75" s="232"/>
      <c r="CP75" s="232"/>
      <c r="CQ75" s="232"/>
      <c r="CR75" s="81"/>
      <c r="CS75" s="255" t="s">
        <v>78</v>
      </c>
      <c r="CT75" s="144"/>
      <c r="CU75" s="256">
        <f>SUM(CU71:CU74)</f>
        <v>0</v>
      </c>
      <c r="CV75" s="257"/>
      <c r="CW75" s="256">
        <f>SUM(CW71:CW74)</f>
        <v>0</v>
      </c>
      <c r="CX75" s="257"/>
      <c r="CY75" s="256">
        <f t="shared" ref="CY75:CZ75" si="369">SUM(CY71:CY74)</f>
        <v>0</v>
      </c>
      <c r="CZ75" s="258">
        <f t="shared" si="369"/>
        <v>0</v>
      </c>
      <c r="DA75" s="232"/>
      <c r="DB75" s="232"/>
      <c r="DC75" s="232"/>
      <c r="DD75" s="81"/>
      <c r="DE75" s="255" t="s">
        <v>78</v>
      </c>
      <c r="DF75" s="144"/>
      <c r="DG75" s="256">
        <f>SUM(DG71:DG74)</f>
        <v>3633866.82</v>
      </c>
      <c r="DH75" s="257"/>
      <c r="DI75" s="256">
        <f>SUM(DI71:DI74)</f>
        <v>42218.50479</v>
      </c>
      <c r="DJ75" s="257"/>
      <c r="DK75" s="256">
        <f t="shared" ref="DK75:DL75" si="370">SUM(DK71:DK74)</f>
        <v>7057.357818</v>
      </c>
      <c r="DL75" s="258">
        <f t="shared" si="370"/>
        <v>35161.14697</v>
      </c>
      <c r="DM75" s="232"/>
      <c r="DN75" s="232"/>
      <c r="DO75" s="232"/>
      <c r="DP75" s="81"/>
      <c r="DQ75" s="255" t="s">
        <v>78</v>
      </c>
      <c r="DR75" s="144"/>
      <c r="DS75" s="256">
        <f>SUM(DS71:DS74)</f>
        <v>3493626.246</v>
      </c>
      <c r="DT75" s="257"/>
      <c r="DU75" s="256">
        <f>SUM(DU71:DU74)</f>
        <v>40589.18053</v>
      </c>
      <c r="DV75" s="257"/>
      <c r="DW75" s="256">
        <f t="shared" ref="DW75:DX75" si="371">SUM(DW71:DW74)</f>
        <v>6784.995631</v>
      </c>
      <c r="DX75" s="258">
        <f t="shared" si="371"/>
        <v>33804.1849</v>
      </c>
      <c r="DY75" s="232"/>
      <c r="DZ75" s="232"/>
      <c r="EA75" s="232"/>
      <c r="EB75" s="81"/>
      <c r="EC75" s="255" t="s">
        <v>78</v>
      </c>
      <c r="ED75" s="144"/>
      <c r="EE75" s="256">
        <f>SUM(EE71:EE74)</f>
        <v>3646227.249</v>
      </c>
      <c r="EF75" s="257"/>
      <c r="EG75" s="256">
        <f>SUM(EG71:EG74)</f>
        <v>42362.10908</v>
      </c>
      <c r="EH75" s="257"/>
      <c r="EI75" s="256">
        <f t="shared" ref="EI75:EJ75" si="372">SUM(EI71:EI74)</f>
        <v>7081.363093</v>
      </c>
      <c r="EJ75" s="258">
        <f t="shared" si="372"/>
        <v>35280.74598</v>
      </c>
      <c r="EK75" s="232"/>
      <c r="EL75" s="232"/>
      <c r="EM75" s="232"/>
      <c r="EN75" s="81"/>
      <c r="EO75" s="255" t="s">
        <v>78</v>
      </c>
      <c r="EP75" s="144"/>
      <c r="EQ75" s="256">
        <f>SUM(EQ71:EQ74)</f>
        <v>3785277.323</v>
      </c>
      <c r="ER75" s="257"/>
      <c r="ES75" s="256">
        <f>SUM(ES71:ES74)</f>
        <v>43977.60202</v>
      </c>
      <c r="ET75" s="257"/>
      <c r="EU75" s="256">
        <f t="shared" ref="EU75:EV75" si="373">SUM(EU71:EU74)</f>
        <v>7351.4132</v>
      </c>
      <c r="EV75" s="258">
        <f t="shared" si="373"/>
        <v>36626.18882</v>
      </c>
      <c r="EW75" s="232"/>
      <c r="EX75" s="232"/>
      <c r="EY75" s="232"/>
      <c r="EZ75" s="81"/>
      <c r="FA75" s="255" t="s">
        <v>78</v>
      </c>
      <c r="FB75" s="144"/>
      <c r="FC75" s="256">
        <f>SUM(FC71:FC74)</f>
        <v>3908601.499</v>
      </c>
      <c r="FD75" s="257"/>
      <c r="FE75" s="256">
        <f>SUM(FE71:FE74)</f>
        <v>45410.39044</v>
      </c>
      <c r="FF75" s="257"/>
      <c r="FG75" s="256">
        <f t="shared" ref="FG75:FH75" si="374">SUM(FG71:FG74)</f>
        <v>7590.921933</v>
      </c>
      <c r="FH75" s="258">
        <f t="shared" si="374"/>
        <v>37819.46851</v>
      </c>
      <c r="FI75" s="232"/>
      <c r="FJ75" s="232"/>
      <c r="FK75" s="232"/>
      <c r="FL75" s="81"/>
      <c r="FM75" s="255" t="s">
        <v>78</v>
      </c>
      <c r="FN75" s="144"/>
      <c r="FO75" s="256">
        <f>SUM(FO71:FO74)</f>
        <v>4166166.663</v>
      </c>
      <c r="FP75" s="257"/>
      <c r="FQ75" s="256">
        <f>SUM(FQ71:FQ74)</f>
        <v>48402.79954</v>
      </c>
      <c r="FR75" s="257"/>
      <c r="FS75" s="256">
        <f t="shared" ref="FS75:FT75" si="375">SUM(FS71:FS74)</f>
        <v>8091.141016</v>
      </c>
      <c r="FT75" s="258">
        <f t="shared" si="375"/>
        <v>40311.65852</v>
      </c>
      <c r="FU75" s="232"/>
      <c r="FV75" s="232"/>
      <c r="FW75" s="232"/>
      <c r="FX75" s="81"/>
      <c r="FY75" s="255" t="s">
        <v>78</v>
      </c>
      <c r="FZ75" s="144"/>
      <c r="GA75" s="256">
        <f>SUM(GA71:GA74)</f>
        <v>4501310.314</v>
      </c>
      <c r="GB75" s="257"/>
      <c r="GC75" s="256">
        <f>SUM(GC71:GC74)</f>
        <v>52296.52061</v>
      </c>
      <c r="GD75" s="257"/>
      <c r="GE75" s="256">
        <f t="shared" ref="GE75:GF75" si="376">SUM(GE71:GE74)</f>
        <v>8742.025811</v>
      </c>
      <c r="GF75" s="258">
        <f t="shared" si="376"/>
        <v>43554.4948</v>
      </c>
      <c r="GG75" s="232"/>
      <c r="GH75" s="232"/>
      <c r="GI75" s="232"/>
      <c r="GJ75" s="81"/>
      <c r="GK75" s="255" t="s">
        <v>78</v>
      </c>
      <c r="GL75" s="144"/>
      <c r="GM75" s="256">
        <f>SUM(GM71:GM74)</f>
        <v>0</v>
      </c>
      <c r="GN75" s="257"/>
      <c r="GO75" s="256">
        <f>SUM(GO71:GO74)</f>
        <v>0</v>
      </c>
      <c r="GP75" s="257"/>
      <c r="GQ75" s="256">
        <f t="shared" ref="GQ75:GR75" si="377">SUM(GQ71:GQ74)</f>
        <v>0</v>
      </c>
      <c r="GR75" s="258">
        <f t="shared" si="377"/>
        <v>0</v>
      </c>
      <c r="GS75" s="232"/>
      <c r="GT75" s="232"/>
      <c r="GU75" s="232"/>
      <c r="GV75" s="81"/>
      <c r="GW75" s="255" t="s">
        <v>78</v>
      </c>
      <c r="GX75" s="144"/>
      <c r="GY75" s="256">
        <f>SUM(GY71:GY74)</f>
        <v>0</v>
      </c>
      <c r="GZ75" s="257"/>
      <c r="HA75" s="256">
        <f>SUM(HA71:HA74)</f>
        <v>0</v>
      </c>
      <c r="HB75" s="257"/>
      <c r="HC75" s="256">
        <f t="shared" ref="HC75:HD75" si="378">SUM(HC71:HC74)</f>
        <v>0</v>
      </c>
      <c r="HD75" s="258">
        <f t="shared" si="378"/>
        <v>0</v>
      </c>
      <c r="HE75" s="232"/>
      <c r="HF75" s="232"/>
      <c r="HG75" s="232"/>
      <c r="HH75" s="81"/>
      <c r="HI75" s="75"/>
    </row>
    <row r="76" ht="15.0" customHeight="1">
      <c r="A76" s="74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81"/>
      <c r="M76" s="74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81"/>
      <c r="Y76" s="74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81"/>
      <c r="AK76" s="74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81"/>
      <c r="AW76" s="74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81"/>
      <c r="BI76" s="74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81"/>
      <c r="BU76" s="74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81"/>
      <c r="CG76" s="74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81"/>
      <c r="CS76" s="74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81"/>
      <c r="DE76" s="74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81"/>
      <c r="DQ76" s="74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81"/>
      <c r="EC76" s="74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81"/>
      <c r="EO76" s="74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81"/>
      <c r="FA76" s="74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81"/>
      <c r="FM76" s="74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81"/>
      <c r="FY76" s="74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81"/>
      <c r="GK76" s="74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81"/>
      <c r="GW76" s="74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81"/>
      <c r="HI76" s="75"/>
    </row>
    <row r="77" ht="15.0" customHeight="1">
      <c r="A77" s="74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81"/>
      <c r="M77" s="74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81"/>
      <c r="Y77" s="74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81"/>
      <c r="AK77" s="74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81"/>
      <c r="AW77" s="74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81"/>
      <c r="BI77" s="74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81"/>
      <c r="BU77" s="74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81"/>
      <c r="CG77" s="74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81"/>
      <c r="CS77" s="74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81"/>
      <c r="DE77" s="74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81"/>
      <c r="DQ77" s="74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81"/>
      <c r="EC77" s="74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81"/>
      <c r="EO77" s="74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81"/>
      <c r="FA77" s="74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81"/>
      <c r="FM77" s="74"/>
      <c r="FN77" s="75"/>
      <c r="FO77" s="75"/>
      <c r="FP77" s="75"/>
      <c r="FQ77" s="75"/>
      <c r="FR77" s="75"/>
      <c r="FS77" s="75"/>
      <c r="FT77" s="75"/>
      <c r="FU77" s="75"/>
      <c r="FV77" s="75"/>
      <c r="FW77" s="75"/>
      <c r="FX77" s="81"/>
      <c r="FY77" s="74"/>
      <c r="FZ77" s="75"/>
      <c r="GA77" s="75"/>
      <c r="GB77" s="75"/>
      <c r="GC77" s="75"/>
      <c r="GD77" s="75"/>
      <c r="GE77" s="75"/>
      <c r="GF77" s="75"/>
      <c r="GG77" s="75"/>
      <c r="GH77" s="75"/>
      <c r="GI77" s="75"/>
      <c r="GJ77" s="81"/>
      <c r="GK77" s="74"/>
      <c r="GL77" s="75"/>
      <c r="GM77" s="75"/>
      <c r="GN77" s="75"/>
      <c r="GO77" s="75"/>
      <c r="GP77" s="75"/>
      <c r="GQ77" s="75"/>
      <c r="GR77" s="75"/>
      <c r="GS77" s="75"/>
      <c r="GT77" s="75"/>
      <c r="GU77" s="75"/>
      <c r="GV77" s="81"/>
      <c r="GW77" s="74"/>
      <c r="GX77" s="75"/>
      <c r="GY77" s="75"/>
      <c r="GZ77" s="75"/>
      <c r="HA77" s="75"/>
      <c r="HB77" s="75"/>
      <c r="HC77" s="75"/>
      <c r="HD77" s="75"/>
      <c r="HE77" s="75"/>
      <c r="HF77" s="75"/>
      <c r="HG77" s="75"/>
      <c r="HH77" s="81"/>
      <c r="HI77" s="75"/>
    </row>
    <row r="78" ht="15.75" customHeight="1">
      <c r="A78" s="259"/>
      <c r="B78" s="260" t="s">
        <v>49</v>
      </c>
      <c r="C78" s="261" t="s">
        <v>50</v>
      </c>
      <c r="D78" s="262"/>
      <c r="E78" s="262"/>
      <c r="F78" s="262"/>
      <c r="G78" s="260" t="s">
        <v>51</v>
      </c>
      <c r="H78" s="262"/>
      <c r="I78" s="263"/>
      <c r="J78" s="264"/>
      <c r="K78" s="88" t="s">
        <v>52</v>
      </c>
      <c r="L78" s="89"/>
      <c r="M78" s="259"/>
      <c r="N78" s="260" t="s">
        <v>49</v>
      </c>
      <c r="O78" s="261" t="s">
        <v>50</v>
      </c>
      <c r="P78" s="262"/>
      <c r="Q78" s="262"/>
      <c r="R78" s="262"/>
      <c r="S78" s="260" t="s">
        <v>51</v>
      </c>
      <c r="T78" s="262"/>
      <c r="U78" s="263"/>
      <c r="V78" s="264"/>
      <c r="W78" s="88" t="s">
        <v>52</v>
      </c>
      <c r="X78" s="89"/>
      <c r="Y78" s="259"/>
      <c r="Z78" s="260" t="s">
        <v>49</v>
      </c>
      <c r="AA78" s="261" t="s">
        <v>50</v>
      </c>
      <c r="AB78" s="262"/>
      <c r="AC78" s="262"/>
      <c r="AD78" s="262"/>
      <c r="AE78" s="260" t="s">
        <v>51</v>
      </c>
      <c r="AF78" s="262"/>
      <c r="AG78" s="263"/>
      <c r="AH78" s="264"/>
      <c r="AI78" s="88" t="s">
        <v>52</v>
      </c>
      <c r="AJ78" s="89"/>
      <c r="AK78" s="259"/>
      <c r="AL78" s="260" t="s">
        <v>49</v>
      </c>
      <c r="AM78" s="261" t="s">
        <v>50</v>
      </c>
      <c r="AN78" s="262"/>
      <c r="AO78" s="262"/>
      <c r="AP78" s="262"/>
      <c r="AQ78" s="260" t="s">
        <v>51</v>
      </c>
      <c r="AR78" s="262"/>
      <c r="AS78" s="263"/>
      <c r="AT78" s="264"/>
      <c r="AU78" s="88" t="s">
        <v>52</v>
      </c>
      <c r="AV78" s="89"/>
      <c r="AW78" s="259"/>
      <c r="AX78" s="260" t="s">
        <v>49</v>
      </c>
      <c r="AY78" s="261" t="s">
        <v>50</v>
      </c>
      <c r="AZ78" s="262"/>
      <c r="BA78" s="262"/>
      <c r="BB78" s="262"/>
      <c r="BC78" s="260" t="s">
        <v>51</v>
      </c>
      <c r="BD78" s="262"/>
      <c r="BE78" s="263"/>
      <c r="BF78" s="264"/>
      <c r="BG78" s="88" t="s">
        <v>52</v>
      </c>
      <c r="BH78" s="89"/>
      <c r="BI78" s="259"/>
      <c r="BJ78" s="260" t="s">
        <v>49</v>
      </c>
      <c r="BK78" s="261" t="s">
        <v>50</v>
      </c>
      <c r="BL78" s="262"/>
      <c r="BM78" s="262"/>
      <c r="BN78" s="262"/>
      <c r="BO78" s="260" t="s">
        <v>51</v>
      </c>
      <c r="BP78" s="262"/>
      <c r="BQ78" s="263"/>
      <c r="BR78" s="264"/>
      <c r="BS78" s="88" t="s">
        <v>52</v>
      </c>
      <c r="BT78" s="89"/>
      <c r="BU78" s="259"/>
      <c r="BV78" s="260" t="s">
        <v>49</v>
      </c>
      <c r="BW78" s="261" t="s">
        <v>50</v>
      </c>
      <c r="BX78" s="262"/>
      <c r="BY78" s="262"/>
      <c r="BZ78" s="262"/>
      <c r="CA78" s="260" t="s">
        <v>51</v>
      </c>
      <c r="CB78" s="262"/>
      <c r="CC78" s="263"/>
      <c r="CD78" s="264"/>
      <c r="CE78" s="88" t="s">
        <v>52</v>
      </c>
      <c r="CF78" s="89"/>
      <c r="CG78" s="259"/>
      <c r="CH78" s="260" t="s">
        <v>49</v>
      </c>
      <c r="CI78" s="261" t="s">
        <v>50</v>
      </c>
      <c r="CJ78" s="262"/>
      <c r="CK78" s="262"/>
      <c r="CL78" s="262"/>
      <c r="CM78" s="260" t="s">
        <v>51</v>
      </c>
      <c r="CN78" s="262"/>
      <c r="CO78" s="263"/>
      <c r="CP78" s="264"/>
      <c r="CQ78" s="88" t="s">
        <v>52</v>
      </c>
      <c r="CR78" s="89"/>
      <c r="CS78" s="259"/>
      <c r="CT78" s="260" t="s">
        <v>49</v>
      </c>
      <c r="CU78" s="261" t="s">
        <v>50</v>
      </c>
      <c r="CV78" s="262"/>
      <c r="CW78" s="262"/>
      <c r="CX78" s="262"/>
      <c r="CY78" s="260" t="s">
        <v>51</v>
      </c>
      <c r="CZ78" s="262"/>
      <c r="DA78" s="263"/>
      <c r="DB78" s="264"/>
      <c r="DC78" s="88" t="s">
        <v>52</v>
      </c>
      <c r="DD78" s="89"/>
      <c r="DE78" s="259"/>
      <c r="DF78" s="260" t="s">
        <v>49</v>
      </c>
      <c r="DG78" s="261" t="s">
        <v>50</v>
      </c>
      <c r="DH78" s="262"/>
      <c r="DI78" s="262"/>
      <c r="DJ78" s="262"/>
      <c r="DK78" s="260" t="s">
        <v>51</v>
      </c>
      <c r="DL78" s="262"/>
      <c r="DM78" s="263"/>
      <c r="DN78" s="264"/>
      <c r="DO78" s="88" t="s">
        <v>52</v>
      </c>
      <c r="DP78" s="89"/>
      <c r="DQ78" s="259"/>
      <c r="DR78" s="260" t="s">
        <v>49</v>
      </c>
      <c r="DS78" s="261" t="s">
        <v>50</v>
      </c>
      <c r="DT78" s="262"/>
      <c r="DU78" s="262"/>
      <c r="DV78" s="262"/>
      <c r="DW78" s="260" t="s">
        <v>51</v>
      </c>
      <c r="DX78" s="262"/>
      <c r="DY78" s="263"/>
      <c r="DZ78" s="264"/>
      <c r="EA78" s="88" t="s">
        <v>52</v>
      </c>
      <c r="EB78" s="89"/>
      <c r="EC78" s="259"/>
      <c r="ED78" s="260" t="s">
        <v>49</v>
      </c>
      <c r="EE78" s="261" t="s">
        <v>50</v>
      </c>
      <c r="EF78" s="262"/>
      <c r="EG78" s="262"/>
      <c r="EH78" s="262"/>
      <c r="EI78" s="260" t="s">
        <v>51</v>
      </c>
      <c r="EJ78" s="262"/>
      <c r="EK78" s="263"/>
      <c r="EL78" s="264"/>
      <c r="EM78" s="88" t="s">
        <v>52</v>
      </c>
      <c r="EN78" s="89"/>
      <c r="EO78" s="259"/>
      <c r="EP78" s="260" t="s">
        <v>49</v>
      </c>
      <c r="EQ78" s="261" t="s">
        <v>50</v>
      </c>
      <c r="ER78" s="262"/>
      <c r="ES78" s="262"/>
      <c r="ET78" s="262"/>
      <c r="EU78" s="260" t="s">
        <v>51</v>
      </c>
      <c r="EV78" s="262"/>
      <c r="EW78" s="263"/>
      <c r="EX78" s="264"/>
      <c r="EY78" s="88" t="s">
        <v>52</v>
      </c>
      <c r="EZ78" s="89"/>
      <c r="FA78" s="259"/>
      <c r="FB78" s="260" t="s">
        <v>49</v>
      </c>
      <c r="FC78" s="261" t="s">
        <v>50</v>
      </c>
      <c r="FD78" s="262"/>
      <c r="FE78" s="262"/>
      <c r="FF78" s="262"/>
      <c r="FG78" s="260" t="s">
        <v>51</v>
      </c>
      <c r="FH78" s="262"/>
      <c r="FI78" s="263"/>
      <c r="FJ78" s="264"/>
      <c r="FK78" s="88" t="s">
        <v>52</v>
      </c>
      <c r="FL78" s="89"/>
      <c r="FM78" s="259"/>
      <c r="FN78" s="260" t="s">
        <v>49</v>
      </c>
      <c r="FO78" s="261" t="s">
        <v>50</v>
      </c>
      <c r="FP78" s="262"/>
      <c r="FQ78" s="262"/>
      <c r="FR78" s="262"/>
      <c r="FS78" s="260" t="s">
        <v>51</v>
      </c>
      <c r="FT78" s="262"/>
      <c r="FU78" s="263"/>
      <c r="FV78" s="264"/>
      <c r="FW78" s="88" t="s">
        <v>52</v>
      </c>
      <c r="FX78" s="89"/>
      <c r="FY78" s="259"/>
      <c r="FZ78" s="260" t="s">
        <v>49</v>
      </c>
      <c r="GA78" s="261" t="s">
        <v>50</v>
      </c>
      <c r="GB78" s="262"/>
      <c r="GC78" s="262"/>
      <c r="GD78" s="262"/>
      <c r="GE78" s="260" t="s">
        <v>51</v>
      </c>
      <c r="GF78" s="262"/>
      <c r="GG78" s="263"/>
      <c r="GH78" s="264"/>
      <c r="GI78" s="88" t="s">
        <v>52</v>
      </c>
      <c r="GJ78" s="89"/>
      <c r="GK78" s="259"/>
      <c r="GL78" s="260" t="s">
        <v>49</v>
      </c>
      <c r="GM78" s="261" t="s">
        <v>50</v>
      </c>
      <c r="GN78" s="262"/>
      <c r="GO78" s="262"/>
      <c r="GP78" s="262"/>
      <c r="GQ78" s="260" t="s">
        <v>51</v>
      </c>
      <c r="GR78" s="262"/>
      <c r="GS78" s="263"/>
      <c r="GT78" s="264"/>
      <c r="GU78" s="88" t="s">
        <v>52</v>
      </c>
      <c r="GV78" s="89"/>
      <c r="GW78" s="259"/>
      <c r="GX78" s="260" t="s">
        <v>49</v>
      </c>
      <c r="GY78" s="261" t="s">
        <v>50</v>
      </c>
      <c r="GZ78" s="262"/>
      <c r="HA78" s="262"/>
      <c r="HB78" s="262"/>
      <c r="HC78" s="260" t="s">
        <v>51</v>
      </c>
      <c r="HD78" s="262"/>
      <c r="HE78" s="263"/>
      <c r="HF78" s="264"/>
      <c r="HG78" s="88" t="s">
        <v>52</v>
      </c>
      <c r="HH78" s="89"/>
      <c r="HI78" s="87"/>
    </row>
    <row r="79" ht="15.75" customHeight="1">
      <c r="A79" s="265"/>
      <c r="B79" s="266" t="s">
        <v>23</v>
      </c>
      <c r="C79" s="267" t="s">
        <v>53</v>
      </c>
      <c r="D79" s="267"/>
      <c r="E79" s="267"/>
      <c r="F79" s="267"/>
      <c r="G79" s="266" t="s">
        <v>54</v>
      </c>
      <c r="H79" s="267"/>
      <c r="I79" s="268"/>
      <c r="J79" s="264"/>
      <c r="K79" s="94"/>
      <c r="L79" s="89"/>
      <c r="M79" s="265"/>
      <c r="N79" s="266" t="s">
        <v>23</v>
      </c>
      <c r="O79" s="267" t="s">
        <v>53</v>
      </c>
      <c r="P79" s="267"/>
      <c r="Q79" s="267"/>
      <c r="R79" s="267"/>
      <c r="S79" s="266" t="s">
        <v>54</v>
      </c>
      <c r="T79" s="267"/>
      <c r="U79" s="268"/>
      <c r="V79" s="264"/>
      <c r="W79" s="94"/>
      <c r="X79" s="89"/>
      <c r="Y79" s="265"/>
      <c r="Z79" s="266" t="s">
        <v>23</v>
      </c>
      <c r="AA79" s="267" t="s">
        <v>53</v>
      </c>
      <c r="AB79" s="267"/>
      <c r="AC79" s="267"/>
      <c r="AD79" s="267"/>
      <c r="AE79" s="266" t="s">
        <v>54</v>
      </c>
      <c r="AF79" s="267"/>
      <c r="AG79" s="268"/>
      <c r="AH79" s="264"/>
      <c r="AI79" s="94"/>
      <c r="AJ79" s="89"/>
      <c r="AK79" s="265"/>
      <c r="AL79" s="266" t="s">
        <v>23</v>
      </c>
      <c r="AM79" s="267" t="s">
        <v>53</v>
      </c>
      <c r="AN79" s="267"/>
      <c r="AO79" s="267"/>
      <c r="AP79" s="267"/>
      <c r="AQ79" s="266" t="s">
        <v>54</v>
      </c>
      <c r="AR79" s="267"/>
      <c r="AS79" s="268"/>
      <c r="AT79" s="264"/>
      <c r="AU79" s="94"/>
      <c r="AV79" s="89"/>
      <c r="AW79" s="265"/>
      <c r="AX79" s="266" t="s">
        <v>23</v>
      </c>
      <c r="AY79" s="267" t="s">
        <v>53</v>
      </c>
      <c r="AZ79" s="267"/>
      <c r="BA79" s="267"/>
      <c r="BB79" s="267"/>
      <c r="BC79" s="266" t="s">
        <v>54</v>
      </c>
      <c r="BD79" s="267"/>
      <c r="BE79" s="268"/>
      <c r="BF79" s="264"/>
      <c r="BG79" s="94"/>
      <c r="BH79" s="89"/>
      <c r="BI79" s="265"/>
      <c r="BJ79" s="266" t="s">
        <v>23</v>
      </c>
      <c r="BK79" s="267" t="s">
        <v>53</v>
      </c>
      <c r="BL79" s="267"/>
      <c r="BM79" s="267"/>
      <c r="BN79" s="267"/>
      <c r="BO79" s="266" t="s">
        <v>54</v>
      </c>
      <c r="BP79" s="267"/>
      <c r="BQ79" s="268"/>
      <c r="BR79" s="264"/>
      <c r="BS79" s="94"/>
      <c r="BT79" s="89"/>
      <c r="BU79" s="265"/>
      <c r="BV79" s="266" t="s">
        <v>23</v>
      </c>
      <c r="BW79" s="267" t="s">
        <v>53</v>
      </c>
      <c r="BX79" s="267"/>
      <c r="BY79" s="267"/>
      <c r="BZ79" s="267"/>
      <c r="CA79" s="266" t="s">
        <v>54</v>
      </c>
      <c r="CB79" s="267"/>
      <c r="CC79" s="268"/>
      <c r="CD79" s="264"/>
      <c r="CE79" s="94"/>
      <c r="CF79" s="89"/>
      <c r="CG79" s="265"/>
      <c r="CH79" s="266" t="s">
        <v>23</v>
      </c>
      <c r="CI79" s="267" t="s">
        <v>53</v>
      </c>
      <c r="CJ79" s="267"/>
      <c r="CK79" s="267"/>
      <c r="CL79" s="267"/>
      <c r="CM79" s="266" t="s">
        <v>54</v>
      </c>
      <c r="CN79" s="267"/>
      <c r="CO79" s="268"/>
      <c r="CP79" s="264"/>
      <c r="CQ79" s="94"/>
      <c r="CR79" s="89"/>
      <c r="CS79" s="265"/>
      <c r="CT79" s="266" t="s">
        <v>23</v>
      </c>
      <c r="CU79" s="267" t="s">
        <v>53</v>
      </c>
      <c r="CV79" s="267"/>
      <c r="CW79" s="267"/>
      <c r="CX79" s="267"/>
      <c r="CY79" s="266" t="s">
        <v>54</v>
      </c>
      <c r="CZ79" s="267"/>
      <c r="DA79" s="268"/>
      <c r="DB79" s="264"/>
      <c r="DC79" s="94"/>
      <c r="DD79" s="89"/>
      <c r="DE79" s="265"/>
      <c r="DF79" s="266" t="s">
        <v>23</v>
      </c>
      <c r="DG79" s="267" t="s">
        <v>53</v>
      </c>
      <c r="DH79" s="267"/>
      <c r="DI79" s="267"/>
      <c r="DJ79" s="267"/>
      <c r="DK79" s="266" t="s">
        <v>54</v>
      </c>
      <c r="DL79" s="267"/>
      <c r="DM79" s="268"/>
      <c r="DN79" s="264"/>
      <c r="DO79" s="94"/>
      <c r="DP79" s="89"/>
      <c r="DQ79" s="265"/>
      <c r="DR79" s="266" t="s">
        <v>23</v>
      </c>
      <c r="DS79" s="267" t="s">
        <v>53</v>
      </c>
      <c r="DT79" s="267"/>
      <c r="DU79" s="267"/>
      <c r="DV79" s="267"/>
      <c r="DW79" s="266" t="s">
        <v>54</v>
      </c>
      <c r="DX79" s="267"/>
      <c r="DY79" s="268"/>
      <c r="DZ79" s="264"/>
      <c r="EA79" s="94"/>
      <c r="EB79" s="89"/>
      <c r="EC79" s="265"/>
      <c r="ED79" s="266" t="s">
        <v>23</v>
      </c>
      <c r="EE79" s="267" t="s">
        <v>53</v>
      </c>
      <c r="EF79" s="267"/>
      <c r="EG79" s="267"/>
      <c r="EH79" s="267"/>
      <c r="EI79" s="266" t="s">
        <v>54</v>
      </c>
      <c r="EJ79" s="267"/>
      <c r="EK79" s="268"/>
      <c r="EL79" s="264"/>
      <c r="EM79" s="94"/>
      <c r="EN79" s="89"/>
      <c r="EO79" s="265"/>
      <c r="EP79" s="266" t="s">
        <v>23</v>
      </c>
      <c r="EQ79" s="267" t="s">
        <v>53</v>
      </c>
      <c r="ER79" s="267"/>
      <c r="ES79" s="267"/>
      <c r="ET79" s="267"/>
      <c r="EU79" s="266" t="s">
        <v>54</v>
      </c>
      <c r="EV79" s="267"/>
      <c r="EW79" s="268"/>
      <c r="EX79" s="264"/>
      <c r="EY79" s="94"/>
      <c r="EZ79" s="89"/>
      <c r="FA79" s="265"/>
      <c r="FB79" s="266" t="s">
        <v>23</v>
      </c>
      <c r="FC79" s="267" t="s">
        <v>53</v>
      </c>
      <c r="FD79" s="267"/>
      <c r="FE79" s="267"/>
      <c r="FF79" s="267"/>
      <c r="FG79" s="266" t="s">
        <v>54</v>
      </c>
      <c r="FH79" s="267"/>
      <c r="FI79" s="268"/>
      <c r="FJ79" s="264"/>
      <c r="FK79" s="94"/>
      <c r="FL79" s="89"/>
      <c r="FM79" s="265"/>
      <c r="FN79" s="266" t="s">
        <v>23</v>
      </c>
      <c r="FO79" s="267" t="s">
        <v>53</v>
      </c>
      <c r="FP79" s="267"/>
      <c r="FQ79" s="267"/>
      <c r="FR79" s="267"/>
      <c r="FS79" s="266" t="s">
        <v>54</v>
      </c>
      <c r="FT79" s="267"/>
      <c r="FU79" s="268"/>
      <c r="FV79" s="264"/>
      <c r="FW79" s="94"/>
      <c r="FX79" s="89"/>
      <c r="FY79" s="265"/>
      <c r="FZ79" s="266" t="s">
        <v>23</v>
      </c>
      <c r="GA79" s="267" t="s">
        <v>53</v>
      </c>
      <c r="GB79" s="267"/>
      <c r="GC79" s="267"/>
      <c r="GD79" s="267"/>
      <c r="GE79" s="266" t="s">
        <v>54</v>
      </c>
      <c r="GF79" s="267"/>
      <c r="GG79" s="268"/>
      <c r="GH79" s="264"/>
      <c r="GI79" s="94"/>
      <c r="GJ79" s="89"/>
      <c r="GK79" s="265"/>
      <c r="GL79" s="266" t="s">
        <v>23</v>
      </c>
      <c r="GM79" s="267" t="s">
        <v>53</v>
      </c>
      <c r="GN79" s="267"/>
      <c r="GO79" s="267"/>
      <c r="GP79" s="267"/>
      <c r="GQ79" s="266" t="s">
        <v>54</v>
      </c>
      <c r="GR79" s="267"/>
      <c r="GS79" s="268"/>
      <c r="GT79" s="264"/>
      <c r="GU79" s="94"/>
      <c r="GV79" s="89"/>
      <c r="GW79" s="265"/>
      <c r="GX79" s="266" t="s">
        <v>23</v>
      </c>
      <c r="GY79" s="267" t="s">
        <v>53</v>
      </c>
      <c r="GZ79" s="267"/>
      <c r="HA79" s="267"/>
      <c r="HB79" s="267"/>
      <c r="HC79" s="266" t="s">
        <v>54</v>
      </c>
      <c r="HD79" s="267"/>
      <c r="HE79" s="268"/>
      <c r="HF79" s="264"/>
      <c r="HG79" s="94"/>
      <c r="HH79" s="89"/>
      <c r="HI79" s="87"/>
    </row>
    <row r="80" ht="15.0" customHeight="1">
      <c r="A80" s="265"/>
      <c r="B80" s="266" t="s">
        <v>55</v>
      </c>
      <c r="C80" s="267" t="s">
        <v>56</v>
      </c>
      <c r="D80" s="267"/>
      <c r="E80" s="267"/>
      <c r="F80" s="267"/>
      <c r="G80" s="266" t="s">
        <v>57</v>
      </c>
      <c r="H80" s="267"/>
      <c r="I80" s="268"/>
      <c r="J80" s="264"/>
      <c r="K80" s="95" t="str">
        <f>"III/"&amp;K$6</f>
        <v>III/2010</v>
      </c>
      <c r="L80" s="89"/>
      <c r="M80" s="265"/>
      <c r="N80" s="266" t="s">
        <v>55</v>
      </c>
      <c r="O80" s="267" t="s">
        <v>56</v>
      </c>
      <c r="P80" s="267"/>
      <c r="Q80" s="267"/>
      <c r="R80" s="267"/>
      <c r="S80" s="266" t="s">
        <v>57</v>
      </c>
      <c r="T80" s="267"/>
      <c r="U80" s="268"/>
      <c r="V80" s="264"/>
      <c r="W80" s="95" t="str">
        <f>"III/"&amp;W$6</f>
        <v>III/2011</v>
      </c>
      <c r="X80" s="89"/>
      <c r="Y80" s="265"/>
      <c r="Z80" s="266" t="s">
        <v>55</v>
      </c>
      <c r="AA80" s="267" t="s">
        <v>56</v>
      </c>
      <c r="AB80" s="267"/>
      <c r="AC80" s="267"/>
      <c r="AD80" s="267"/>
      <c r="AE80" s="266" t="s">
        <v>57</v>
      </c>
      <c r="AF80" s="267"/>
      <c r="AG80" s="268"/>
      <c r="AH80" s="264"/>
      <c r="AI80" s="95" t="str">
        <f>"III/"&amp;AI$6</f>
        <v>III/2012</v>
      </c>
      <c r="AJ80" s="89"/>
      <c r="AK80" s="265"/>
      <c r="AL80" s="266" t="s">
        <v>55</v>
      </c>
      <c r="AM80" s="267" t="s">
        <v>56</v>
      </c>
      <c r="AN80" s="267"/>
      <c r="AO80" s="267"/>
      <c r="AP80" s="267"/>
      <c r="AQ80" s="266" t="s">
        <v>57</v>
      </c>
      <c r="AR80" s="267"/>
      <c r="AS80" s="268"/>
      <c r="AT80" s="264"/>
      <c r="AU80" s="95" t="str">
        <f>"III/"&amp;AU$6</f>
        <v>III/2013</v>
      </c>
      <c r="AV80" s="89"/>
      <c r="AW80" s="265"/>
      <c r="AX80" s="266" t="s">
        <v>55</v>
      </c>
      <c r="AY80" s="267" t="s">
        <v>56</v>
      </c>
      <c r="AZ80" s="267"/>
      <c r="BA80" s="267"/>
      <c r="BB80" s="267"/>
      <c r="BC80" s="266" t="s">
        <v>57</v>
      </c>
      <c r="BD80" s="267"/>
      <c r="BE80" s="268"/>
      <c r="BF80" s="264"/>
      <c r="BG80" s="95" t="str">
        <f>"III/"&amp;BG$6</f>
        <v>III/2014</v>
      </c>
      <c r="BH80" s="89"/>
      <c r="BI80" s="265"/>
      <c r="BJ80" s="266" t="s">
        <v>55</v>
      </c>
      <c r="BK80" s="267" t="s">
        <v>56</v>
      </c>
      <c r="BL80" s="267"/>
      <c r="BM80" s="267"/>
      <c r="BN80" s="267"/>
      <c r="BO80" s="266" t="s">
        <v>57</v>
      </c>
      <c r="BP80" s="267"/>
      <c r="BQ80" s="268"/>
      <c r="BR80" s="264"/>
      <c r="BS80" s="95" t="str">
        <f>"III/"&amp;BS$6</f>
        <v>III/2015</v>
      </c>
      <c r="BT80" s="89"/>
      <c r="BU80" s="265"/>
      <c r="BV80" s="266" t="s">
        <v>55</v>
      </c>
      <c r="BW80" s="267" t="s">
        <v>56</v>
      </c>
      <c r="BX80" s="267"/>
      <c r="BY80" s="267"/>
      <c r="BZ80" s="267"/>
      <c r="CA80" s="266" t="s">
        <v>57</v>
      </c>
      <c r="CB80" s="267"/>
      <c r="CC80" s="268"/>
      <c r="CD80" s="264"/>
      <c r="CE80" s="95" t="str">
        <f>"III/"&amp;CE$6</f>
        <v>III/2016</v>
      </c>
      <c r="CF80" s="89"/>
      <c r="CG80" s="265"/>
      <c r="CH80" s="266" t="s">
        <v>55</v>
      </c>
      <c r="CI80" s="267" t="s">
        <v>56</v>
      </c>
      <c r="CJ80" s="267"/>
      <c r="CK80" s="267"/>
      <c r="CL80" s="267"/>
      <c r="CM80" s="266" t="s">
        <v>57</v>
      </c>
      <c r="CN80" s="267"/>
      <c r="CO80" s="268"/>
      <c r="CP80" s="264"/>
      <c r="CQ80" s="95" t="str">
        <f>"III/"&amp;CQ$6</f>
        <v>III/2017</v>
      </c>
      <c r="CR80" s="89"/>
      <c r="CS80" s="265"/>
      <c r="CT80" s="266" t="s">
        <v>55</v>
      </c>
      <c r="CU80" s="267" t="s">
        <v>56</v>
      </c>
      <c r="CV80" s="267"/>
      <c r="CW80" s="267"/>
      <c r="CX80" s="267"/>
      <c r="CY80" s="266" t="s">
        <v>57</v>
      </c>
      <c r="CZ80" s="267"/>
      <c r="DA80" s="268"/>
      <c r="DB80" s="264"/>
      <c r="DC80" s="95" t="str">
        <f>"III/"&amp;DC$6</f>
        <v>III/2018</v>
      </c>
      <c r="DD80" s="89"/>
      <c r="DE80" s="265"/>
      <c r="DF80" s="266" t="s">
        <v>55</v>
      </c>
      <c r="DG80" s="267" t="s">
        <v>56</v>
      </c>
      <c r="DH80" s="267"/>
      <c r="DI80" s="267"/>
      <c r="DJ80" s="267"/>
      <c r="DK80" s="266" t="s">
        <v>57</v>
      </c>
      <c r="DL80" s="267"/>
      <c r="DM80" s="268"/>
      <c r="DN80" s="264"/>
      <c r="DO80" s="95" t="str">
        <f>"III/"&amp;DO$6</f>
        <v>III/2019</v>
      </c>
      <c r="DP80" s="89"/>
      <c r="DQ80" s="265"/>
      <c r="DR80" s="266" t="s">
        <v>55</v>
      </c>
      <c r="DS80" s="267" t="s">
        <v>56</v>
      </c>
      <c r="DT80" s="267"/>
      <c r="DU80" s="267"/>
      <c r="DV80" s="267"/>
      <c r="DW80" s="266" t="s">
        <v>57</v>
      </c>
      <c r="DX80" s="267"/>
      <c r="DY80" s="268"/>
      <c r="DZ80" s="264"/>
      <c r="EA80" s="95" t="str">
        <f>"III/"&amp;EA$6</f>
        <v>III/2020</v>
      </c>
      <c r="EB80" s="89"/>
      <c r="EC80" s="265"/>
      <c r="ED80" s="266" t="s">
        <v>55</v>
      </c>
      <c r="EE80" s="267" t="s">
        <v>56</v>
      </c>
      <c r="EF80" s="267"/>
      <c r="EG80" s="267"/>
      <c r="EH80" s="267"/>
      <c r="EI80" s="266" t="s">
        <v>57</v>
      </c>
      <c r="EJ80" s="267"/>
      <c r="EK80" s="268"/>
      <c r="EL80" s="264"/>
      <c r="EM80" s="95" t="str">
        <f>"III/"&amp;EM$6</f>
        <v>III/2021</v>
      </c>
      <c r="EN80" s="89"/>
      <c r="EO80" s="265"/>
      <c r="EP80" s="266" t="s">
        <v>55</v>
      </c>
      <c r="EQ80" s="267" t="s">
        <v>56</v>
      </c>
      <c r="ER80" s="267"/>
      <c r="ES80" s="267"/>
      <c r="ET80" s="267"/>
      <c r="EU80" s="266" t="s">
        <v>57</v>
      </c>
      <c r="EV80" s="267"/>
      <c r="EW80" s="268"/>
      <c r="EX80" s="264"/>
      <c r="EY80" s="95" t="str">
        <f>"III/"&amp;EY$6</f>
        <v>III/2022</v>
      </c>
      <c r="EZ80" s="89"/>
      <c r="FA80" s="265"/>
      <c r="FB80" s="266" t="s">
        <v>55</v>
      </c>
      <c r="FC80" s="267" t="s">
        <v>56</v>
      </c>
      <c r="FD80" s="267"/>
      <c r="FE80" s="267"/>
      <c r="FF80" s="267"/>
      <c r="FG80" s="266" t="s">
        <v>57</v>
      </c>
      <c r="FH80" s="267"/>
      <c r="FI80" s="268"/>
      <c r="FJ80" s="264"/>
      <c r="FK80" s="95" t="str">
        <f>"III/"&amp;FK$6</f>
        <v>III/2023</v>
      </c>
      <c r="FL80" s="89"/>
      <c r="FM80" s="265"/>
      <c r="FN80" s="266" t="s">
        <v>55</v>
      </c>
      <c r="FO80" s="267" t="s">
        <v>56</v>
      </c>
      <c r="FP80" s="267"/>
      <c r="FQ80" s="267"/>
      <c r="FR80" s="267"/>
      <c r="FS80" s="266" t="s">
        <v>57</v>
      </c>
      <c r="FT80" s="267"/>
      <c r="FU80" s="268"/>
      <c r="FV80" s="264"/>
      <c r="FW80" s="95" t="str">
        <f>"III/"&amp;FW$6</f>
        <v>III/2024</v>
      </c>
      <c r="FX80" s="89"/>
      <c r="FY80" s="265"/>
      <c r="FZ80" s="266" t="s">
        <v>55</v>
      </c>
      <c r="GA80" s="267" t="s">
        <v>56</v>
      </c>
      <c r="GB80" s="267"/>
      <c r="GC80" s="267"/>
      <c r="GD80" s="267"/>
      <c r="GE80" s="266" t="s">
        <v>57</v>
      </c>
      <c r="GF80" s="267"/>
      <c r="GG80" s="268"/>
      <c r="GH80" s="264"/>
      <c r="GI80" s="95" t="str">
        <f>"III/"&amp;GI$6</f>
        <v>III/2025</v>
      </c>
      <c r="GJ80" s="89"/>
      <c r="GK80" s="265"/>
      <c r="GL80" s="266" t="s">
        <v>55</v>
      </c>
      <c r="GM80" s="267" t="s">
        <v>56</v>
      </c>
      <c r="GN80" s="267"/>
      <c r="GO80" s="267"/>
      <c r="GP80" s="267"/>
      <c r="GQ80" s="266" t="s">
        <v>57</v>
      </c>
      <c r="GR80" s="267"/>
      <c r="GS80" s="268"/>
      <c r="GT80" s="264"/>
      <c r="GU80" s="95" t="str">
        <f>"III/"&amp;GU$6</f>
        <v>III/2026</v>
      </c>
      <c r="GV80" s="89"/>
      <c r="GW80" s="265"/>
      <c r="GX80" s="266" t="s">
        <v>55</v>
      </c>
      <c r="GY80" s="267" t="s">
        <v>56</v>
      </c>
      <c r="GZ80" s="267"/>
      <c r="HA80" s="267"/>
      <c r="HB80" s="267"/>
      <c r="HC80" s="266" t="s">
        <v>57</v>
      </c>
      <c r="HD80" s="267"/>
      <c r="HE80" s="268"/>
      <c r="HF80" s="264"/>
      <c r="HG80" s="95" t="str">
        <f>"III/"&amp;HG$6</f>
        <v>III/2027</v>
      </c>
      <c r="HH80" s="89"/>
      <c r="HI80" s="87"/>
    </row>
    <row r="81" ht="15.0" customHeight="1">
      <c r="A81" s="265"/>
      <c r="B81" s="266" t="s">
        <v>58</v>
      </c>
      <c r="C81" s="267" t="s">
        <v>59</v>
      </c>
      <c r="D81" s="267"/>
      <c r="E81" s="267"/>
      <c r="F81" s="267"/>
      <c r="G81" s="269" t="s">
        <v>81</v>
      </c>
      <c r="H81" s="267"/>
      <c r="I81" s="268"/>
      <c r="J81" s="264"/>
      <c r="K81" s="94"/>
      <c r="L81" s="89"/>
      <c r="M81" s="265"/>
      <c r="N81" s="266" t="s">
        <v>58</v>
      </c>
      <c r="O81" s="267" t="s">
        <v>59</v>
      </c>
      <c r="P81" s="267"/>
      <c r="Q81" s="267"/>
      <c r="R81" s="267"/>
      <c r="S81" s="269" t="s">
        <v>81</v>
      </c>
      <c r="T81" s="267"/>
      <c r="U81" s="268"/>
      <c r="V81" s="264"/>
      <c r="W81" s="94"/>
      <c r="X81" s="89"/>
      <c r="Y81" s="265"/>
      <c r="Z81" s="266" t="s">
        <v>58</v>
      </c>
      <c r="AA81" s="267" t="s">
        <v>59</v>
      </c>
      <c r="AB81" s="267"/>
      <c r="AC81" s="267"/>
      <c r="AD81" s="267"/>
      <c r="AE81" s="269" t="s">
        <v>81</v>
      </c>
      <c r="AF81" s="267"/>
      <c r="AG81" s="268"/>
      <c r="AH81" s="264"/>
      <c r="AI81" s="94"/>
      <c r="AJ81" s="89"/>
      <c r="AK81" s="265"/>
      <c r="AL81" s="266" t="s">
        <v>58</v>
      </c>
      <c r="AM81" s="267" t="s">
        <v>59</v>
      </c>
      <c r="AN81" s="267"/>
      <c r="AO81" s="267"/>
      <c r="AP81" s="267"/>
      <c r="AQ81" s="269" t="s">
        <v>81</v>
      </c>
      <c r="AR81" s="267"/>
      <c r="AS81" s="268"/>
      <c r="AT81" s="264"/>
      <c r="AU81" s="94"/>
      <c r="AV81" s="89"/>
      <c r="AW81" s="265"/>
      <c r="AX81" s="266" t="s">
        <v>58</v>
      </c>
      <c r="AY81" s="267" t="s">
        <v>59</v>
      </c>
      <c r="AZ81" s="267"/>
      <c r="BA81" s="267"/>
      <c r="BB81" s="267"/>
      <c r="BC81" s="269" t="s">
        <v>81</v>
      </c>
      <c r="BD81" s="267"/>
      <c r="BE81" s="268"/>
      <c r="BF81" s="264"/>
      <c r="BG81" s="94"/>
      <c r="BH81" s="89"/>
      <c r="BI81" s="265"/>
      <c r="BJ81" s="266" t="s">
        <v>58</v>
      </c>
      <c r="BK81" s="267" t="s">
        <v>59</v>
      </c>
      <c r="BL81" s="267"/>
      <c r="BM81" s="267"/>
      <c r="BN81" s="267"/>
      <c r="BO81" s="269" t="s">
        <v>81</v>
      </c>
      <c r="BP81" s="267"/>
      <c r="BQ81" s="268"/>
      <c r="BR81" s="264"/>
      <c r="BS81" s="94"/>
      <c r="BT81" s="89"/>
      <c r="BU81" s="265"/>
      <c r="BV81" s="266" t="s">
        <v>58</v>
      </c>
      <c r="BW81" s="267" t="s">
        <v>59</v>
      </c>
      <c r="BX81" s="267"/>
      <c r="BY81" s="267"/>
      <c r="BZ81" s="267"/>
      <c r="CA81" s="269" t="s">
        <v>81</v>
      </c>
      <c r="CB81" s="267"/>
      <c r="CC81" s="268"/>
      <c r="CD81" s="264"/>
      <c r="CE81" s="94"/>
      <c r="CF81" s="89"/>
      <c r="CG81" s="265"/>
      <c r="CH81" s="266" t="s">
        <v>58</v>
      </c>
      <c r="CI81" s="267" t="s">
        <v>59</v>
      </c>
      <c r="CJ81" s="267"/>
      <c r="CK81" s="267"/>
      <c r="CL81" s="267"/>
      <c r="CM81" s="269" t="s">
        <v>81</v>
      </c>
      <c r="CN81" s="267"/>
      <c r="CO81" s="268"/>
      <c r="CP81" s="264"/>
      <c r="CQ81" s="94"/>
      <c r="CR81" s="89"/>
      <c r="CS81" s="265"/>
      <c r="CT81" s="266" t="s">
        <v>58</v>
      </c>
      <c r="CU81" s="267" t="s">
        <v>59</v>
      </c>
      <c r="CV81" s="267"/>
      <c r="CW81" s="267"/>
      <c r="CX81" s="267"/>
      <c r="CY81" s="269" t="s">
        <v>81</v>
      </c>
      <c r="CZ81" s="267"/>
      <c r="DA81" s="268"/>
      <c r="DB81" s="264"/>
      <c r="DC81" s="94"/>
      <c r="DD81" s="89"/>
      <c r="DE81" s="265"/>
      <c r="DF81" s="266" t="s">
        <v>58</v>
      </c>
      <c r="DG81" s="267" t="s">
        <v>59</v>
      </c>
      <c r="DH81" s="267"/>
      <c r="DI81" s="267"/>
      <c r="DJ81" s="267"/>
      <c r="DK81" s="269" t="s">
        <v>81</v>
      </c>
      <c r="DL81" s="267"/>
      <c r="DM81" s="268"/>
      <c r="DN81" s="264"/>
      <c r="DO81" s="94"/>
      <c r="DP81" s="89"/>
      <c r="DQ81" s="265"/>
      <c r="DR81" s="266" t="s">
        <v>58</v>
      </c>
      <c r="DS81" s="267" t="s">
        <v>59</v>
      </c>
      <c r="DT81" s="267"/>
      <c r="DU81" s="267"/>
      <c r="DV81" s="267"/>
      <c r="DW81" s="269" t="s">
        <v>81</v>
      </c>
      <c r="DX81" s="267"/>
      <c r="DY81" s="268"/>
      <c r="DZ81" s="264"/>
      <c r="EA81" s="94"/>
      <c r="EB81" s="89"/>
      <c r="EC81" s="265"/>
      <c r="ED81" s="266" t="s">
        <v>58</v>
      </c>
      <c r="EE81" s="267" t="s">
        <v>59</v>
      </c>
      <c r="EF81" s="267"/>
      <c r="EG81" s="267"/>
      <c r="EH81" s="267"/>
      <c r="EI81" s="269" t="s">
        <v>81</v>
      </c>
      <c r="EJ81" s="267"/>
      <c r="EK81" s="268"/>
      <c r="EL81" s="264"/>
      <c r="EM81" s="94"/>
      <c r="EN81" s="89"/>
      <c r="EO81" s="265"/>
      <c r="EP81" s="266" t="s">
        <v>58</v>
      </c>
      <c r="EQ81" s="267" t="s">
        <v>59</v>
      </c>
      <c r="ER81" s="267"/>
      <c r="ES81" s="267"/>
      <c r="ET81" s="267"/>
      <c r="EU81" s="269" t="s">
        <v>81</v>
      </c>
      <c r="EV81" s="267"/>
      <c r="EW81" s="268"/>
      <c r="EX81" s="264"/>
      <c r="EY81" s="94"/>
      <c r="EZ81" s="89"/>
      <c r="FA81" s="265"/>
      <c r="FB81" s="266" t="s">
        <v>58</v>
      </c>
      <c r="FC81" s="267" t="s">
        <v>59</v>
      </c>
      <c r="FD81" s="267"/>
      <c r="FE81" s="267"/>
      <c r="FF81" s="267"/>
      <c r="FG81" s="269" t="s">
        <v>81</v>
      </c>
      <c r="FH81" s="267"/>
      <c r="FI81" s="268"/>
      <c r="FJ81" s="264"/>
      <c r="FK81" s="94"/>
      <c r="FL81" s="89"/>
      <c r="FM81" s="265"/>
      <c r="FN81" s="266" t="s">
        <v>58</v>
      </c>
      <c r="FO81" s="267" t="s">
        <v>59</v>
      </c>
      <c r="FP81" s="267"/>
      <c r="FQ81" s="267"/>
      <c r="FR81" s="267"/>
      <c r="FS81" s="269" t="s">
        <v>81</v>
      </c>
      <c r="FT81" s="267"/>
      <c r="FU81" s="268"/>
      <c r="FV81" s="264"/>
      <c r="FW81" s="94"/>
      <c r="FX81" s="89"/>
      <c r="FY81" s="265"/>
      <c r="FZ81" s="266" t="s">
        <v>58</v>
      </c>
      <c r="GA81" s="267" t="s">
        <v>59</v>
      </c>
      <c r="GB81" s="267"/>
      <c r="GC81" s="267"/>
      <c r="GD81" s="267"/>
      <c r="GE81" s="269" t="s">
        <v>81</v>
      </c>
      <c r="GF81" s="267"/>
      <c r="GG81" s="268"/>
      <c r="GH81" s="264"/>
      <c r="GI81" s="94"/>
      <c r="GJ81" s="89"/>
      <c r="GK81" s="265"/>
      <c r="GL81" s="266" t="s">
        <v>58</v>
      </c>
      <c r="GM81" s="267" t="s">
        <v>59</v>
      </c>
      <c r="GN81" s="267"/>
      <c r="GO81" s="267"/>
      <c r="GP81" s="267"/>
      <c r="GQ81" s="269" t="s">
        <v>81</v>
      </c>
      <c r="GR81" s="267"/>
      <c r="GS81" s="268"/>
      <c r="GT81" s="264"/>
      <c r="GU81" s="94"/>
      <c r="GV81" s="89"/>
      <c r="GW81" s="265"/>
      <c r="GX81" s="266" t="s">
        <v>58</v>
      </c>
      <c r="GY81" s="267" t="s">
        <v>59</v>
      </c>
      <c r="GZ81" s="267"/>
      <c r="HA81" s="267"/>
      <c r="HB81" s="267"/>
      <c r="HC81" s="269" t="s">
        <v>81</v>
      </c>
      <c r="HD81" s="267"/>
      <c r="HE81" s="268"/>
      <c r="HF81" s="264"/>
      <c r="HG81" s="94"/>
      <c r="HH81" s="89"/>
      <c r="HI81" s="87"/>
    </row>
    <row r="82" ht="15.75" customHeight="1">
      <c r="A82" s="270"/>
      <c r="B82" s="271" t="s">
        <v>60</v>
      </c>
      <c r="C82" s="272" t="s">
        <v>61</v>
      </c>
      <c r="D82" s="272"/>
      <c r="E82" s="272"/>
      <c r="F82" s="272"/>
      <c r="G82" s="272" t="str">
        <f>"Tahun "&amp;K$6</f>
        <v>Tahun 2010</v>
      </c>
      <c r="H82" s="272"/>
      <c r="I82" s="273"/>
      <c r="J82" s="264"/>
      <c r="K82" s="87"/>
      <c r="L82" s="89"/>
      <c r="M82" s="270"/>
      <c r="N82" s="271" t="s">
        <v>60</v>
      </c>
      <c r="O82" s="272" t="s">
        <v>61</v>
      </c>
      <c r="P82" s="272"/>
      <c r="Q82" s="272"/>
      <c r="R82" s="272"/>
      <c r="S82" s="272" t="str">
        <f>"Tahun "&amp;W$6</f>
        <v>Tahun 2011</v>
      </c>
      <c r="T82" s="272"/>
      <c r="U82" s="273"/>
      <c r="V82" s="264"/>
      <c r="W82" s="87"/>
      <c r="X82" s="89"/>
      <c r="Y82" s="270"/>
      <c r="Z82" s="271" t="s">
        <v>60</v>
      </c>
      <c r="AA82" s="272" t="s">
        <v>61</v>
      </c>
      <c r="AB82" s="272"/>
      <c r="AC82" s="272"/>
      <c r="AD82" s="272"/>
      <c r="AE82" s="272" t="str">
        <f>"Tahun "&amp;AI$6</f>
        <v>Tahun 2012</v>
      </c>
      <c r="AF82" s="272"/>
      <c r="AG82" s="273"/>
      <c r="AH82" s="264"/>
      <c r="AI82" s="87"/>
      <c r="AJ82" s="89"/>
      <c r="AK82" s="270"/>
      <c r="AL82" s="271" t="s">
        <v>60</v>
      </c>
      <c r="AM82" s="272" t="s">
        <v>61</v>
      </c>
      <c r="AN82" s="272"/>
      <c r="AO82" s="272"/>
      <c r="AP82" s="272"/>
      <c r="AQ82" s="272" t="str">
        <f>"Tahun "&amp;AU$6</f>
        <v>Tahun 2013</v>
      </c>
      <c r="AR82" s="272"/>
      <c r="AS82" s="273"/>
      <c r="AT82" s="264"/>
      <c r="AU82" s="87"/>
      <c r="AV82" s="89"/>
      <c r="AW82" s="270"/>
      <c r="AX82" s="271" t="s">
        <v>60</v>
      </c>
      <c r="AY82" s="272" t="s">
        <v>61</v>
      </c>
      <c r="AZ82" s="272"/>
      <c r="BA82" s="272"/>
      <c r="BB82" s="272"/>
      <c r="BC82" s="272" t="str">
        <f>"Tahun "&amp;BG$6</f>
        <v>Tahun 2014</v>
      </c>
      <c r="BD82" s="272"/>
      <c r="BE82" s="273"/>
      <c r="BF82" s="264"/>
      <c r="BG82" s="87"/>
      <c r="BH82" s="89"/>
      <c r="BI82" s="270"/>
      <c r="BJ82" s="271" t="s">
        <v>60</v>
      </c>
      <c r="BK82" s="272" t="s">
        <v>61</v>
      </c>
      <c r="BL82" s="272"/>
      <c r="BM82" s="272"/>
      <c r="BN82" s="272"/>
      <c r="BO82" s="272" t="str">
        <f>"Tahun "&amp;BS$6</f>
        <v>Tahun 2015</v>
      </c>
      <c r="BP82" s="272"/>
      <c r="BQ82" s="273"/>
      <c r="BR82" s="264"/>
      <c r="BS82" s="87"/>
      <c r="BT82" s="89"/>
      <c r="BU82" s="270"/>
      <c r="BV82" s="271" t="s">
        <v>60</v>
      </c>
      <c r="BW82" s="272" t="s">
        <v>61</v>
      </c>
      <c r="BX82" s="272"/>
      <c r="BY82" s="272"/>
      <c r="BZ82" s="272"/>
      <c r="CA82" s="272" t="str">
        <f>"Tahun "&amp;CE$6</f>
        <v>Tahun 2016</v>
      </c>
      <c r="CB82" s="272"/>
      <c r="CC82" s="273"/>
      <c r="CD82" s="264"/>
      <c r="CE82" s="87"/>
      <c r="CF82" s="89"/>
      <c r="CG82" s="270"/>
      <c r="CH82" s="271" t="s">
        <v>60</v>
      </c>
      <c r="CI82" s="272" t="s">
        <v>61</v>
      </c>
      <c r="CJ82" s="272"/>
      <c r="CK82" s="272"/>
      <c r="CL82" s="272"/>
      <c r="CM82" s="272" t="str">
        <f>"Tahun "&amp;CQ$6</f>
        <v>Tahun 2017</v>
      </c>
      <c r="CN82" s="272"/>
      <c r="CO82" s="273"/>
      <c r="CP82" s="264"/>
      <c r="CQ82" s="87"/>
      <c r="CR82" s="89"/>
      <c r="CS82" s="270"/>
      <c r="CT82" s="271" t="s">
        <v>60</v>
      </c>
      <c r="CU82" s="272" t="s">
        <v>61</v>
      </c>
      <c r="CV82" s="272"/>
      <c r="CW82" s="272"/>
      <c r="CX82" s="272"/>
      <c r="CY82" s="272" t="str">
        <f>"Tahun "&amp;DC$6</f>
        <v>Tahun 2018</v>
      </c>
      <c r="CZ82" s="272"/>
      <c r="DA82" s="273"/>
      <c r="DB82" s="264"/>
      <c r="DC82" s="87"/>
      <c r="DD82" s="89"/>
      <c r="DE82" s="270"/>
      <c r="DF82" s="271" t="s">
        <v>60</v>
      </c>
      <c r="DG82" s="272" t="s">
        <v>61</v>
      </c>
      <c r="DH82" s="272"/>
      <c r="DI82" s="272"/>
      <c r="DJ82" s="272"/>
      <c r="DK82" s="272" t="str">
        <f>"Tahun "&amp;DO$6</f>
        <v>Tahun 2019</v>
      </c>
      <c r="DL82" s="272"/>
      <c r="DM82" s="273"/>
      <c r="DN82" s="264"/>
      <c r="DO82" s="87"/>
      <c r="DP82" s="89"/>
      <c r="DQ82" s="270"/>
      <c r="DR82" s="271" t="s">
        <v>60</v>
      </c>
      <c r="DS82" s="272" t="s">
        <v>61</v>
      </c>
      <c r="DT82" s="272"/>
      <c r="DU82" s="272"/>
      <c r="DV82" s="272"/>
      <c r="DW82" s="272" t="str">
        <f>"Tahun "&amp;EA$6</f>
        <v>Tahun 2020</v>
      </c>
      <c r="DX82" s="272"/>
      <c r="DY82" s="273"/>
      <c r="DZ82" s="264"/>
      <c r="EA82" s="87"/>
      <c r="EB82" s="89"/>
      <c r="EC82" s="270"/>
      <c r="ED82" s="271" t="s">
        <v>60</v>
      </c>
      <c r="EE82" s="272" t="s">
        <v>61</v>
      </c>
      <c r="EF82" s="272"/>
      <c r="EG82" s="272"/>
      <c r="EH82" s="272"/>
      <c r="EI82" s="272" t="str">
        <f>"Tahun "&amp;EM$6</f>
        <v>Tahun 2021</v>
      </c>
      <c r="EJ82" s="272"/>
      <c r="EK82" s="273"/>
      <c r="EL82" s="264"/>
      <c r="EM82" s="87"/>
      <c r="EN82" s="89"/>
      <c r="EO82" s="270"/>
      <c r="EP82" s="271" t="s">
        <v>60</v>
      </c>
      <c r="EQ82" s="272" t="s">
        <v>61</v>
      </c>
      <c r="ER82" s="272"/>
      <c r="ES82" s="272"/>
      <c r="ET82" s="272"/>
      <c r="EU82" s="272" t="str">
        <f>"Tahun "&amp;EY$6</f>
        <v>Tahun 2022</v>
      </c>
      <c r="EV82" s="272"/>
      <c r="EW82" s="273"/>
      <c r="EX82" s="264"/>
      <c r="EY82" s="87"/>
      <c r="EZ82" s="89"/>
      <c r="FA82" s="270"/>
      <c r="FB82" s="271" t="s">
        <v>60</v>
      </c>
      <c r="FC82" s="272" t="s">
        <v>61</v>
      </c>
      <c r="FD82" s="272"/>
      <c r="FE82" s="272"/>
      <c r="FF82" s="272"/>
      <c r="FG82" s="272" t="str">
        <f>"Tahun "&amp;FK$6</f>
        <v>Tahun 2023</v>
      </c>
      <c r="FH82" s="272"/>
      <c r="FI82" s="273"/>
      <c r="FJ82" s="264"/>
      <c r="FK82" s="87"/>
      <c r="FL82" s="89"/>
      <c r="FM82" s="270"/>
      <c r="FN82" s="271" t="s">
        <v>60</v>
      </c>
      <c r="FO82" s="272" t="s">
        <v>61</v>
      </c>
      <c r="FP82" s="272"/>
      <c r="FQ82" s="272"/>
      <c r="FR82" s="272"/>
      <c r="FS82" s="272" t="str">
        <f>"Tahun "&amp;FW$6</f>
        <v>Tahun 2024</v>
      </c>
      <c r="FT82" s="272"/>
      <c r="FU82" s="273"/>
      <c r="FV82" s="264"/>
      <c r="FW82" s="87"/>
      <c r="FX82" s="89"/>
      <c r="FY82" s="270"/>
      <c r="FZ82" s="271" t="s">
        <v>60</v>
      </c>
      <c r="GA82" s="272" t="s">
        <v>61</v>
      </c>
      <c r="GB82" s="272"/>
      <c r="GC82" s="272"/>
      <c r="GD82" s="272"/>
      <c r="GE82" s="272" t="str">
        <f>"Tahun "&amp;GI$6</f>
        <v>Tahun 2025</v>
      </c>
      <c r="GF82" s="272"/>
      <c r="GG82" s="273"/>
      <c r="GH82" s="264"/>
      <c r="GI82" s="87"/>
      <c r="GJ82" s="89"/>
      <c r="GK82" s="270"/>
      <c r="GL82" s="271" t="s">
        <v>60</v>
      </c>
      <c r="GM82" s="272" t="s">
        <v>61</v>
      </c>
      <c r="GN82" s="272"/>
      <c r="GO82" s="272"/>
      <c r="GP82" s="272"/>
      <c r="GQ82" s="272" t="str">
        <f>"Tahun "&amp;GU$6</f>
        <v>Tahun 2026</v>
      </c>
      <c r="GR82" s="272"/>
      <c r="GS82" s="273"/>
      <c r="GT82" s="264"/>
      <c r="GU82" s="87"/>
      <c r="GV82" s="89"/>
      <c r="GW82" s="270"/>
      <c r="GX82" s="271" t="s">
        <v>60</v>
      </c>
      <c r="GY82" s="272" t="s">
        <v>61</v>
      </c>
      <c r="GZ82" s="272"/>
      <c r="HA82" s="272"/>
      <c r="HB82" s="272"/>
      <c r="HC82" s="272" t="str">
        <f>"Tahun "&amp;HG$6</f>
        <v>Tahun 2027</v>
      </c>
      <c r="HD82" s="272"/>
      <c r="HE82" s="273"/>
      <c r="HF82" s="264"/>
      <c r="HG82" s="87"/>
      <c r="HH82" s="89"/>
      <c r="HI82" s="87"/>
    </row>
    <row r="83" ht="15.75" customHeight="1">
      <c r="A83" s="74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81"/>
      <c r="M83" s="74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81"/>
      <c r="Y83" s="74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81"/>
      <c r="AK83" s="74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81"/>
      <c r="AW83" s="74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81"/>
      <c r="BI83" s="74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81"/>
      <c r="BU83" s="74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81"/>
      <c r="CG83" s="74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81"/>
      <c r="CS83" s="74"/>
      <c r="CT83" s="75"/>
      <c r="CU83" s="75"/>
      <c r="CV83" s="75"/>
      <c r="CW83" s="75"/>
      <c r="CX83" s="75"/>
      <c r="CY83" s="75"/>
      <c r="CZ83" s="75"/>
      <c r="DA83" s="75"/>
      <c r="DB83" s="75"/>
      <c r="DC83" s="75"/>
      <c r="DD83" s="81"/>
      <c r="DE83" s="74"/>
      <c r="DF83" s="75"/>
      <c r="DG83" s="75"/>
      <c r="DH83" s="75"/>
      <c r="DI83" s="75"/>
      <c r="DJ83" s="75"/>
      <c r="DK83" s="75"/>
      <c r="DL83" s="75"/>
      <c r="DM83" s="75"/>
      <c r="DN83" s="75"/>
      <c r="DO83" s="75"/>
      <c r="DP83" s="81"/>
      <c r="DQ83" s="74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81"/>
      <c r="EC83" s="74"/>
      <c r="ED83" s="75"/>
      <c r="EE83" s="75"/>
      <c r="EF83" s="75"/>
      <c r="EG83" s="75"/>
      <c r="EH83" s="75"/>
      <c r="EI83" s="75"/>
      <c r="EJ83" s="75"/>
      <c r="EK83" s="75"/>
      <c r="EL83" s="75"/>
      <c r="EM83" s="75"/>
      <c r="EN83" s="81"/>
      <c r="EO83" s="74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81"/>
      <c r="FA83" s="74"/>
      <c r="FB83" s="75"/>
      <c r="FC83" s="75"/>
      <c r="FD83" s="75"/>
      <c r="FE83" s="75"/>
      <c r="FF83" s="75"/>
      <c r="FG83" s="75"/>
      <c r="FH83" s="75"/>
      <c r="FI83" s="75"/>
      <c r="FJ83" s="75"/>
      <c r="FK83" s="75"/>
      <c r="FL83" s="81"/>
      <c r="FM83" s="74"/>
      <c r="FN83" s="75"/>
      <c r="FO83" s="75"/>
      <c r="FP83" s="75"/>
      <c r="FQ83" s="75"/>
      <c r="FR83" s="75"/>
      <c r="FS83" s="75"/>
      <c r="FT83" s="75"/>
      <c r="FU83" s="75"/>
      <c r="FV83" s="75"/>
      <c r="FW83" s="75"/>
      <c r="FX83" s="81"/>
      <c r="FY83" s="74"/>
      <c r="FZ83" s="75"/>
      <c r="GA83" s="75"/>
      <c r="GB83" s="75"/>
      <c r="GC83" s="75"/>
      <c r="GD83" s="75"/>
      <c r="GE83" s="75"/>
      <c r="GF83" s="75"/>
      <c r="GG83" s="75"/>
      <c r="GH83" s="75"/>
      <c r="GI83" s="75"/>
      <c r="GJ83" s="81"/>
      <c r="GK83" s="74"/>
      <c r="GL83" s="75"/>
      <c r="GM83" s="75"/>
      <c r="GN83" s="75"/>
      <c r="GO83" s="75"/>
      <c r="GP83" s="75"/>
      <c r="GQ83" s="75"/>
      <c r="GR83" s="75"/>
      <c r="GS83" s="75"/>
      <c r="GT83" s="75"/>
      <c r="GU83" s="75"/>
      <c r="GV83" s="81"/>
      <c r="GW83" s="74"/>
      <c r="GX83" s="75"/>
      <c r="GY83" s="75"/>
      <c r="GZ83" s="75"/>
      <c r="HA83" s="75"/>
      <c r="HB83" s="75"/>
      <c r="HC83" s="75"/>
      <c r="HD83" s="75"/>
      <c r="HE83" s="75"/>
      <c r="HF83" s="75"/>
      <c r="HG83" s="75"/>
      <c r="HH83" s="81"/>
      <c r="HI83" s="75"/>
    </row>
    <row r="84" ht="33.75" customHeight="1">
      <c r="A84" s="274" t="s">
        <v>62</v>
      </c>
      <c r="B84" s="275" t="s">
        <v>63</v>
      </c>
      <c r="C84" s="275" t="s">
        <v>64</v>
      </c>
      <c r="D84" s="275" t="s">
        <v>65</v>
      </c>
      <c r="E84" s="275" t="s">
        <v>66</v>
      </c>
      <c r="F84" s="276" t="s">
        <v>67</v>
      </c>
      <c r="G84" s="104"/>
      <c r="H84" s="277" t="s">
        <v>68</v>
      </c>
      <c r="I84" s="278"/>
      <c r="J84" s="278"/>
      <c r="K84" s="278"/>
      <c r="L84" s="107"/>
      <c r="M84" s="274" t="s">
        <v>62</v>
      </c>
      <c r="N84" s="275" t="s">
        <v>63</v>
      </c>
      <c r="O84" s="275" t="s">
        <v>64</v>
      </c>
      <c r="P84" s="275" t="s">
        <v>65</v>
      </c>
      <c r="Q84" s="275" t="s">
        <v>66</v>
      </c>
      <c r="R84" s="276" t="s">
        <v>67</v>
      </c>
      <c r="S84" s="104"/>
      <c r="T84" s="277" t="s">
        <v>68</v>
      </c>
      <c r="U84" s="278"/>
      <c r="V84" s="278"/>
      <c r="W84" s="278"/>
      <c r="X84" s="107"/>
      <c r="Y84" s="274" t="s">
        <v>62</v>
      </c>
      <c r="Z84" s="275" t="s">
        <v>63</v>
      </c>
      <c r="AA84" s="275" t="s">
        <v>64</v>
      </c>
      <c r="AB84" s="275" t="s">
        <v>65</v>
      </c>
      <c r="AC84" s="275" t="s">
        <v>66</v>
      </c>
      <c r="AD84" s="276" t="s">
        <v>67</v>
      </c>
      <c r="AE84" s="104"/>
      <c r="AF84" s="277" t="s">
        <v>68</v>
      </c>
      <c r="AG84" s="278"/>
      <c r="AH84" s="278"/>
      <c r="AI84" s="278"/>
      <c r="AJ84" s="107"/>
      <c r="AK84" s="274" t="s">
        <v>62</v>
      </c>
      <c r="AL84" s="275" t="s">
        <v>63</v>
      </c>
      <c r="AM84" s="275" t="s">
        <v>64</v>
      </c>
      <c r="AN84" s="275" t="s">
        <v>65</v>
      </c>
      <c r="AO84" s="275" t="s">
        <v>66</v>
      </c>
      <c r="AP84" s="276" t="s">
        <v>67</v>
      </c>
      <c r="AQ84" s="104"/>
      <c r="AR84" s="277" t="s">
        <v>68</v>
      </c>
      <c r="AS84" s="278"/>
      <c r="AT84" s="278"/>
      <c r="AU84" s="278"/>
      <c r="AV84" s="107"/>
      <c r="AW84" s="274" t="s">
        <v>62</v>
      </c>
      <c r="AX84" s="275" t="s">
        <v>63</v>
      </c>
      <c r="AY84" s="275" t="s">
        <v>64</v>
      </c>
      <c r="AZ84" s="275" t="s">
        <v>65</v>
      </c>
      <c r="BA84" s="275" t="s">
        <v>66</v>
      </c>
      <c r="BB84" s="276" t="s">
        <v>67</v>
      </c>
      <c r="BC84" s="104"/>
      <c r="BD84" s="277" t="s">
        <v>68</v>
      </c>
      <c r="BE84" s="278"/>
      <c r="BF84" s="278"/>
      <c r="BG84" s="278"/>
      <c r="BH84" s="107"/>
      <c r="BI84" s="274" t="s">
        <v>62</v>
      </c>
      <c r="BJ84" s="275" t="s">
        <v>63</v>
      </c>
      <c r="BK84" s="275" t="s">
        <v>64</v>
      </c>
      <c r="BL84" s="275" t="s">
        <v>65</v>
      </c>
      <c r="BM84" s="275" t="s">
        <v>66</v>
      </c>
      <c r="BN84" s="276" t="s">
        <v>67</v>
      </c>
      <c r="BO84" s="104"/>
      <c r="BP84" s="277" t="s">
        <v>68</v>
      </c>
      <c r="BQ84" s="278"/>
      <c r="BR84" s="278"/>
      <c r="BS84" s="278"/>
      <c r="BT84" s="107"/>
      <c r="BU84" s="274" t="s">
        <v>62</v>
      </c>
      <c r="BV84" s="275" t="s">
        <v>63</v>
      </c>
      <c r="BW84" s="275" t="s">
        <v>64</v>
      </c>
      <c r="BX84" s="275" t="s">
        <v>65</v>
      </c>
      <c r="BY84" s="275" t="s">
        <v>66</v>
      </c>
      <c r="BZ84" s="276" t="s">
        <v>67</v>
      </c>
      <c r="CA84" s="104"/>
      <c r="CB84" s="277" t="s">
        <v>68</v>
      </c>
      <c r="CC84" s="278"/>
      <c r="CD84" s="278"/>
      <c r="CE84" s="278"/>
      <c r="CF84" s="107"/>
      <c r="CG84" s="274" t="s">
        <v>62</v>
      </c>
      <c r="CH84" s="275" t="s">
        <v>63</v>
      </c>
      <c r="CI84" s="275" t="s">
        <v>64</v>
      </c>
      <c r="CJ84" s="275" t="s">
        <v>65</v>
      </c>
      <c r="CK84" s="275" t="s">
        <v>66</v>
      </c>
      <c r="CL84" s="276" t="s">
        <v>67</v>
      </c>
      <c r="CM84" s="104"/>
      <c r="CN84" s="277" t="s">
        <v>68</v>
      </c>
      <c r="CO84" s="278"/>
      <c r="CP84" s="278"/>
      <c r="CQ84" s="278"/>
      <c r="CR84" s="107"/>
      <c r="CS84" s="274" t="s">
        <v>62</v>
      </c>
      <c r="CT84" s="275" t="s">
        <v>63</v>
      </c>
      <c r="CU84" s="275" t="s">
        <v>64</v>
      </c>
      <c r="CV84" s="275" t="s">
        <v>65</v>
      </c>
      <c r="CW84" s="275" t="s">
        <v>66</v>
      </c>
      <c r="CX84" s="276" t="s">
        <v>67</v>
      </c>
      <c r="CY84" s="104"/>
      <c r="CZ84" s="277" t="s">
        <v>68</v>
      </c>
      <c r="DA84" s="278"/>
      <c r="DB84" s="278"/>
      <c r="DC84" s="278"/>
      <c r="DD84" s="107"/>
      <c r="DE84" s="274" t="s">
        <v>62</v>
      </c>
      <c r="DF84" s="275" t="s">
        <v>63</v>
      </c>
      <c r="DG84" s="275" t="s">
        <v>64</v>
      </c>
      <c r="DH84" s="275" t="s">
        <v>65</v>
      </c>
      <c r="DI84" s="275" t="s">
        <v>66</v>
      </c>
      <c r="DJ84" s="276" t="s">
        <v>67</v>
      </c>
      <c r="DK84" s="104"/>
      <c r="DL84" s="277" t="s">
        <v>68</v>
      </c>
      <c r="DM84" s="278"/>
      <c r="DN84" s="278"/>
      <c r="DO84" s="278"/>
      <c r="DP84" s="107"/>
      <c r="DQ84" s="274" t="s">
        <v>62</v>
      </c>
      <c r="DR84" s="275" t="s">
        <v>63</v>
      </c>
      <c r="DS84" s="275" t="s">
        <v>64</v>
      </c>
      <c r="DT84" s="275" t="s">
        <v>65</v>
      </c>
      <c r="DU84" s="275" t="s">
        <v>66</v>
      </c>
      <c r="DV84" s="276" t="s">
        <v>67</v>
      </c>
      <c r="DW84" s="104"/>
      <c r="DX84" s="277" t="s">
        <v>68</v>
      </c>
      <c r="DY84" s="278"/>
      <c r="DZ84" s="278"/>
      <c r="EA84" s="278"/>
      <c r="EB84" s="107"/>
      <c r="EC84" s="274" t="s">
        <v>62</v>
      </c>
      <c r="ED84" s="275" t="s">
        <v>63</v>
      </c>
      <c r="EE84" s="275" t="s">
        <v>64</v>
      </c>
      <c r="EF84" s="275" t="s">
        <v>65</v>
      </c>
      <c r="EG84" s="275" t="s">
        <v>66</v>
      </c>
      <c r="EH84" s="276" t="s">
        <v>67</v>
      </c>
      <c r="EI84" s="104"/>
      <c r="EJ84" s="277" t="s">
        <v>68</v>
      </c>
      <c r="EK84" s="278"/>
      <c r="EL84" s="278"/>
      <c r="EM84" s="278"/>
      <c r="EN84" s="107"/>
      <c r="EO84" s="274" t="s">
        <v>62</v>
      </c>
      <c r="EP84" s="275" t="s">
        <v>63</v>
      </c>
      <c r="EQ84" s="275" t="s">
        <v>64</v>
      </c>
      <c r="ER84" s="275" t="s">
        <v>65</v>
      </c>
      <c r="ES84" s="275" t="s">
        <v>66</v>
      </c>
      <c r="ET84" s="276" t="s">
        <v>67</v>
      </c>
      <c r="EU84" s="104"/>
      <c r="EV84" s="277" t="s">
        <v>68</v>
      </c>
      <c r="EW84" s="278"/>
      <c r="EX84" s="278"/>
      <c r="EY84" s="278"/>
      <c r="EZ84" s="107"/>
      <c r="FA84" s="274" t="s">
        <v>62</v>
      </c>
      <c r="FB84" s="275" t="s">
        <v>63</v>
      </c>
      <c r="FC84" s="275" t="s">
        <v>64</v>
      </c>
      <c r="FD84" s="275" t="s">
        <v>65</v>
      </c>
      <c r="FE84" s="275" t="s">
        <v>66</v>
      </c>
      <c r="FF84" s="276" t="s">
        <v>67</v>
      </c>
      <c r="FG84" s="104"/>
      <c r="FH84" s="277" t="s">
        <v>68</v>
      </c>
      <c r="FI84" s="278"/>
      <c r="FJ84" s="278"/>
      <c r="FK84" s="278"/>
      <c r="FL84" s="107"/>
      <c r="FM84" s="274" t="s">
        <v>62</v>
      </c>
      <c r="FN84" s="275" t="s">
        <v>63</v>
      </c>
      <c r="FO84" s="275" t="s">
        <v>64</v>
      </c>
      <c r="FP84" s="275" t="s">
        <v>65</v>
      </c>
      <c r="FQ84" s="275" t="s">
        <v>66</v>
      </c>
      <c r="FR84" s="276" t="s">
        <v>67</v>
      </c>
      <c r="FS84" s="104"/>
      <c r="FT84" s="277" t="s">
        <v>68</v>
      </c>
      <c r="FU84" s="278"/>
      <c r="FV84" s="278"/>
      <c r="FW84" s="278"/>
      <c r="FX84" s="107"/>
      <c r="FY84" s="274" t="s">
        <v>62</v>
      </c>
      <c r="FZ84" s="275" t="s">
        <v>63</v>
      </c>
      <c r="GA84" s="275" t="s">
        <v>64</v>
      </c>
      <c r="GB84" s="275" t="s">
        <v>65</v>
      </c>
      <c r="GC84" s="275" t="s">
        <v>66</v>
      </c>
      <c r="GD84" s="276" t="s">
        <v>67</v>
      </c>
      <c r="GE84" s="104"/>
      <c r="GF84" s="277" t="s">
        <v>68</v>
      </c>
      <c r="GG84" s="278"/>
      <c r="GH84" s="278"/>
      <c r="GI84" s="278"/>
      <c r="GJ84" s="107"/>
      <c r="GK84" s="274" t="s">
        <v>62</v>
      </c>
      <c r="GL84" s="275" t="s">
        <v>63</v>
      </c>
      <c r="GM84" s="275" t="s">
        <v>64</v>
      </c>
      <c r="GN84" s="275" t="s">
        <v>65</v>
      </c>
      <c r="GO84" s="275" t="s">
        <v>66</v>
      </c>
      <c r="GP84" s="276" t="s">
        <v>67</v>
      </c>
      <c r="GQ84" s="104"/>
      <c r="GR84" s="277" t="s">
        <v>68</v>
      </c>
      <c r="GS84" s="278"/>
      <c r="GT84" s="278"/>
      <c r="GU84" s="278"/>
      <c r="GV84" s="107"/>
      <c r="GW84" s="274" t="s">
        <v>62</v>
      </c>
      <c r="GX84" s="275" t="s">
        <v>63</v>
      </c>
      <c r="GY84" s="275" t="s">
        <v>64</v>
      </c>
      <c r="GZ84" s="275" t="s">
        <v>65</v>
      </c>
      <c r="HA84" s="275" t="s">
        <v>66</v>
      </c>
      <c r="HB84" s="276" t="s">
        <v>67</v>
      </c>
      <c r="HC84" s="104"/>
      <c r="HD84" s="277" t="s">
        <v>68</v>
      </c>
      <c r="HE84" s="278"/>
      <c r="HF84" s="278"/>
      <c r="HG84" s="278"/>
      <c r="HH84" s="107"/>
      <c r="HI84" s="106"/>
    </row>
    <row r="85" ht="66.0" customHeight="1">
      <c r="A85" s="108"/>
      <c r="B85" s="94"/>
      <c r="C85" s="94"/>
      <c r="D85" s="94"/>
      <c r="E85" s="94"/>
      <c r="F85" s="279" t="s">
        <v>69</v>
      </c>
      <c r="G85" s="279" t="s">
        <v>70</v>
      </c>
      <c r="H85" s="110"/>
      <c r="I85" s="278"/>
      <c r="J85" s="278"/>
      <c r="K85" s="278"/>
      <c r="L85" s="107"/>
      <c r="M85" s="108"/>
      <c r="N85" s="94"/>
      <c r="O85" s="94"/>
      <c r="P85" s="94"/>
      <c r="Q85" s="94"/>
      <c r="R85" s="279" t="s">
        <v>69</v>
      </c>
      <c r="S85" s="279" t="s">
        <v>70</v>
      </c>
      <c r="T85" s="110"/>
      <c r="U85" s="278"/>
      <c r="V85" s="278"/>
      <c r="W85" s="278"/>
      <c r="X85" s="107"/>
      <c r="Y85" s="108"/>
      <c r="Z85" s="94"/>
      <c r="AA85" s="94"/>
      <c r="AB85" s="94"/>
      <c r="AC85" s="94"/>
      <c r="AD85" s="279" t="s">
        <v>69</v>
      </c>
      <c r="AE85" s="279" t="s">
        <v>70</v>
      </c>
      <c r="AF85" s="110"/>
      <c r="AG85" s="278"/>
      <c r="AH85" s="278"/>
      <c r="AI85" s="278"/>
      <c r="AJ85" s="107"/>
      <c r="AK85" s="108"/>
      <c r="AL85" s="94"/>
      <c r="AM85" s="94"/>
      <c r="AN85" s="94"/>
      <c r="AO85" s="94"/>
      <c r="AP85" s="279" t="s">
        <v>69</v>
      </c>
      <c r="AQ85" s="279" t="s">
        <v>70</v>
      </c>
      <c r="AR85" s="110"/>
      <c r="AS85" s="278"/>
      <c r="AT85" s="278"/>
      <c r="AU85" s="278"/>
      <c r="AV85" s="107"/>
      <c r="AW85" s="108"/>
      <c r="AX85" s="94"/>
      <c r="AY85" s="94"/>
      <c r="AZ85" s="94"/>
      <c r="BA85" s="94"/>
      <c r="BB85" s="279" t="s">
        <v>69</v>
      </c>
      <c r="BC85" s="279" t="s">
        <v>70</v>
      </c>
      <c r="BD85" s="110"/>
      <c r="BE85" s="278"/>
      <c r="BF85" s="278"/>
      <c r="BG85" s="278"/>
      <c r="BH85" s="107"/>
      <c r="BI85" s="108"/>
      <c r="BJ85" s="94"/>
      <c r="BK85" s="94"/>
      <c r="BL85" s="94"/>
      <c r="BM85" s="94"/>
      <c r="BN85" s="279" t="s">
        <v>69</v>
      </c>
      <c r="BO85" s="279" t="s">
        <v>70</v>
      </c>
      <c r="BP85" s="110"/>
      <c r="BQ85" s="278"/>
      <c r="BR85" s="278"/>
      <c r="BS85" s="278"/>
      <c r="BT85" s="107"/>
      <c r="BU85" s="108"/>
      <c r="BV85" s="94"/>
      <c r="BW85" s="94"/>
      <c r="BX85" s="94"/>
      <c r="BY85" s="94"/>
      <c r="BZ85" s="279" t="s">
        <v>69</v>
      </c>
      <c r="CA85" s="279" t="s">
        <v>70</v>
      </c>
      <c r="CB85" s="110"/>
      <c r="CC85" s="278"/>
      <c r="CD85" s="278"/>
      <c r="CE85" s="278"/>
      <c r="CF85" s="107"/>
      <c r="CG85" s="108"/>
      <c r="CH85" s="94"/>
      <c r="CI85" s="94"/>
      <c r="CJ85" s="94"/>
      <c r="CK85" s="94"/>
      <c r="CL85" s="279" t="s">
        <v>69</v>
      </c>
      <c r="CM85" s="279" t="s">
        <v>70</v>
      </c>
      <c r="CN85" s="110"/>
      <c r="CO85" s="278"/>
      <c r="CP85" s="278"/>
      <c r="CQ85" s="278"/>
      <c r="CR85" s="107"/>
      <c r="CS85" s="108"/>
      <c r="CT85" s="94"/>
      <c r="CU85" s="94"/>
      <c r="CV85" s="94"/>
      <c r="CW85" s="94"/>
      <c r="CX85" s="279" t="s">
        <v>69</v>
      </c>
      <c r="CY85" s="279" t="s">
        <v>70</v>
      </c>
      <c r="CZ85" s="110"/>
      <c r="DA85" s="278"/>
      <c r="DB85" s="278"/>
      <c r="DC85" s="278"/>
      <c r="DD85" s="107"/>
      <c r="DE85" s="108"/>
      <c r="DF85" s="94"/>
      <c r="DG85" s="94"/>
      <c r="DH85" s="94"/>
      <c r="DI85" s="94"/>
      <c r="DJ85" s="279" t="s">
        <v>69</v>
      </c>
      <c r="DK85" s="279" t="s">
        <v>70</v>
      </c>
      <c r="DL85" s="110"/>
      <c r="DM85" s="278"/>
      <c r="DN85" s="278"/>
      <c r="DO85" s="278"/>
      <c r="DP85" s="107"/>
      <c r="DQ85" s="108"/>
      <c r="DR85" s="94"/>
      <c r="DS85" s="94"/>
      <c r="DT85" s="94"/>
      <c r="DU85" s="94"/>
      <c r="DV85" s="279" t="s">
        <v>69</v>
      </c>
      <c r="DW85" s="279" t="s">
        <v>70</v>
      </c>
      <c r="DX85" s="110"/>
      <c r="DY85" s="278"/>
      <c r="DZ85" s="278"/>
      <c r="EA85" s="278"/>
      <c r="EB85" s="107"/>
      <c r="EC85" s="108"/>
      <c r="ED85" s="94"/>
      <c r="EE85" s="94"/>
      <c r="EF85" s="94"/>
      <c r="EG85" s="94"/>
      <c r="EH85" s="279" t="s">
        <v>69</v>
      </c>
      <c r="EI85" s="279" t="s">
        <v>70</v>
      </c>
      <c r="EJ85" s="110"/>
      <c r="EK85" s="278"/>
      <c r="EL85" s="278"/>
      <c r="EM85" s="278"/>
      <c r="EN85" s="107"/>
      <c r="EO85" s="108"/>
      <c r="EP85" s="94"/>
      <c r="EQ85" s="94"/>
      <c r="ER85" s="94"/>
      <c r="ES85" s="94"/>
      <c r="ET85" s="279" t="s">
        <v>69</v>
      </c>
      <c r="EU85" s="279" t="s">
        <v>70</v>
      </c>
      <c r="EV85" s="110"/>
      <c r="EW85" s="278"/>
      <c r="EX85" s="278"/>
      <c r="EY85" s="278"/>
      <c r="EZ85" s="107"/>
      <c r="FA85" s="108"/>
      <c r="FB85" s="94"/>
      <c r="FC85" s="94"/>
      <c r="FD85" s="94"/>
      <c r="FE85" s="94"/>
      <c r="FF85" s="279" t="s">
        <v>69</v>
      </c>
      <c r="FG85" s="279" t="s">
        <v>70</v>
      </c>
      <c r="FH85" s="110"/>
      <c r="FI85" s="278"/>
      <c r="FJ85" s="278"/>
      <c r="FK85" s="278"/>
      <c r="FL85" s="107"/>
      <c r="FM85" s="108"/>
      <c r="FN85" s="94"/>
      <c r="FO85" s="94"/>
      <c r="FP85" s="94"/>
      <c r="FQ85" s="94"/>
      <c r="FR85" s="279" t="s">
        <v>69</v>
      </c>
      <c r="FS85" s="279" t="s">
        <v>70</v>
      </c>
      <c r="FT85" s="110"/>
      <c r="FU85" s="278"/>
      <c r="FV85" s="278"/>
      <c r="FW85" s="278"/>
      <c r="FX85" s="107"/>
      <c r="FY85" s="108"/>
      <c r="FZ85" s="94"/>
      <c r="GA85" s="94"/>
      <c r="GB85" s="94"/>
      <c r="GC85" s="94"/>
      <c r="GD85" s="279" t="s">
        <v>69</v>
      </c>
      <c r="GE85" s="279" t="s">
        <v>70</v>
      </c>
      <c r="GF85" s="110"/>
      <c r="GG85" s="278"/>
      <c r="GH85" s="278"/>
      <c r="GI85" s="278"/>
      <c r="GJ85" s="107"/>
      <c r="GK85" s="108"/>
      <c r="GL85" s="94"/>
      <c r="GM85" s="94"/>
      <c r="GN85" s="94"/>
      <c r="GO85" s="94"/>
      <c r="GP85" s="279" t="s">
        <v>69</v>
      </c>
      <c r="GQ85" s="279" t="s">
        <v>70</v>
      </c>
      <c r="GR85" s="110"/>
      <c r="GS85" s="278"/>
      <c r="GT85" s="278"/>
      <c r="GU85" s="278"/>
      <c r="GV85" s="107"/>
      <c r="GW85" s="108"/>
      <c r="GX85" s="94"/>
      <c r="GY85" s="94"/>
      <c r="GZ85" s="94"/>
      <c r="HA85" s="94"/>
      <c r="HB85" s="279" t="s">
        <v>69</v>
      </c>
      <c r="HC85" s="279" t="s">
        <v>70</v>
      </c>
      <c r="HD85" s="110"/>
      <c r="HE85" s="278"/>
      <c r="HF85" s="278"/>
      <c r="HG85" s="278"/>
      <c r="HH85" s="107"/>
      <c r="HI85" s="106"/>
    </row>
    <row r="86" ht="15.75" customHeight="1">
      <c r="A86" s="280">
        <v>-1.0</v>
      </c>
      <c r="B86" s="281">
        <v>-2.0</v>
      </c>
      <c r="C86" s="281">
        <v>-3.0</v>
      </c>
      <c r="D86" s="281">
        <v>-4.0</v>
      </c>
      <c r="E86" s="281">
        <v>-5.0</v>
      </c>
      <c r="F86" s="281">
        <v>-6.0</v>
      </c>
      <c r="G86" s="281">
        <v>-7.0</v>
      </c>
      <c r="H86" s="282">
        <v>-8.0</v>
      </c>
      <c r="I86" s="283"/>
      <c r="J86" s="283"/>
      <c r="K86" s="283"/>
      <c r="L86" s="115"/>
      <c r="M86" s="280">
        <v>-1.0</v>
      </c>
      <c r="N86" s="281">
        <v>-2.0</v>
      </c>
      <c r="O86" s="281">
        <v>-3.0</v>
      </c>
      <c r="P86" s="281">
        <v>-4.0</v>
      </c>
      <c r="Q86" s="281">
        <v>-5.0</v>
      </c>
      <c r="R86" s="281">
        <v>-6.0</v>
      </c>
      <c r="S86" s="281">
        <v>-7.0</v>
      </c>
      <c r="T86" s="282">
        <v>-8.0</v>
      </c>
      <c r="U86" s="283"/>
      <c r="V86" s="283"/>
      <c r="W86" s="283"/>
      <c r="X86" s="115"/>
      <c r="Y86" s="280">
        <v>-1.0</v>
      </c>
      <c r="Z86" s="281">
        <v>-2.0</v>
      </c>
      <c r="AA86" s="281">
        <v>-3.0</v>
      </c>
      <c r="AB86" s="281">
        <v>-4.0</v>
      </c>
      <c r="AC86" s="281">
        <v>-5.0</v>
      </c>
      <c r="AD86" s="281">
        <v>-6.0</v>
      </c>
      <c r="AE86" s="281">
        <v>-7.0</v>
      </c>
      <c r="AF86" s="282">
        <v>-8.0</v>
      </c>
      <c r="AG86" s="283"/>
      <c r="AH86" s="283"/>
      <c r="AI86" s="283"/>
      <c r="AJ86" s="115"/>
      <c r="AK86" s="280">
        <v>-1.0</v>
      </c>
      <c r="AL86" s="281">
        <v>-2.0</v>
      </c>
      <c r="AM86" s="281">
        <v>-3.0</v>
      </c>
      <c r="AN86" s="281">
        <v>-4.0</v>
      </c>
      <c r="AO86" s="281">
        <v>-5.0</v>
      </c>
      <c r="AP86" s="281">
        <v>-6.0</v>
      </c>
      <c r="AQ86" s="281">
        <v>-7.0</v>
      </c>
      <c r="AR86" s="282">
        <v>-8.0</v>
      </c>
      <c r="AS86" s="283"/>
      <c r="AT86" s="283"/>
      <c r="AU86" s="283"/>
      <c r="AV86" s="115"/>
      <c r="AW86" s="280">
        <v>-1.0</v>
      </c>
      <c r="AX86" s="281">
        <v>-2.0</v>
      </c>
      <c r="AY86" s="281">
        <v>-3.0</v>
      </c>
      <c r="AZ86" s="281">
        <v>-4.0</v>
      </c>
      <c r="BA86" s="281">
        <v>-5.0</v>
      </c>
      <c r="BB86" s="281">
        <v>-6.0</v>
      </c>
      <c r="BC86" s="281">
        <v>-7.0</v>
      </c>
      <c r="BD86" s="282">
        <v>-8.0</v>
      </c>
      <c r="BE86" s="283"/>
      <c r="BF86" s="283"/>
      <c r="BG86" s="283"/>
      <c r="BH86" s="115"/>
      <c r="BI86" s="280">
        <v>-1.0</v>
      </c>
      <c r="BJ86" s="281">
        <v>-2.0</v>
      </c>
      <c r="BK86" s="281">
        <v>-3.0</v>
      </c>
      <c r="BL86" s="281">
        <v>-4.0</v>
      </c>
      <c r="BM86" s="281">
        <v>-5.0</v>
      </c>
      <c r="BN86" s="281">
        <v>-6.0</v>
      </c>
      <c r="BO86" s="281">
        <v>-7.0</v>
      </c>
      <c r="BP86" s="282">
        <v>-8.0</v>
      </c>
      <c r="BQ86" s="283"/>
      <c r="BR86" s="283"/>
      <c r="BS86" s="283"/>
      <c r="BT86" s="115"/>
      <c r="BU86" s="280">
        <v>-1.0</v>
      </c>
      <c r="BV86" s="281">
        <v>-2.0</v>
      </c>
      <c r="BW86" s="281">
        <v>-3.0</v>
      </c>
      <c r="BX86" s="281">
        <v>-4.0</v>
      </c>
      <c r="BY86" s="281">
        <v>-5.0</v>
      </c>
      <c r="BZ86" s="281">
        <v>-6.0</v>
      </c>
      <c r="CA86" s="281">
        <v>-7.0</v>
      </c>
      <c r="CB86" s="282">
        <v>-8.0</v>
      </c>
      <c r="CC86" s="283"/>
      <c r="CD86" s="283"/>
      <c r="CE86" s="283"/>
      <c r="CF86" s="115"/>
      <c r="CG86" s="280">
        <v>-1.0</v>
      </c>
      <c r="CH86" s="281">
        <v>-2.0</v>
      </c>
      <c r="CI86" s="281">
        <v>-3.0</v>
      </c>
      <c r="CJ86" s="281">
        <v>-4.0</v>
      </c>
      <c r="CK86" s="281">
        <v>-5.0</v>
      </c>
      <c r="CL86" s="281">
        <v>-6.0</v>
      </c>
      <c r="CM86" s="281">
        <v>-7.0</v>
      </c>
      <c r="CN86" s="282">
        <v>-8.0</v>
      </c>
      <c r="CO86" s="283"/>
      <c r="CP86" s="283"/>
      <c r="CQ86" s="283"/>
      <c r="CR86" s="115"/>
      <c r="CS86" s="280">
        <v>-1.0</v>
      </c>
      <c r="CT86" s="281">
        <v>-2.0</v>
      </c>
      <c r="CU86" s="281">
        <v>-3.0</v>
      </c>
      <c r="CV86" s="281">
        <v>-4.0</v>
      </c>
      <c r="CW86" s="281">
        <v>-5.0</v>
      </c>
      <c r="CX86" s="281">
        <v>-6.0</v>
      </c>
      <c r="CY86" s="281">
        <v>-7.0</v>
      </c>
      <c r="CZ86" s="282">
        <v>-8.0</v>
      </c>
      <c r="DA86" s="283"/>
      <c r="DB86" s="283"/>
      <c r="DC86" s="283"/>
      <c r="DD86" s="115"/>
      <c r="DE86" s="280">
        <v>-1.0</v>
      </c>
      <c r="DF86" s="281">
        <v>-2.0</v>
      </c>
      <c r="DG86" s="281">
        <v>-3.0</v>
      </c>
      <c r="DH86" s="281">
        <v>-4.0</v>
      </c>
      <c r="DI86" s="281">
        <v>-5.0</v>
      </c>
      <c r="DJ86" s="281">
        <v>-6.0</v>
      </c>
      <c r="DK86" s="281">
        <v>-7.0</v>
      </c>
      <c r="DL86" s="282">
        <v>-8.0</v>
      </c>
      <c r="DM86" s="283"/>
      <c r="DN86" s="283"/>
      <c r="DO86" s="283"/>
      <c r="DP86" s="115"/>
      <c r="DQ86" s="280">
        <v>-1.0</v>
      </c>
      <c r="DR86" s="281">
        <v>-2.0</v>
      </c>
      <c r="DS86" s="281">
        <v>-3.0</v>
      </c>
      <c r="DT86" s="281">
        <v>-4.0</v>
      </c>
      <c r="DU86" s="281">
        <v>-5.0</v>
      </c>
      <c r="DV86" s="281">
        <v>-6.0</v>
      </c>
      <c r="DW86" s="281">
        <v>-7.0</v>
      </c>
      <c r="DX86" s="282">
        <v>-8.0</v>
      </c>
      <c r="DY86" s="283"/>
      <c r="DZ86" s="283"/>
      <c r="EA86" s="283"/>
      <c r="EB86" s="115"/>
      <c r="EC86" s="280">
        <v>-1.0</v>
      </c>
      <c r="ED86" s="281">
        <v>-2.0</v>
      </c>
      <c r="EE86" s="281">
        <v>-3.0</v>
      </c>
      <c r="EF86" s="281">
        <v>-4.0</v>
      </c>
      <c r="EG86" s="281">
        <v>-5.0</v>
      </c>
      <c r="EH86" s="281">
        <v>-6.0</v>
      </c>
      <c r="EI86" s="281">
        <v>-7.0</v>
      </c>
      <c r="EJ86" s="282">
        <v>-8.0</v>
      </c>
      <c r="EK86" s="283"/>
      <c r="EL86" s="283"/>
      <c r="EM86" s="283"/>
      <c r="EN86" s="115"/>
      <c r="EO86" s="280">
        <v>-1.0</v>
      </c>
      <c r="EP86" s="281">
        <v>-2.0</v>
      </c>
      <c r="EQ86" s="281">
        <v>-3.0</v>
      </c>
      <c r="ER86" s="281">
        <v>-4.0</v>
      </c>
      <c r="ES86" s="281">
        <v>-5.0</v>
      </c>
      <c r="ET86" s="281">
        <v>-6.0</v>
      </c>
      <c r="EU86" s="281">
        <v>-7.0</v>
      </c>
      <c r="EV86" s="282">
        <v>-8.0</v>
      </c>
      <c r="EW86" s="283"/>
      <c r="EX86" s="283"/>
      <c r="EY86" s="283"/>
      <c r="EZ86" s="115"/>
      <c r="FA86" s="280">
        <v>-1.0</v>
      </c>
      <c r="FB86" s="281">
        <v>-2.0</v>
      </c>
      <c r="FC86" s="281">
        <v>-3.0</v>
      </c>
      <c r="FD86" s="281">
        <v>-4.0</v>
      </c>
      <c r="FE86" s="281">
        <v>-5.0</v>
      </c>
      <c r="FF86" s="281">
        <v>-6.0</v>
      </c>
      <c r="FG86" s="281">
        <v>-7.0</v>
      </c>
      <c r="FH86" s="282">
        <v>-8.0</v>
      </c>
      <c r="FI86" s="283"/>
      <c r="FJ86" s="283"/>
      <c r="FK86" s="283"/>
      <c r="FL86" s="115"/>
      <c r="FM86" s="280">
        <v>-1.0</v>
      </c>
      <c r="FN86" s="281">
        <v>-2.0</v>
      </c>
      <c r="FO86" s="281">
        <v>-3.0</v>
      </c>
      <c r="FP86" s="281">
        <v>-4.0</v>
      </c>
      <c r="FQ86" s="281">
        <v>-5.0</v>
      </c>
      <c r="FR86" s="281">
        <v>-6.0</v>
      </c>
      <c r="FS86" s="281">
        <v>-7.0</v>
      </c>
      <c r="FT86" s="282">
        <v>-8.0</v>
      </c>
      <c r="FU86" s="283"/>
      <c r="FV86" s="283"/>
      <c r="FW86" s="283"/>
      <c r="FX86" s="115"/>
      <c r="FY86" s="280">
        <v>-1.0</v>
      </c>
      <c r="FZ86" s="281">
        <v>-2.0</v>
      </c>
      <c r="GA86" s="281">
        <v>-3.0</v>
      </c>
      <c r="GB86" s="281">
        <v>-4.0</v>
      </c>
      <c r="GC86" s="281">
        <v>-5.0</v>
      </c>
      <c r="GD86" s="281">
        <v>-6.0</v>
      </c>
      <c r="GE86" s="281">
        <v>-7.0</v>
      </c>
      <c r="GF86" s="282">
        <v>-8.0</v>
      </c>
      <c r="GG86" s="283"/>
      <c r="GH86" s="283"/>
      <c r="GI86" s="283"/>
      <c r="GJ86" s="115"/>
      <c r="GK86" s="280">
        <v>-1.0</v>
      </c>
      <c r="GL86" s="281">
        <v>-2.0</v>
      </c>
      <c r="GM86" s="281">
        <v>-3.0</v>
      </c>
      <c r="GN86" s="281">
        <v>-4.0</v>
      </c>
      <c r="GO86" s="281">
        <v>-5.0</v>
      </c>
      <c r="GP86" s="281">
        <v>-6.0</v>
      </c>
      <c r="GQ86" s="281">
        <v>-7.0</v>
      </c>
      <c r="GR86" s="282">
        <v>-8.0</v>
      </c>
      <c r="GS86" s="283"/>
      <c r="GT86" s="283"/>
      <c r="GU86" s="283"/>
      <c r="GV86" s="115"/>
      <c r="GW86" s="280">
        <v>-1.0</v>
      </c>
      <c r="GX86" s="281">
        <v>-2.0</v>
      </c>
      <c r="GY86" s="281">
        <v>-3.0</v>
      </c>
      <c r="GZ86" s="281">
        <v>-4.0</v>
      </c>
      <c r="HA86" s="281">
        <v>-5.0</v>
      </c>
      <c r="HB86" s="281">
        <v>-6.0</v>
      </c>
      <c r="HC86" s="281">
        <v>-7.0</v>
      </c>
      <c r="HD86" s="282">
        <v>-8.0</v>
      </c>
      <c r="HE86" s="283"/>
      <c r="HF86" s="283"/>
      <c r="HG86" s="283"/>
      <c r="HH86" s="115"/>
      <c r="HI86" s="114"/>
    </row>
    <row r="87" ht="15.75" customHeight="1">
      <c r="A87" s="284"/>
      <c r="B87" s="285"/>
      <c r="C87" s="286"/>
      <c r="D87" s="286"/>
      <c r="E87" s="286"/>
      <c r="F87" s="286"/>
      <c r="G87" s="286"/>
      <c r="H87" s="287"/>
      <c r="I87" s="288"/>
      <c r="J87" s="288"/>
      <c r="K87" s="288"/>
      <c r="L87" s="81"/>
      <c r="M87" s="284"/>
      <c r="N87" s="285"/>
      <c r="O87" s="286"/>
      <c r="P87" s="286"/>
      <c r="Q87" s="286"/>
      <c r="R87" s="286"/>
      <c r="S87" s="286"/>
      <c r="T87" s="287"/>
      <c r="U87" s="288"/>
      <c r="V87" s="288"/>
      <c r="W87" s="288"/>
      <c r="X87" s="81"/>
      <c r="Y87" s="284"/>
      <c r="Z87" s="285"/>
      <c r="AA87" s="286"/>
      <c r="AB87" s="286"/>
      <c r="AC87" s="286"/>
      <c r="AD87" s="286"/>
      <c r="AE87" s="286"/>
      <c r="AF87" s="287"/>
      <c r="AG87" s="288"/>
      <c r="AH87" s="288"/>
      <c r="AI87" s="288"/>
      <c r="AJ87" s="81"/>
      <c r="AK87" s="284"/>
      <c r="AL87" s="285"/>
      <c r="AM87" s="286"/>
      <c r="AN87" s="286"/>
      <c r="AO87" s="286"/>
      <c r="AP87" s="286"/>
      <c r="AQ87" s="286"/>
      <c r="AR87" s="287"/>
      <c r="AS87" s="288"/>
      <c r="AT87" s="288"/>
      <c r="AU87" s="288"/>
      <c r="AV87" s="81"/>
      <c r="AW87" s="284"/>
      <c r="AX87" s="285"/>
      <c r="AY87" s="286"/>
      <c r="AZ87" s="286"/>
      <c r="BA87" s="286"/>
      <c r="BB87" s="286"/>
      <c r="BC87" s="286"/>
      <c r="BD87" s="287"/>
      <c r="BE87" s="288"/>
      <c r="BF87" s="288"/>
      <c r="BG87" s="288"/>
      <c r="BH87" s="81"/>
      <c r="BI87" s="284"/>
      <c r="BJ87" s="285"/>
      <c r="BK87" s="286"/>
      <c r="BL87" s="286"/>
      <c r="BM87" s="286"/>
      <c r="BN87" s="286"/>
      <c r="BO87" s="286"/>
      <c r="BP87" s="287"/>
      <c r="BQ87" s="288"/>
      <c r="BR87" s="288"/>
      <c r="BS87" s="288"/>
      <c r="BT87" s="81"/>
      <c r="BU87" s="284"/>
      <c r="BV87" s="285"/>
      <c r="BW87" s="286"/>
      <c r="BX87" s="286"/>
      <c r="BY87" s="286"/>
      <c r="BZ87" s="286"/>
      <c r="CA87" s="286"/>
      <c r="CB87" s="287"/>
      <c r="CC87" s="288"/>
      <c r="CD87" s="288"/>
      <c r="CE87" s="288"/>
      <c r="CF87" s="81"/>
      <c r="CG87" s="284"/>
      <c r="CH87" s="285"/>
      <c r="CI87" s="286"/>
      <c r="CJ87" s="286"/>
      <c r="CK87" s="286"/>
      <c r="CL87" s="286"/>
      <c r="CM87" s="286"/>
      <c r="CN87" s="287"/>
      <c r="CO87" s="288"/>
      <c r="CP87" s="288"/>
      <c r="CQ87" s="288"/>
      <c r="CR87" s="81"/>
      <c r="CS87" s="284"/>
      <c r="CT87" s="285"/>
      <c r="CU87" s="286"/>
      <c r="CV87" s="286"/>
      <c r="CW87" s="286"/>
      <c r="CX87" s="286"/>
      <c r="CY87" s="286"/>
      <c r="CZ87" s="287"/>
      <c r="DA87" s="288"/>
      <c r="DB87" s="288"/>
      <c r="DC87" s="288"/>
      <c r="DD87" s="81"/>
      <c r="DE87" s="284"/>
      <c r="DF87" s="285"/>
      <c r="DG87" s="286"/>
      <c r="DH87" s="286"/>
      <c r="DI87" s="286"/>
      <c r="DJ87" s="286"/>
      <c r="DK87" s="286"/>
      <c r="DL87" s="287"/>
      <c r="DM87" s="288"/>
      <c r="DN87" s="288"/>
      <c r="DO87" s="288"/>
      <c r="DP87" s="81"/>
      <c r="DQ87" s="284"/>
      <c r="DR87" s="285"/>
      <c r="DS87" s="286"/>
      <c r="DT87" s="286"/>
      <c r="DU87" s="286"/>
      <c r="DV87" s="286"/>
      <c r="DW87" s="286"/>
      <c r="DX87" s="287"/>
      <c r="DY87" s="288"/>
      <c r="DZ87" s="288"/>
      <c r="EA87" s="288"/>
      <c r="EB87" s="81"/>
      <c r="EC87" s="284"/>
      <c r="ED87" s="285"/>
      <c r="EE87" s="286"/>
      <c r="EF87" s="286"/>
      <c r="EG87" s="286"/>
      <c r="EH87" s="286"/>
      <c r="EI87" s="286"/>
      <c r="EJ87" s="287"/>
      <c r="EK87" s="288"/>
      <c r="EL87" s="288"/>
      <c r="EM87" s="288"/>
      <c r="EN87" s="81"/>
      <c r="EO87" s="284"/>
      <c r="EP87" s="285"/>
      <c r="EQ87" s="286"/>
      <c r="ER87" s="286"/>
      <c r="ES87" s="286"/>
      <c r="ET87" s="286"/>
      <c r="EU87" s="286"/>
      <c r="EV87" s="287"/>
      <c r="EW87" s="288"/>
      <c r="EX87" s="288"/>
      <c r="EY87" s="288"/>
      <c r="EZ87" s="81"/>
      <c r="FA87" s="284"/>
      <c r="FB87" s="285"/>
      <c r="FC87" s="286"/>
      <c r="FD87" s="286"/>
      <c r="FE87" s="286"/>
      <c r="FF87" s="286"/>
      <c r="FG87" s="286"/>
      <c r="FH87" s="287"/>
      <c r="FI87" s="288"/>
      <c r="FJ87" s="288"/>
      <c r="FK87" s="288"/>
      <c r="FL87" s="81"/>
      <c r="FM87" s="284"/>
      <c r="FN87" s="285"/>
      <c r="FO87" s="286"/>
      <c r="FP87" s="286"/>
      <c r="FQ87" s="286"/>
      <c r="FR87" s="286"/>
      <c r="FS87" s="286"/>
      <c r="FT87" s="287"/>
      <c r="FU87" s="288"/>
      <c r="FV87" s="288"/>
      <c r="FW87" s="288"/>
      <c r="FX87" s="81"/>
      <c r="FY87" s="284"/>
      <c r="FZ87" s="285"/>
      <c r="GA87" s="286"/>
      <c r="GB87" s="286"/>
      <c r="GC87" s="286"/>
      <c r="GD87" s="286"/>
      <c r="GE87" s="286"/>
      <c r="GF87" s="287"/>
      <c r="GG87" s="288"/>
      <c r="GH87" s="288"/>
      <c r="GI87" s="288"/>
      <c r="GJ87" s="81"/>
      <c r="GK87" s="284"/>
      <c r="GL87" s="285"/>
      <c r="GM87" s="286"/>
      <c r="GN87" s="286"/>
      <c r="GO87" s="286"/>
      <c r="GP87" s="286"/>
      <c r="GQ87" s="286"/>
      <c r="GR87" s="287"/>
      <c r="GS87" s="288"/>
      <c r="GT87" s="288"/>
      <c r="GU87" s="288"/>
      <c r="GV87" s="81"/>
      <c r="GW87" s="284"/>
      <c r="GX87" s="285"/>
      <c r="GY87" s="286"/>
      <c r="GZ87" s="286"/>
      <c r="HA87" s="286"/>
      <c r="HB87" s="286"/>
      <c r="HC87" s="286"/>
      <c r="HD87" s="287"/>
      <c r="HE87" s="288"/>
      <c r="HF87" s="288"/>
      <c r="HG87" s="288"/>
      <c r="HH87" s="81"/>
      <c r="HI87" s="75"/>
    </row>
    <row r="88" ht="15.75" customHeight="1">
      <c r="A88" s="289">
        <v>1.0</v>
      </c>
      <c r="B88" s="290" t="s">
        <v>71</v>
      </c>
      <c r="C88" s="291"/>
      <c r="D88" s="292">
        <f t="shared" ref="D88:D93" si="379">1.16180660667508/100</f>
        <v>0.01161806607</v>
      </c>
      <c r="E88" s="291">
        <f t="shared" ref="E88:E93" si="380">IFERROR(+D88*C88,"0")</f>
        <v>0</v>
      </c>
      <c r="F88" s="292">
        <v>0.16716266605705102</v>
      </c>
      <c r="G88" s="291">
        <f t="shared" ref="G88:G93" si="381">IFERROR(+E88*F88,"")</f>
        <v>0</v>
      </c>
      <c r="H88" s="293">
        <f t="shared" ref="H88:H93" si="382">IFERROR(+(IF(E88="","0",E88))-(IF(G88="","0",G88)),"")</f>
        <v>0</v>
      </c>
      <c r="I88" s="288"/>
      <c r="J88" s="288"/>
      <c r="K88" s="288"/>
      <c r="L88" s="81"/>
      <c r="M88" s="289">
        <v>1.0</v>
      </c>
      <c r="N88" s="290" t="s">
        <v>71</v>
      </c>
      <c r="O88" s="291"/>
      <c r="P88" s="292">
        <f t="shared" ref="P88:P93" si="383">1.16180660667508/100</f>
        <v>0.01161806607</v>
      </c>
      <c r="Q88" s="291">
        <f t="shared" ref="Q88:Q93" si="384">IFERROR(+P88*O88,"0")</f>
        <v>0</v>
      </c>
      <c r="R88" s="292">
        <v>0.16716266605705102</v>
      </c>
      <c r="S88" s="291">
        <f t="shared" ref="S88:S93" si="385">IFERROR(+Q88*R88,"")</f>
        <v>0</v>
      </c>
      <c r="T88" s="293">
        <f t="shared" ref="T88:T93" si="386">IFERROR(+(IF(Q88="","0",Q88))-(IF(S88="","0",S88)),"")</f>
        <v>0</v>
      </c>
      <c r="U88" s="288"/>
      <c r="V88" s="288"/>
      <c r="W88" s="288"/>
      <c r="X88" s="81"/>
      <c r="Y88" s="289">
        <v>1.0</v>
      </c>
      <c r="Z88" s="290" t="s">
        <v>71</v>
      </c>
      <c r="AA88" s="291"/>
      <c r="AB88" s="292">
        <f t="shared" ref="AB88:AB93" si="387">1.16180660667508/100</f>
        <v>0.01161806607</v>
      </c>
      <c r="AC88" s="291">
        <f t="shared" ref="AC88:AC93" si="388">IFERROR(+AB88*AA88,"0")</f>
        <v>0</v>
      </c>
      <c r="AD88" s="292">
        <v>0.16716266605705102</v>
      </c>
      <c r="AE88" s="291">
        <f t="shared" ref="AE88:AE93" si="389">IFERROR(+AC88*AD88,"")</f>
        <v>0</v>
      </c>
      <c r="AF88" s="293">
        <f t="shared" ref="AF88:AF93" si="390">IFERROR(+(IF(AC88="","0",AC88))-(IF(AE88="","0",AE88)),"")</f>
        <v>0</v>
      </c>
      <c r="AG88" s="288"/>
      <c r="AH88" s="288"/>
      <c r="AI88" s="288"/>
      <c r="AJ88" s="81"/>
      <c r="AK88" s="289">
        <v>1.0</v>
      </c>
      <c r="AL88" s="290" t="s">
        <v>71</v>
      </c>
      <c r="AM88" s="291"/>
      <c r="AN88" s="292">
        <f t="shared" ref="AN88:AN93" si="391">1.16180660667508/100</f>
        <v>0.01161806607</v>
      </c>
      <c r="AO88" s="291">
        <f t="shared" ref="AO88:AO93" si="392">IFERROR(+AN88*AM88,"0")</f>
        <v>0</v>
      </c>
      <c r="AP88" s="292">
        <v>0.16716266605705102</v>
      </c>
      <c r="AQ88" s="291">
        <f t="shared" ref="AQ88:AQ93" si="393">IFERROR(+AO88*AP88,"")</f>
        <v>0</v>
      </c>
      <c r="AR88" s="293">
        <f t="shared" ref="AR88:AR93" si="394">IFERROR(+(IF(AO88="","0",AO88))-(IF(AQ88="","0",AQ88)),"")</f>
        <v>0</v>
      </c>
      <c r="AS88" s="288"/>
      <c r="AT88" s="288"/>
      <c r="AU88" s="288"/>
      <c r="AV88" s="81"/>
      <c r="AW88" s="289">
        <v>1.0</v>
      </c>
      <c r="AX88" s="290" t="s">
        <v>71</v>
      </c>
      <c r="AY88" s="291"/>
      <c r="AZ88" s="292">
        <f t="shared" ref="AZ88:AZ93" si="395">1.16180660667508/100</f>
        <v>0.01161806607</v>
      </c>
      <c r="BA88" s="291">
        <f t="shared" ref="BA88:BA93" si="396">IFERROR(+AZ88*AY88,"0")</f>
        <v>0</v>
      </c>
      <c r="BB88" s="292">
        <v>0.16716266605705102</v>
      </c>
      <c r="BC88" s="291">
        <f t="shared" ref="BC88:BC93" si="397">IFERROR(+BA88*BB88,"")</f>
        <v>0</v>
      </c>
      <c r="BD88" s="293">
        <f t="shared" ref="BD88:BD93" si="398">IFERROR(+(IF(BA88="","0",BA88))-(IF(BC88="","0",BC88)),"")</f>
        <v>0</v>
      </c>
      <c r="BE88" s="288"/>
      <c r="BF88" s="288"/>
      <c r="BG88" s="288"/>
      <c r="BH88" s="81"/>
      <c r="BI88" s="289">
        <v>1.0</v>
      </c>
      <c r="BJ88" s="290" t="s">
        <v>71</v>
      </c>
      <c r="BK88" s="291"/>
      <c r="BL88" s="292">
        <f t="shared" ref="BL88:BL93" si="399">1.16180660667508/100</f>
        <v>0.01161806607</v>
      </c>
      <c r="BM88" s="291">
        <f t="shared" ref="BM88:BM93" si="400">IFERROR(+BL88*BK88,"0")</f>
        <v>0</v>
      </c>
      <c r="BN88" s="292">
        <v>0.16716266605705102</v>
      </c>
      <c r="BO88" s="291">
        <f t="shared" ref="BO88:BO93" si="401">IFERROR(+BM88*BN88,"")</f>
        <v>0</v>
      </c>
      <c r="BP88" s="293">
        <f t="shared" ref="BP88:BP93" si="402">IFERROR(+(IF(BM88="","0",BM88))-(IF(BO88="","0",BO88)),"")</f>
        <v>0</v>
      </c>
      <c r="BQ88" s="288"/>
      <c r="BR88" s="288"/>
      <c r="BS88" s="288"/>
      <c r="BT88" s="81"/>
      <c r="BU88" s="289">
        <v>1.0</v>
      </c>
      <c r="BV88" s="290" t="s">
        <v>71</v>
      </c>
      <c r="BW88" s="291"/>
      <c r="BX88" s="292">
        <f t="shared" ref="BX88:BX93" si="403">1.16180660667508/100</f>
        <v>0.01161806607</v>
      </c>
      <c r="BY88" s="291">
        <f t="shared" ref="BY88:BY93" si="404">IFERROR(+BX88*BW88,"0")</f>
        <v>0</v>
      </c>
      <c r="BZ88" s="292">
        <v>0.16716266605705102</v>
      </c>
      <c r="CA88" s="291">
        <f t="shared" ref="CA88:CA93" si="405">IFERROR(+BY88*BZ88,"")</f>
        <v>0</v>
      </c>
      <c r="CB88" s="293">
        <f t="shared" ref="CB88:CB93" si="406">IFERROR(+(IF(BY88="","0",BY88))-(IF(CA88="","0",CA88)),"")</f>
        <v>0</v>
      </c>
      <c r="CC88" s="288"/>
      <c r="CD88" s="288"/>
      <c r="CE88" s="288"/>
      <c r="CF88" s="81"/>
      <c r="CG88" s="289">
        <v>1.0</v>
      </c>
      <c r="CH88" s="290" t="s">
        <v>71</v>
      </c>
      <c r="CI88" s="291"/>
      <c r="CJ88" s="292">
        <f t="shared" ref="CJ88:CJ93" si="407">1.16180660667508/100</f>
        <v>0.01161806607</v>
      </c>
      <c r="CK88" s="291">
        <f t="shared" ref="CK88:CK93" si="408">IFERROR(+CJ88*CI88,"0")</f>
        <v>0</v>
      </c>
      <c r="CL88" s="292">
        <v>0.16716266605705102</v>
      </c>
      <c r="CM88" s="291">
        <f t="shared" ref="CM88:CM93" si="409">IFERROR(+CK88*CL88,"")</f>
        <v>0</v>
      </c>
      <c r="CN88" s="293">
        <f t="shared" ref="CN88:CN93" si="410">IFERROR(+(IF(CK88="","0",CK88))-(IF(CM88="","0",CM88)),"")</f>
        <v>0</v>
      </c>
      <c r="CO88" s="288"/>
      <c r="CP88" s="288"/>
      <c r="CQ88" s="288"/>
      <c r="CR88" s="81"/>
      <c r="CS88" s="289">
        <v>1.0</v>
      </c>
      <c r="CT88" s="290" t="s">
        <v>71</v>
      </c>
      <c r="CU88" s="291"/>
      <c r="CV88" s="292">
        <f t="shared" ref="CV88:CV93" si="411">1.16180660667508/100</f>
        <v>0.01161806607</v>
      </c>
      <c r="CW88" s="291">
        <f t="shared" ref="CW88:CW93" si="412">IFERROR(+CV88*CU88,"0")</f>
        <v>0</v>
      </c>
      <c r="CX88" s="292">
        <v>0.16716266605705102</v>
      </c>
      <c r="CY88" s="291">
        <f t="shared" ref="CY88:CY93" si="413">IFERROR(+CW88*CX88,"")</f>
        <v>0</v>
      </c>
      <c r="CZ88" s="293">
        <f t="shared" ref="CZ88:CZ93" si="414">IFERROR(+(IF(CW88="","0",CW88))-(IF(CY88="","0",CY88)),"")</f>
        <v>0</v>
      </c>
      <c r="DA88" s="288"/>
      <c r="DB88" s="288"/>
      <c r="DC88" s="288"/>
      <c r="DD88" s="81"/>
      <c r="DE88" s="289">
        <v>1.0</v>
      </c>
      <c r="DF88" s="290" t="s">
        <v>71</v>
      </c>
      <c r="DG88" s="291">
        <f>'Hitung Output'!BI60</f>
        <v>447747.3186</v>
      </c>
      <c r="DH88" s="292">
        <f t="shared" ref="DH88:DH93" si="415">1.16180660667508/100</f>
        <v>0.01161806607</v>
      </c>
      <c r="DI88" s="294">
        <f t="shared" ref="DI88:DI93" si="416">IFERROR(+DH88*DG88,"0")</f>
        <v>5201.957928</v>
      </c>
      <c r="DJ88" s="292">
        <v>0.16716266605705102</v>
      </c>
      <c r="DK88" s="291">
        <f t="shared" ref="DK88:DK93" si="417">IFERROR(+DI88*DJ88,"")</f>
        <v>869.573156</v>
      </c>
      <c r="DL88" s="293">
        <f t="shared" ref="DL88:DL93" si="418">IFERROR(+(IF(DI88="","0",DI88))-(IF(DK88="","0",DK88)),"")</f>
        <v>4332.384772</v>
      </c>
      <c r="DM88" s="288"/>
      <c r="DN88" s="288"/>
      <c r="DO88" s="288"/>
      <c r="DP88" s="81"/>
      <c r="DQ88" s="289">
        <v>1.0</v>
      </c>
      <c r="DR88" s="290" t="s">
        <v>71</v>
      </c>
      <c r="DS88" s="292">
        <f>'Hitung Output'!BN60</f>
        <v>465474.4891</v>
      </c>
      <c r="DT88" s="292">
        <f t="shared" ref="DT88:DT93" si="419">1.16180660667508/100</f>
        <v>0.01161806607</v>
      </c>
      <c r="DU88" s="295">
        <f t="shared" ref="DU88:DU93" si="420">IFERROR(+DT88*DS88,"0")</f>
        <v>5407.913367</v>
      </c>
      <c r="DV88" s="292">
        <v>0.16716266605705102</v>
      </c>
      <c r="DW88" s="291">
        <f t="shared" ref="DW88:DW93" si="421">IFERROR(+DU88*DV88,"")</f>
        <v>904.0012162</v>
      </c>
      <c r="DX88" s="293">
        <f t="shared" ref="DX88:DX93" si="422">IFERROR(+(IF(DU88="","0",DU88))-(IF(DW88="","0",DW88)),"")</f>
        <v>4503.912151</v>
      </c>
      <c r="DY88" s="288"/>
      <c r="DZ88" s="288"/>
      <c r="EA88" s="288"/>
      <c r="EB88" s="81"/>
      <c r="EC88" s="289">
        <v>1.0</v>
      </c>
      <c r="ED88" s="290" t="s">
        <v>71</v>
      </c>
      <c r="EE88" s="292">
        <f>'Hitung Output'!BS60</f>
        <v>454989.0552</v>
      </c>
      <c r="EF88" s="292">
        <f t="shared" ref="EF88:EF93" si="423">1.16180660667508/100</f>
        <v>0.01161806607</v>
      </c>
      <c r="EG88" s="296">
        <f t="shared" ref="EG88:EG93" si="424">IFERROR(+EF88*EE88,"0")</f>
        <v>5286.092903</v>
      </c>
      <c r="EH88" s="292">
        <v>0.16716266605705102</v>
      </c>
      <c r="EI88" s="291">
        <f t="shared" ref="EI88:EI93" si="425">IFERROR(+EG88*EH88,"")</f>
        <v>883.6373827</v>
      </c>
      <c r="EJ88" s="293">
        <f t="shared" ref="EJ88:EJ93" si="426">IFERROR(+(IF(EG88="","0",EG88))-(IF(EI88="","0",EI88)),"")</f>
        <v>4402.45552</v>
      </c>
      <c r="EK88" s="288"/>
      <c r="EL88" s="288"/>
      <c r="EM88" s="288"/>
      <c r="EN88" s="81"/>
      <c r="EO88" s="289">
        <v>1.0</v>
      </c>
      <c r="EP88" s="290" t="s">
        <v>71</v>
      </c>
      <c r="EQ88" s="291">
        <f>'Hitung Output'!BX60</f>
        <v>434317.1347</v>
      </c>
      <c r="ER88" s="292">
        <f t="shared" ref="ER88:ER93" si="427">1.16180660667508/100</f>
        <v>0.01161806607</v>
      </c>
      <c r="ES88" s="297">
        <f t="shared" ref="ES88:ES93" si="428">IFERROR(+ER88*EQ88,"0")</f>
        <v>5045.925165</v>
      </c>
      <c r="ET88" s="292">
        <v>0.16716266605705102</v>
      </c>
      <c r="EU88" s="291">
        <f t="shared" ref="EU88:EU93" si="429">IFERROR(+ES88*ET88,"")</f>
        <v>843.4903033</v>
      </c>
      <c r="EV88" s="293">
        <f t="shared" ref="EV88:EV93" si="430">IFERROR(+(IF(ES88="","0",ES88))-(IF(EU88="","0",EU88)),"")</f>
        <v>4202.434862</v>
      </c>
      <c r="EW88" s="288"/>
      <c r="EX88" s="288"/>
      <c r="EY88" s="288"/>
      <c r="EZ88" s="81"/>
      <c r="FA88" s="289">
        <v>1.0</v>
      </c>
      <c r="FB88" s="290" t="s">
        <v>71</v>
      </c>
      <c r="FC88" s="291">
        <f>'Hitung Output'!CC60</f>
        <v>472710.2584</v>
      </c>
      <c r="FD88" s="292">
        <f t="shared" ref="FD88:FD93" si="431">1.16180660667508/100</f>
        <v>0.01161806607</v>
      </c>
      <c r="FE88" s="291">
        <f t="shared" ref="FE88:FE93" si="432">IFERROR(+FD88*FC88,"0")</f>
        <v>5491.979013</v>
      </c>
      <c r="FF88" s="292">
        <v>0.16716266605705102</v>
      </c>
      <c r="FG88" s="291">
        <f t="shared" ref="FG88:FG93" si="433">IFERROR(+FE88*FF88,"")</f>
        <v>918.0538537</v>
      </c>
      <c r="FH88" s="293">
        <f t="shared" ref="FH88:FH93" si="434">IFERROR(+(IF(FE88="","0",FE88))-(IF(FG88="","0",FG88)),"")</f>
        <v>4573.925159</v>
      </c>
      <c r="FI88" s="288"/>
      <c r="FJ88" s="288"/>
      <c r="FK88" s="288"/>
      <c r="FL88" s="81"/>
      <c r="FM88" s="289">
        <v>1.0</v>
      </c>
      <c r="FN88" s="290" t="s">
        <v>71</v>
      </c>
      <c r="FO88" s="291">
        <f>'Hitung Output'!CH60</f>
        <v>492281.6263</v>
      </c>
      <c r="FP88" s="292">
        <f t="shared" ref="FP88:FP93" si="435">1.16180660667508/100</f>
        <v>0.01161806607</v>
      </c>
      <c r="FQ88" s="291">
        <f t="shared" ref="FQ88:FQ93" si="436">IFERROR(+FP88*FO88,"0")</f>
        <v>5719.360458</v>
      </c>
      <c r="FR88" s="292">
        <v>0.16716266605705102</v>
      </c>
      <c r="FS88" s="291">
        <f t="shared" ref="FS88:FS93" si="437">IFERROR(+FQ88*FR88,"")</f>
        <v>956.0635423</v>
      </c>
      <c r="FT88" s="293">
        <f t="shared" ref="FT88:FT93" si="438">IFERROR(+(IF(FQ88="","0",FQ88))-(IF(FS88="","0",FS88)),"")</f>
        <v>4763.296915</v>
      </c>
      <c r="FU88" s="288"/>
      <c r="FV88" s="288"/>
      <c r="FW88" s="288"/>
      <c r="FX88" s="81"/>
      <c r="FY88" s="289">
        <v>1.0</v>
      </c>
      <c r="FZ88" s="290" t="s">
        <v>71</v>
      </c>
      <c r="GA88" s="291">
        <f>'Hitung Output'!CM60</f>
        <v>479035.2578</v>
      </c>
      <c r="GB88" s="292">
        <f t="shared" ref="GB88:GB93" si="439">1.16180660667508/100</f>
        <v>0.01161806607</v>
      </c>
      <c r="GC88" s="291">
        <f t="shared" ref="GC88:GC93" si="440">IFERROR(+GB88*GA88,"0")</f>
        <v>5565.463273</v>
      </c>
      <c r="GD88" s="292">
        <v>0.16716266605705102</v>
      </c>
      <c r="GE88" s="291">
        <f t="shared" ref="GE88:GE93" si="441">IFERROR(+GC88*GD88,"")</f>
        <v>930.3376786</v>
      </c>
      <c r="GF88" s="293">
        <f t="shared" ref="GF88:GF93" si="442">IFERROR(+(IF(GC88="","0",GC88))-(IF(GE88="","0",GE88)),"")</f>
        <v>4635.125595</v>
      </c>
      <c r="GG88" s="288"/>
      <c r="GH88" s="288"/>
      <c r="GI88" s="288"/>
      <c r="GJ88" s="81"/>
      <c r="GK88" s="289">
        <v>1.0</v>
      </c>
      <c r="GL88" s="290" t="s">
        <v>71</v>
      </c>
      <c r="GM88" s="291"/>
      <c r="GN88" s="292">
        <f t="shared" ref="GN88:GN93" si="443">1.16180660667508/100</f>
        <v>0.01161806607</v>
      </c>
      <c r="GO88" s="291">
        <f t="shared" ref="GO88:GO93" si="444">IFERROR(+GN88*GM88,"0")</f>
        <v>0</v>
      </c>
      <c r="GP88" s="292">
        <v>0.16716266605705102</v>
      </c>
      <c r="GQ88" s="291">
        <f t="shared" ref="GQ88:GQ93" si="445">IFERROR(+GO88*GP88,"")</f>
        <v>0</v>
      </c>
      <c r="GR88" s="293">
        <f t="shared" ref="GR88:GR93" si="446">IFERROR(+(IF(GO88="","0",GO88))-(IF(GQ88="","0",GQ88)),"")</f>
        <v>0</v>
      </c>
      <c r="GS88" s="288"/>
      <c r="GT88" s="288"/>
      <c r="GU88" s="288"/>
      <c r="GV88" s="81"/>
      <c r="GW88" s="289">
        <v>1.0</v>
      </c>
      <c r="GX88" s="290" t="s">
        <v>71</v>
      </c>
      <c r="GY88" s="291"/>
      <c r="GZ88" s="292">
        <f t="shared" ref="GZ88:GZ93" si="447">1.16180660667508/100</f>
        <v>0.01161806607</v>
      </c>
      <c r="HA88" s="291">
        <f t="shared" ref="HA88:HA93" si="448">IFERROR(+GZ88*GY88,"0")</f>
        <v>0</v>
      </c>
      <c r="HB88" s="292">
        <v>0.16716266605705102</v>
      </c>
      <c r="HC88" s="291">
        <f t="shared" ref="HC88:HC93" si="449">IFERROR(+HA88*HB88,"")</f>
        <v>0</v>
      </c>
      <c r="HD88" s="293">
        <f t="shared" ref="HD88:HD93" si="450">IFERROR(+(IF(HA88="","0",HA88))-(IF(HC88="","0",HC88)),"")</f>
        <v>0</v>
      </c>
      <c r="HE88" s="288"/>
      <c r="HF88" s="288"/>
      <c r="HG88" s="288"/>
      <c r="HH88" s="81"/>
      <c r="HI88" s="75"/>
    </row>
    <row r="89" ht="15.75" customHeight="1">
      <c r="A89" s="289">
        <f t="shared" ref="A89:A93" si="451">A88+1</f>
        <v>2</v>
      </c>
      <c r="B89" s="290" t="s">
        <v>72</v>
      </c>
      <c r="C89" s="291"/>
      <c r="D89" s="292">
        <f t="shared" si="379"/>
        <v>0.01161806607</v>
      </c>
      <c r="E89" s="291">
        <f t="shared" si="380"/>
        <v>0</v>
      </c>
      <c r="F89" s="292">
        <v>0.16716266605705102</v>
      </c>
      <c r="G89" s="291">
        <f t="shared" si="381"/>
        <v>0</v>
      </c>
      <c r="H89" s="293">
        <f t="shared" si="382"/>
        <v>0</v>
      </c>
      <c r="I89" s="288"/>
      <c r="J89" s="288"/>
      <c r="K89" s="288"/>
      <c r="L89" s="81"/>
      <c r="M89" s="289">
        <f t="shared" ref="M89:M93" si="452">M88+1</f>
        <v>2</v>
      </c>
      <c r="N89" s="290" t="s">
        <v>72</v>
      </c>
      <c r="O89" s="291"/>
      <c r="P89" s="292">
        <f t="shared" si="383"/>
        <v>0.01161806607</v>
      </c>
      <c r="Q89" s="291">
        <f t="shared" si="384"/>
        <v>0</v>
      </c>
      <c r="R89" s="292">
        <v>0.16716266605705102</v>
      </c>
      <c r="S89" s="291">
        <f t="shared" si="385"/>
        <v>0</v>
      </c>
      <c r="T89" s="293">
        <f t="shared" si="386"/>
        <v>0</v>
      </c>
      <c r="U89" s="288"/>
      <c r="V89" s="288"/>
      <c r="W89" s="288"/>
      <c r="X89" s="81"/>
      <c r="Y89" s="289">
        <f t="shared" ref="Y89:Y93" si="453">Y88+1</f>
        <v>2</v>
      </c>
      <c r="Z89" s="290" t="s">
        <v>72</v>
      </c>
      <c r="AA89" s="291"/>
      <c r="AB89" s="292">
        <f t="shared" si="387"/>
        <v>0.01161806607</v>
      </c>
      <c r="AC89" s="291">
        <f t="shared" si="388"/>
        <v>0</v>
      </c>
      <c r="AD89" s="292">
        <v>0.16716266605705102</v>
      </c>
      <c r="AE89" s="291">
        <f t="shared" si="389"/>
        <v>0</v>
      </c>
      <c r="AF89" s="293">
        <f t="shared" si="390"/>
        <v>0</v>
      </c>
      <c r="AG89" s="288"/>
      <c r="AH89" s="288"/>
      <c r="AI89" s="288"/>
      <c r="AJ89" s="81"/>
      <c r="AK89" s="289">
        <f t="shared" ref="AK89:AK93" si="454">AK88+1</f>
        <v>2</v>
      </c>
      <c r="AL89" s="290" t="s">
        <v>72</v>
      </c>
      <c r="AM89" s="291"/>
      <c r="AN89" s="292">
        <f t="shared" si="391"/>
        <v>0.01161806607</v>
      </c>
      <c r="AO89" s="291">
        <f t="shared" si="392"/>
        <v>0</v>
      </c>
      <c r="AP89" s="292">
        <v>0.16716266605705102</v>
      </c>
      <c r="AQ89" s="291">
        <f t="shared" si="393"/>
        <v>0</v>
      </c>
      <c r="AR89" s="293">
        <f t="shared" si="394"/>
        <v>0</v>
      </c>
      <c r="AS89" s="288"/>
      <c r="AT89" s="288"/>
      <c r="AU89" s="288"/>
      <c r="AV89" s="81"/>
      <c r="AW89" s="289">
        <f t="shared" ref="AW89:AW93" si="455">AW88+1</f>
        <v>2</v>
      </c>
      <c r="AX89" s="290" t="s">
        <v>72</v>
      </c>
      <c r="AY89" s="291"/>
      <c r="AZ89" s="292">
        <f t="shared" si="395"/>
        <v>0.01161806607</v>
      </c>
      <c r="BA89" s="291">
        <f t="shared" si="396"/>
        <v>0</v>
      </c>
      <c r="BB89" s="292">
        <v>0.16716266605705102</v>
      </c>
      <c r="BC89" s="291">
        <f t="shared" si="397"/>
        <v>0</v>
      </c>
      <c r="BD89" s="293">
        <f t="shared" si="398"/>
        <v>0</v>
      </c>
      <c r="BE89" s="288"/>
      <c r="BF89" s="288"/>
      <c r="BG89" s="288"/>
      <c r="BH89" s="81"/>
      <c r="BI89" s="289">
        <f t="shared" ref="BI89:BI93" si="456">BI88+1</f>
        <v>2</v>
      </c>
      <c r="BJ89" s="290" t="s">
        <v>72</v>
      </c>
      <c r="BK89" s="291"/>
      <c r="BL89" s="292">
        <f t="shared" si="399"/>
        <v>0.01161806607</v>
      </c>
      <c r="BM89" s="291">
        <f t="shared" si="400"/>
        <v>0</v>
      </c>
      <c r="BN89" s="292">
        <v>0.16716266605705102</v>
      </c>
      <c r="BO89" s="291">
        <f t="shared" si="401"/>
        <v>0</v>
      </c>
      <c r="BP89" s="293">
        <f t="shared" si="402"/>
        <v>0</v>
      </c>
      <c r="BQ89" s="288"/>
      <c r="BR89" s="288"/>
      <c r="BS89" s="288"/>
      <c r="BT89" s="81"/>
      <c r="BU89" s="289">
        <f t="shared" ref="BU89:BU93" si="457">BU88+1</f>
        <v>2</v>
      </c>
      <c r="BV89" s="290" t="s">
        <v>72</v>
      </c>
      <c r="BW89" s="291"/>
      <c r="BX89" s="292">
        <f t="shared" si="403"/>
        <v>0.01161806607</v>
      </c>
      <c r="BY89" s="291">
        <f t="shared" si="404"/>
        <v>0</v>
      </c>
      <c r="BZ89" s="292">
        <v>0.16716266605705102</v>
      </c>
      <c r="CA89" s="291">
        <f t="shared" si="405"/>
        <v>0</v>
      </c>
      <c r="CB89" s="293">
        <f t="shared" si="406"/>
        <v>0</v>
      </c>
      <c r="CC89" s="288"/>
      <c r="CD89" s="288"/>
      <c r="CE89" s="288"/>
      <c r="CF89" s="81"/>
      <c r="CG89" s="289">
        <f t="shared" ref="CG89:CG93" si="458">CG88+1</f>
        <v>2</v>
      </c>
      <c r="CH89" s="290" t="s">
        <v>72</v>
      </c>
      <c r="CI89" s="291"/>
      <c r="CJ89" s="292">
        <f t="shared" si="407"/>
        <v>0.01161806607</v>
      </c>
      <c r="CK89" s="291">
        <f t="shared" si="408"/>
        <v>0</v>
      </c>
      <c r="CL89" s="292">
        <v>0.16716266605705102</v>
      </c>
      <c r="CM89" s="291">
        <f t="shared" si="409"/>
        <v>0</v>
      </c>
      <c r="CN89" s="293">
        <f t="shared" si="410"/>
        <v>0</v>
      </c>
      <c r="CO89" s="288"/>
      <c r="CP89" s="288"/>
      <c r="CQ89" s="288"/>
      <c r="CR89" s="81"/>
      <c r="CS89" s="289">
        <f t="shared" ref="CS89:CS93" si="459">CS88+1</f>
        <v>2</v>
      </c>
      <c r="CT89" s="290" t="s">
        <v>72</v>
      </c>
      <c r="CU89" s="291"/>
      <c r="CV89" s="292">
        <f t="shared" si="411"/>
        <v>0.01161806607</v>
      </c>
      <c r="CW89" s="291">
        <f t="shared" si="412"/>
        <v>0</v>
      </c>
      <c r="CX89" s="292">
        <v>0.16716266605705102</v>
      </c>
      <c r="CY89" s="291">
        <f t="shared" si="413"/>
        <v>0</v>
      </c>
      <c r="CZ89" s="293">
        <f t="shared" si="414"/>
        <v>0</v>
      </c>
      <c r="DA89" s="288"/>
      <c r="DB89" s="288"/>
      <c r="DC89" s="288"/>
      <c r="DD89" s="81"/>
      <c r="DE89" s="289">
        <f t="shared" ref="DE89:DE93" si="460">DE88+1</f>
        <v>2</v>
      </c>
      <c r="DF89" s="290" t="s">
        <v>72</v>
      </c>
      <c r="DG89" s="291">
        <f>'Hitung Output'!BI61</f>
        <v>87906.19733</v>
      </c>
      <c r="DH89" s="292">
        <f t="shared" si="415"/>
        <v>0.01161806607</v>
      </c>
      <c r="DI89" s="294">
        <f t="shared" si="416"/>
        <v>1021.300008</v>
      </c>
      <c r="DJ89" s="292">
        <v>0.16716266605705102</v>
      </c>
      <c r="DK89" s="291">
        <f t="shared" si="417"/>
        <v>170.7232322</v>
      </c>
      <c r="DL89" s="293">
        <f t="shared" si="418"/>
        <v>850.576776</v>
      </c>
      <c r="DM89" s="288"/>
      <c r="DN89" s="288"/>
      <c r="DO89" s="288"/>
      <c r="DP89" s="81"/>
      <c r="DQ89" s="289">
        <f t="shared" ref="DQ89:DQ93" si="461">DQ88+1</f>
        <v>2</v>
      </c>
      <c r="DR89" s="290" t="s">
        <v>72</v>
      </c>
      <c r="DS89" s="292">
        <f>'Hitung Output'!BN61</f>
        <v>87609.33357</v>
      </c>
      <c r="DT89" s="292">
        <f t="shared" si="419"/>
        <v>0.01161806607</v>
      </c>
      <c r="DU89" s="295">
        <f t="shared" si="420"/>
        <v>1017.851025</v>
      </c>
      <c r="DV89" s="292">
        <v>0.16716266605705102</v>
      </c>
      <c r="DW89" s="291">
        <f t="shared" si="421"/>
        <v>170.1466911</v>
      </c>
      <c r="DX89" s="293">
        <f t="shared" si="422"/>
        <v>847.7043344</v>
      </c>
      <c r="DY89" s="288"/>
      <c r="DZ89" s="288"/>
      <c r="EA89" s="288"/>
      <c r="EB89" s="81"/>
      <c r="EC89" s="289">
        <f t="shared" ref="EC89:EC93" si="462">EC88+1</f>
        <v>2</v>
      </c>
      <c r="ED89" s="290" t="s">
        <v>72</v>
      </c>
      <c r="EE89" s="292">
        <f>'Hitung Output'!BS61</f>
        <v>83483.78068</v>
      </c>
      <c r="EF89" s="292">
        <f t="shared" si="423"/>
        <v>0.01161806607</v>
      </c>
      <c r="EG89" s="296">
        <f t="shared" si="424"/>
        <v>969.9200794</v>
      </c>
      <c r="EH89" s="292">
        <v>0.16716266605705102</v>
      </c>
      <c r="EI89" s="291">
        <f t="shared" si="425"/>
        <v>162.1344263</v>
      </c>
      <c r="EJ89" s="293">
        <f t="shared" si="426"/>
        <v>807.7856531</v>
      </c>
      <c r="EK89" s="288"/>
      <c r="EL89" s="288"/>
      <c r="EM89" s="288"/>
      <c r="EN89" s="81"/>
      <c r="EO89" s="289">
        <f t="shared" ref="EO89:EO93" si="463">EO88+1</f>
        <v>2</v>
      </c>
      <c r="EP89" s="290" t="s">
        <v>72</v>
      </c>
      <c r="EQ89" s="291">
        <f>'Hitung Output'!BX61</f>
        <v>87293.67769</v>
      </c>
      <c r="ER89" s="292">
        <f t="shared" si="427"/>
        <v>0.01161806607</v>
      </c>
      <c r="ES89" s="297">
        <f t="shared" si="428"/>
        <v>1014.183715</v>
      </c>
      <c r="ET89" s="292">
        <v>0.16716266605705102</v>
      </c>
      <c r="EU89" s="291">
        <f t="shared" si="429"/>
        <v>169.5336536</v>
      </c>
      <c r="EV89" s="293">
        <f t="shared" si="430"/>
        <v>844.650061</v>
      </c>
      <c r="EW89" s="288"/>
      <c r="EX89" s="288"/>
      <c r="EY89" s="288"/>
      <c r="EZ89" s="81"/>
      <c r="FA89" s="289">
        <f t="shared" ref="FA89:FA93" si="464">FA88+1</f>
        <v>2</v>
      </c>
      <c r="FB89" s="290" t="s">
        <v>72</v>
      </c>
      <c r="FC89" s="291">
        <f>'Hitung Output'!CC61</f>
        <v>84544.84671</v>
      </c>
      <c r="FD89" s="292">
        <f t="shared" si="431"/>
        <v>0.01161806607</v>
      </c>
      <c r="FE89" s="291">
        <f t="shared" si="432"/>
        <v>982.2476147</v>
      </c>
      <c r="FF89" s="292">
        <v>0.16716266605705102</v>
      </c>
      <c r="FG89" s="291">
        <f t="shared" si="433"/>
        <v>164.19513</v>
      </c>
      <c r="FH89" s="293">
        <f t="shared" si="434"/>
        <v>818.0524847</v>
      </c>
      <c r="FI89" s="288"/>
      <c r="FJ89" s="288"/>
      <c r="FK89" s="288"/>
      <c r="FL89" s="81"/>
      <c r="FM89" s="289">
        <f t="shared" ref="FM89:FM93" si="465">FM88+1</f>
        <v>2</v>
      </c>
      <c r="FN89" s="290" t="s">
        <v>72</v>
      </c>
      <c r="FO89" s="291">
        <f>'Hitung Output'!CH61</f>
        <v>81370.23358</v>
      </c>
      <c r="FP89" s="292">
        <f t="shared" si="435"/>
        <v>0.01161806607</v>
      </c>
      <c r="FQ89" s="291">
        <f t="shared" si="436"/>
        <v>945.3647496</v>
      </c>
      <c r="FR89" s="292">
        <v>0.16716266605705102</v>
      </c>
      <c r="FS89" s="291">
        <f t="shared" si="437"/>
        <v>158.0296919</v>
      </c>
      <c r="FT89" s="293">
        <f t="shared" si="438"/>
        <v>787.3350576</v>
      </c>
      <c r="FU89" s="288"/>
      <c r="FV89" s="288"/>
      <c r="FW89" s="288"/>
      <c r="FX89" s="81"/>
      <c r="FY89" s="289">
        <f t="shared" ref="FY89:FY93" si="466">FY88+1</f>
        <v>2</v>
      </c>
      <c r="FZ89" s="290" t="s">
        <v>72</v>
      </c>
      <c r="GA89" s="291">
        <f>'Hitung Output'!CM61</f>
        <v>83224.37675</v>
      </c>
      <c r="GB89" s="292">
        <f t="shared" si="439"/>
        <v>0.01161806607</v>
      </c>
      <c r="GC89" s="291">
        <f t="shared" si="440"/>
        <v>966.9063075</v>
      </c>
      <c r="GD89" s="292">
        <v>0.16716266605705102</v>
      </c>
      <c r="GE89" s="291">
        <f t="shared" si="441"/>
        <v>161.6306362</v>
      </c>
      <c r="GF89" s="293">
        <f t="shared" si="442"/>
        <v>805.2756713</v>
      </c>
      <c r="GG89" s="288"/>
      <c r="GH89" s="288"/>
      <c r="GI89" s="288"/>
      <c r="GJ89" s="81"/>
      <c r="GK89" s="289">
        <f t="shared" ref="GK89:GK93" si="467">GK88+1</f>
        <v>2</v>
      </c>
      <c r="GL89" s="290" t="s">
        <v>72</v>
      </c>
      <c r="GM89" s="291"/>
      <c r="GN89" s="292">
        <f t="shared" si="443"/>
        <v>0.01161806607</v>
      </c>
      <c r="GO89" s="291">
        <f t="shared" si="444"/>
        <v>0</v>
      </c>
      <c r="GP89" s="292">
        <v>0.16716266605705102</v>
      </c>
      <c r="GQ89" s="291">
        <f t="shared" si="445"/>
        <v>0</v>
      </c>
      <c r="GR89" s="293">
        <f t="shared" si="446"/>
        <v>0</v>
      </c>
      <c r="GS89" s="288"/>
      <c r="GT89" s="288"/>
      <c r="GU89" s="288"/>
      <c r="GV89" s="81"/>
      <c r="GW89" s="289">
        <f t="shared" ref="GW89:GW93" si="468">GW88+1</f>
        <v>2</v>
      </c>
      <c r="GX89" s="290" t="s">
        <v>72</v>
      </c>
      <c r="GY89" s="291"/>
      <c r="GZ89" s="292">
        <f t="shared" si="447"/>
        <v>0.01161806607</v>
      </c>
      <c r="HA89" s="291">
        <f t="shared" si="448"/>
        <v>0</v>
      </c>
      <c r="HB89" s="292">
        <v>0.16716266605705102</v>
      </c>
      <c r="HC89" s="291">
        <f t="shared" si="449"/>
        <v>0</v>
      </c>
      <c r="HD89" s="293">
        <f t="shared" si="450"/>
        <v>0</v>
      </c>
      <c r="HE89" s="288"/>
      <c r="HF89" s="288"/>
      <c r="HG89" s="288"/>
      <c r="HH89" s="81"/>
      <c r="HI89" s="75"/>
    </row>
    <row r="90" ht="15.75" customHeight="1">
      <c r="A90" s="289">
        <f t="shared" si="451"/>
        <v>3</v>
      </c>
      <c r="B90" s="290" t="s">
        <v>73</v>
      </c>
      <c r="C90" s="291"/>
      <c r="D90" s="292">
        <f t="shared" si="379"/>
        <v>0.01161806607</v>
      </c>
      <c r="E90" s="291">
        <f t="shared" si="380"/>
        <v>0</v>
      </c>
      <c r="F90" s="292">
        <v>0.16716266605705102</v>
      </c>
      <c r="G90" s="291">
        <f t="shared" si="381"/>
        <v>0</v>
      </c>
      <c r="H90" s="293">
        <f t="shared" si="382"/>
        <v>0</v>
      </c>
      <c r="I90" s="288"/>
      <c r="J90" s="288"/>
      <c r="K90" s="288"/>
      <c r="L90" s="81"/>
      <c r="M90" s="289">
        <f t="shared" si="452"/>
        <v>3</v>
      </c>
      <c r="N90" s="290" t="s">
        <v>73</v>
      </c>
      <c r="O90" s="291"/>
      <c r="P90" s="292">
        <f t="shared" si="383"/>
        <v>0.01161806607</v>
      </c>
      <c r="Q90" s="291">
        <f t="shared" si="384"/>
        <v>0</v>
      </c>
      <c r="R90" s="292">
        <v>0.16716266605705102</v>
      </c>
      <c r="S90" s="291">
        <f t="shared" si="385"/>
        <v>0</v>
      </c>
      <c r="T90" s="293">
        <f t="shared" si="386"/>
        <v>0</v>
      </c>
      <c r="U90" s="288"/>
      <c r="V90" s="288"/>
      <c r="W90" s="288"/>
      <c r="X90" s="81"/>
      <c r="Y90" s="289">
        <f t="shared" si="453"/>
        <v>3</v>
      </c>
      <c r="Z90" s="290" t="s">
        <v>73</v>
      </c>
      <c r="AA90" s="291"/>
      <c r="AB90" s="292">
        <f t="shared" si="387"/>
        <v>0.01161806607</v>
      </c>
      <c r="AC90" s="291">
        <f t="shared" si="388"/>
        <v>0</v>
      </c>
      <c r="AD90" s="292">
        <v>0.16716266605705102</v>
      </c>
      <c r="AE90" s="291">
        <f t="shared" si="389"/>
        <v>0</v>
      </c>
      <c r="AF90" s="293">
        <f t="shared" si="390"/>
        <v>0</v>
      </c>
      <c r="AG90" s="288"/>
      <c r="AH90" s="288"/>
      <c r="AI90" s="288"/>
      <c r="AJ90" s="81"/>
      <c r="AK90" s="289">
        <f t="shared" si="454"/>
        <v>3</v>
      </c>
      <c r="AL90" s="290" t="s">
        <v>73</v>
      </c>
      <c r="AM90" s="291"/>
      <c r="AN90" s="292">
        <f t="shared" si="391"/>
        <v>0.01161806607</v>
      </c>
      <c r="AO90" s="291">
        <f t="shared" si="392"/>
        <v>0</v>
      </c>
      <c r="AP90" s="292">
        <v>0.16716266605705102</v>
      </c>
      <c r="AQ90" s="291">
        <f t="shared" si="393"/>
        <v>0</v>
      </c>
      <c r="AR90" s="293">
        <f t="shared" si="394"/>
        <v>0</v>
      </c>
      <c r="AS90" s="288"/>
      <c r="AT90" s="288"/>
      <c r="AU90" s="288"/>
      <c r="AV90" s="81"/>
      <c r="AW90" s="289">
        <f t="shared" si="455"/>
        <v>3</v>
      </c>
      <c r="AX90" s="290" t="s">
        <v>73</v>
      </c>
      <c r="AY90" s="291"/>
      <c r="AZ90" s="292">
        <f t="shared" si="395"/>
        <v>0.01161806607</v>
      </c>
      <c r="BA90" s="291">
        <f t="shared" si="396"/>
        <v>0</v>
      </c>
      <c r="BB90" s="292">
        <v>0.16716266605705102</v>
      </c>
      <c r="BC90" s="291">
        <f t="shared" si="397"/>
        <v>0</v>
      </c>
      <c r="BD90" s="293">
        <f t="shared" si="398"/>
        <v>0</v>
      </c>
      <c r="BE90" s="288"/>
      <c r="BF90" s="288"/>
      <c r="BG90" s="288"/>
      <c r="BH90" s="81"/>
      <c r="BI90" s="289">
        <f t="shared" si="456"/>
        <v>3</v>
      </c>
      <c r="BJ90" s="290" t="s">
        <v>73</v>
      </c>
      <c r="BK90" s="291"/>
      <c r="BL90" s="292">
        <f t="shared" si="399"/>
        <v>0.01161806607</v>
      </c>
      <c r="BM90" s="291">
        <f t="shared" si="400"/>
        <v>0</v>
      </c>
      <c r="BN90" s="292">
        <v>0.16716266605705102</v>
      </c>
      <c r="BO90" s="291">
        <f t="shared" si="401"/>
        <v>0</v>
      </c>
      <c r="BP90" s="293">
        <f t="shared" si="402"/>
        <v>0</v>
      </c>
      <c r="BQ90" s="288"/>
      <c r="BR90" s="288"/>
      <c r="BS90" s="288"/>
      <c r="BT90" s="81"/>
      <c r="BU90" s="289">
        <f t="shared" si="457"/>
        <v>3</v>
      </c>
      <c r="BV90" s="290" t="s">
        <v>73</v>
      </c>
      <c r="BW90" s="291"/>
      <c r="BX90" s="292">
        <f t="shared" si="403"/>
        <v>0.01161806607</v>
      </c>
      <c r="BY90" s="291">
        <f t="shared" si="404"/>
        <v>0</v>
      </c>
      <c r="BZ90" s="292">
        <v>0.16716266605705102</v>
      </c>
      <c r="CA90" s="291">
        <f t="shared" si="405"/>
        <v>0</v>
      </c>
      <c r="CB90" s="293">
        <f t="shared" si="406"/>
        <v>0</v>
      </c>
      <c r="CC90" s="288"/>
      <c r="CD90" s="288"/>
      <c r="CE90" s="288"/>
      <c r="CF90" s="81"/>
      <c r="CG90" s="289">
        <f t="shared" si="458"/>
        <v>3</v>
      </c>
      <c r="CH90" s="290" t="s">
        <v>73</v>
      </c>
      <c r="CI90" s="291"/>
      <c r="CJ90" s="292">
        <f t="shared" si="407"/>
        <v>0.01161806607</v>
      </c>
      <c r="CK90" s="291">
        <f t="shared" si="408"/>
        <v>0</v>
      </c>
      <c r="CL90" s="292">
        <v>0.16716266605705102</v>
      </c>
      <c r="CM90" s="291">
        <f t="shared" si="409"/>
        <v>0</v>
      </c>
      <c r="CN90" s="293">
        <f t="shared" si="410"/>
        <v>0</v>
      </c>
      <c r="CO90" s="288"/>
      <c r="CP90" s="288"/>
      <c r="CQ90" s="288"/>
      <c r="CR90" s="81"/>
      <c r="CS90" s="289">
        <f t="shared" si="459"/>
        <v>3</v>
      </c>
      <c r="CT90" s="290" t="s">
        <v>73</v>
      </c>
      <c r="CU90" s="291"/>
      <c r="CV90" s="292">
        <f t="shared" si="411"/>
        <v>0.01161806607</v>
      </c>
      <c r="CW90" s="291">
        <f t="shared" si="412"/>
        <v>0</v>
      </c>
      <c r="CX90" s="292">
        <v>0.16716266605705102</v>
      </c>
      <c r="CY90" s="291">
        <f t="shared" si="413"/>
        <v>0</v>
      </c>
      <c r="CZ90" s="293">
        <f t="shared" si="414"/>
        <v>0</v>
      </c>
      <c r="DA90" s="288"/>
      <c r="DB90" s="288"/>
      <c r="DC90" s="288"/>
      <c r="DD90" s="81"/>
      <c r="DE90" s="289">
        <f t="shared" si="460"/>
        <v>3</v>
      </c>
      <c r="DF90" s="290" t="s">
        <v>73</v>
      </c>
      <c r="DG90" s="291">
        <f>'Hitung Output'!BI62</f>
        <v>22347.2445</v>
      </c>
      <c r="DH90" s="292">
        <f t="shared" si="415"/>
        <v>0.01161806607</v>
      </c>
      <c r="DI90" s="294">
        <f t="shared" si="416"/>
        <v>259.631763</v>
      </c>
      <c r="DJ90" s="292">
        <v>0.16716266605705102</v>
      </c>
      <c r="DK90" s="291">
        <f t="shared" si="417"/>
        <v>43.4007377</v>
      </c>
      <c r="DL90" s="293">
        <f t="shared" si="418"/>
        <v>216.2310253</v>
      </c>
      <c r="DM90" s="288"/>
      <c r="DN90" s="288"/>
      <c r="DO90" s="288"/>
      <c r="DP90" s="81"/>
      <c r="DQ90" s="289">
        <f t="shared" si="461"/>
        <v>3</v>
      </c>
      <c r="DR90" s="290" t="s">
        <v>73</v>
      </c>
      <c r="DS90" s="292">
        <f>'Hitung Output'!BN62</f>
        <v>23451.70634</v>
      </c>
      <c r="DT90" s="292">
        <f t="shared" si="419"/>
        <v>0.01161806607</v>
      </c>
      <c r="DU90" s="295">
        <f t="shared" si="420"/>
        <v>272.4634736</v>
      </c>
      <c r="DV90" s="292">
        <v>0.16716266605705102</v>
      </c>
      <c r="DW90" s="291">
        <f t="shared" si="421"/>
        <v>45.54572065</v>
      </c>
      <c r="DX90" s="293">
        <f t="shared" si="422"/>
        <v>226.917753</v>
      </c>
      <c r="DY90" s="288"/>
      <c r="DZ90" s="288"/>
      <c r="EA90" s="288"/>
      <c r="EB90" s="81"/>
      <c r="EC90" s="289">
        <f t="shared" si="462"/>
        <v>3</v>
      </c>
      <c r="ED90" s="290" t="s">
        <v>73</v>
      </c>
      <c r="EE90" s="292">
        <f>'Hitung Output'!BS62</f>
        <v>36871.68242</v>
      </c>
      <c r="EF90" s="292">
        <f t="shared" si="423"/>
        <v>0.01161806607</v>
      </c>
      <c r="EG90" s="296">
        <f t="shared" si="424"/>
        <v>428.3776424</v>
      </c>
      <c r="EH90" s="292">
        <v>0.16716266605705102</v>
      </c>
      <c r="EI90" s="291">
        <f t="shared" si="425"/>
        <v>71.60874878</v>
      </c>
      <c r="EJ90" s="293">
        <f t="shared" si="426"/>
        <v>356.7688936</v>
      </c>
      <c r="EK90" s="288"/>
      <c r="EL90" s="288"/>
      <c r="EM90" s="288"/>
      <c r="EN90" s="81"/>
      <c r="EO90" s="289">
        <f t="shared" si="463"/>
        <v>3</v>
      </c>
      <c r="EP90" s="290" t="s">
        <v>73</v>
      </c>
      <c r="EQ90" s="291">
        <f>'Hitung Output'!BX62</f>
        <v>39484.82368</v>
      </c>
      <c r="ER90" s="292">
        <f t="shared" si="427"/>
        <v>0.01161806607</v>
      </c>
      <c r="ES90" s="297">
        <f t="shared" si="428"/>
        <v>458.7372902</v>
      </c>
      <c r="ET90" s="292">
        <v>0.16716266605705102</v>
      </c>
      <c r="EU90" s="291">
        <f t="shared" si="429"/>
        <v>76.68374845</v>
      </c>
      <c r="EV90" s="293">
        <f t="shared" si="430"/>
        <v>382.0535418</v>
      </c>
      <c r="EW90" s="288"/>
      <c r="EX90" s="288"/>
      <c r="EY90" s="288"/>
      <c r="EZ90" s="81"/>
      <c r="FA90" s="289">
        <f t="shared" si="464"/>
        <v>3</v>
      </c>
      <c r="FB90" s="290" t="s">
        <v>73</v>
      </c>
      <c r="FC90" s="291">
        <f>'Hitung Output'!CC62</f>
        <v>40293.06954</v>
      </c>
      <c r="FD90" s="292">
        <f t="shared" si="431"/>
        <v>0.01161806607</v>
      </c>
      <c r="FE90" s="291">
        <f t="shared" si="432"/>
        <v>468.1275439</v>
      </c>
      <c r="FF90" s="292">
        <v>0.16716266605705102</v>
      </c>
      <c r="FG90" s="291">
        <f t="shared" si="433"/>
        <v>78.25344829</v>
      </c>
      <c r="FH90" s="293">
        <f t="shared" si="434"/>
        <v>389.8740956</v>
      </c>
      <c r="FI90" s="288"/>
      <c r="FJ90" s="288"/>
      <c r="FK90" s="288"/>
      <c r="FL90" s="81"/>
      <c r="FM90" s="289">
        <f t="shared" si="465"/>
        <v>3</v>
      </c>
      <c r="FN90" s="290" t="s">
        <v>73</v>
      </c>
      <c r="FO90" s="291">
        <f>'Hitung Output'!CH62</f>
        <v>46152.20032</v>
      </c>
      <c r="FP90" s="292">
        <f t="shared" si="435"/>
        <v>0.01161806607</v>
      </c>
      <c r="FQ90" s="291">
        <f t="shared" si="436"/>
        <v>536.1993125</v>
      </c>
      <c r="FR90" s="292">
        <v>0.16716266605705102</v>
      </c>
      <c r="FS90" s="291">
        <f t="shared" si="437"/>
        <v>89.63250661</v>
      </c>
      <c r="FT90" s="293">
        <f t="shared" si="438"/>
        <v>446.5668059</v>
      </c>
      <c r="FU90" s="288"/>
      <c r="FV90" s="288"/>
      <c r="FW90" s="288"/>
      <c r="FX90" s="81"/>
      <c r="FY90" s="289">
        <f t="shared" si="466"/>
        <v>3</v>
      </c>
      <c r="FZ90" s="290" t="s">
        <v>73</v>
      </c>
      <c r="GA90" s="291">
        <f>'Hitung Output'!CM62</f>
        <v>66775.81419</v>
      </c>
      <c r="GB90" s="292">
        <f t="shared" si="439"/>
        <v>0.01161806607</v>
      </c>
      <c r="GC90" s="291">
        <f t="shared" si="440"/>
        <v>775.8058209</v>
      </c>
      <c r="GD90" s="292">
        <v>0.16716266605705102</v>
      </c>
      <c r="GE90" s="291">
        <f t="shared" si="441"/>
        <v>129.6857694</v>
      </c>
      <c r="GF90" s="293">
        <f t="shared" si="442"/>
        <v>646.1200516</v>
      </c>
      <c r="GG90" s="288"/>
      <c r="GH90" s="288"/>
      <c r="GI90" s="288"/>
      <c r="GJ90" s="81"/>
      <c r="GK90" s="289">
        <f t="shared" si="467"/>
        <v>3</v>
      </c>
      <c r="GL90" s="290" t="s">
        <v>73</v>
      </c>
      <c r="GM90" s="291"/>
      <c r="GN90" s="292">
        <f t="shared" si="443"/>
        <v>0.01161806607</v>
      </c>
      <c r="GO90" s="291">
        <f t="shared" si="444"/>
        <v>0</v>
      </c>
      <c r="GP90" s="292">
        <v>0.16716266605705102</v>
      </c>
      <c r="GQ90" s="291">
        <f t="shared" si="445"/>
        <v>0</v>
      </c>
      <c r="GR90" s="293">
        <f t="shared" si="446"/>
        <v>0</v>
      </c>
      <c r="GS90" s="288"/>
      <c r="GT90" s="288"/>
      <c r="GU90" s="288"/>
      <c r="GV90" s="81"/>
      <c r="GW90" s="289">
        <f t="shared" si="468"/>
        <v>3</v>
      </c>
      <c r="GX90" s="290" t="s">
        <v>73</v>
      </c>
      <c r="GY90" s="291"/>
      <c r="GZ90" s="292">
        <f t="shared" si="447"/>
        <v>0.01161806607</v>
      </c>
      <c r="HA90" s="291">
        <f t="shared" si="448"/>
        <v>0</v>
      </c>
      <c r="HB90" s="292">
        <v>0.16716266605705102</v>
      </c>
      <c r="HC90" s="291">
        <f t="shared" si="449"/>
        <v>0</v>
      </c>
      <c r="HD90" s="293">
        <f t="shared" si="450"/>
        <v>0</v>
      </c>
      <c r="HE90" s="288"/>
      <c r="HF90" s="288"/>
      <c r="HG90" s="288"/>
      <c r="HH90" s="81"/>
      <c r="HI90" s="75"/>
    </row>
    <row r="91" ht="15.75" customHeight="1">
      <c r="A91" s="289">
        <f t="shared" si="451"/>
        <v>4</v>
      </c>
      <c r="B91" s="290" t="s">
        <v>74</v>
      </c>
      <c r="C91" s="291"/>
      <c r="D91" s="292">
        <f t="shared" si="379"/>
        <v>0.01161806607</v>
      </c>
      <c r="E91" s="291">
        <f t="shared" si="380"/>
        <v>0</v>
      </c>
      <c r="F91" s="292">
        <v>0.16716266605705102</v>
      </c>
      <c r="G91" s="291">
        <f t="shared" si="381"/>
        <v>0</v>
      </c>
      <c r="H91" s="293">
        <f t="shared" si="382"/>
        <v>0</v>
      </c>
      <c r="I91" s="288"/>
      <c r="J91" s="288"/>
      <c r="K91" s="288"/>
      <c r="L91" s="81"/>
      <c r="M91" s="289">
        <f t="shared" si="452"/>
        <v>4</v>
      </c>
      <c r="N91" s="290" t="s">
        <v>74</v>
      </c>
      <c r="O91" s="291"/>
      <c r="P91" s="292">
        <f t="shared" si="383"/>
        <v>0.01161806607</v>
      </c>
      <c r="Q91" s="291">
        <f t="shared" si="384"/>
        <v>0</v>
      </c>
      <c r="R91" s="292">
        <v>0.16716266605705102</v>
      </c>
      <c r="S91" s="291">
        <f t="shared" si="385"/>
        <v>0</v>
      </c>
      <c r="T91" s="293">
        <f t="shared" si="386"/>
        <v>0</v>
      </c>
      <c r="U91" s="288"/>
      <c r="V91" s="288"/>
      <c r="W91" s="288"/>
      <c r="X91" s="81"/>
      <c r="Y91" s="289">
        <f t="shared" si="453"/>
        <v>4</v>
      </c>
      <c r="Z91" s="290" t="s">
        <v>74</v>
      </c>
      <c r="AA91" s="291"/>
      <c r="AB91" s="292">
        <f t="shared" si="387"/>
        <v>0.01161806607</v>
      </c>
      <c r="AC91" s="291">
        <f t="shared" si="388"/>
        <v>0</v>
      </c>
      <c r="AD91" s="292">
        <v>0.16716266605705102</v>
      </c>
      <c r="AE91" s="291">
        <f t="shared" si="389"/>
        <v>0</v>
      </c>
      <c r="AF91" s="293">
        <f t="shared" si="390"/>
        <v>0</v>
      </c>
      <c r="AG91" s="288"/>
      <c r="AH91" s="288"/>
      <c r="AI91" s="288"/>
      <c r="AJ91" s="81"/>
      <c r="AK91" s="289">
        <f t="shared" si="454"/>
        <v>4</v>
      </c>
      <c r="AL91" s="290" t="s">
        <v>74</v>
      </c>
      <c r="AM91" s="291"/>
      <c r="AN91" s="292">
        <f t="shared" si="391"/>
        <v>0.01161806607</v>
      </c>
      <c r="AO91" s="291">
        <f t="shared" si="392"/>
        <v>0</v>
      </c>
      <c r="AP91" s="292">
        <v>0.16716266605705102</v>
      </c>
      <c r="AQ91" s="291">
        <f t="shared" si="393"/>
        <v>0</v>
      </c>
      <c r="AR91" s="293">
        <f t="shared" si="394"/>
        <v>0</v>
      </c>
      <c r="AS91" s="288"/>
      <c r="AT91" s="288"/>
      <c r="AU91" s="288"/>
      <c r="AV91" s="81"/>
      <c r="AW91" s="289">
        <f t="shared" si="455"/>
        <v>4</v>
      </c>
      <c r="AX91" s="290" t="s">
        <v>74</v>
      </c>
      <c r="AY91" s="291"/>
      <c r="AZ91" s="292">
        <f t="shared" si="395"/>
        <v>0.01161806607</v>
      </c>
      <c r="BA91" s="291">
        <f t="shared" si="396"/>
        <v>0</v>
      </c>
      <c r="BB91" s="292">
        <v>0.16716266605705102</v>
      </c>
      <c r="BC91" s="291">
        <f t="shared" si="397"/>
        <v>0</v>
      </c>
      <c r="BD91" s="293">
        <f t="shared" si="398"/>
        <v>0</v>
      </c>
      <c r="BE91" s="288"/>
      <c r="BF91" s="288"/>
      <c r="BG91" s="288"/>
      <c r="BH91" s="81"/>
      <c r="BI91" s="289">
        <f t="shared" si="456"/>
        <v>4</v>
      </c>
      <c r="BJ91" s="290" t="s">
        <v>74</v>
      </c>
      <c r="BK91" s="291"/>
      <c r="BL91" s="292">
        <f t="shared" si="399"/>
        <v>0.01161806607</v>
      </c>
      <c r="BM91" s="291">
        <f t="shared" si="400"/>
        <v>0</v>
      </c>
      <c r="BN91" s="292">
        <v>0.16716266605705102</v>
      </c>
      <c r="BO91" s="291">
        <f t="shared" si="401"/>
        <v>0</v>
      </c>
      <c r="BP91" s="293">
        <f t="shared" si="402"/>
        <v>0</v>
      </c>
      <c r="BQ91" s="288"/>
      <c r="BR91" s="288"/>
      <c r="BS91" s="288"/>
      <c r="BT91" s="81"/>
      <c r="BU91" s="289">
        <f t="shared" si="457"/>
        <v>4</v>
      </c>
      <c r="BV91" s="290" t="s">
        <v>74</v>
      </c>
      <c r="BW91" s="291"/>
      <c r="BX91" s="292">
        <f t="shared" si="403"/>
        <v>0.01161806607</v>
      </c>
      <c r="BY91" s="291">
        <f t="shared" si="404"/>
        <v>0</v>
      </c>
      <c r="BZ91" s="292">
        <v>0.16716266605705102</v>
      </c>
      <c r="CA91" s="291">
        <f t="shared" si="405"/>
        <v>0</v>
      </c>
      <c r="CB91" s="293">
        <f t="shared" si="406"/>
        <v>0</v>
      </c>
      <c r="CC91" s="288"/>
      <c r="CD91" s="288"/>
      <c r="CE91" s="288"/>
      <c r="CF91" s="81"/>
      <c r="CG91" s="289">
        <f t="shared" si="458"/>
        <v>4</v>
      </c>
      <c r="CH91" s="290" t="s">
        <v>74</v>
      </c>
      <c r="CI91" s="291"/>
      <c r="CJ91" s="292">
        <f t="shared" si="407"/>
        <v>0.01161806607</v>
      </c>
      <c r="CK91" s="291">
        <f t="shared" si="408"/>
        <v>0</v>
      </c>
      <c r="CL91" s="292">
        <v>0.16716266605705102</v>
      </c>
      <c r="CM91" s="291">
        <f t="shared" si="409"/>
        <v>0</v>
      </c>
      <c r="CN91" s="293">
        <f t="shared" si="410"/>
        <v>0</v>
      </c>
      <c r="CO91" s="288"/>
      <c r="CP91" s="288"/>
      <c r="CQ91" s="288"/>
      <c r="CR91" s="81"/>
      <c r="CS91" s="289">
        <f t="shared" si="459"/>
        <v>4</v>
      </c>
      <c r="CT91" s="290" t="s">
        <v>74</v>
      </c>
      <c r="CU91" s="291"/>
      <c r="CV91" s="292">
        <f t="shared" si="411"/>
        <v>0.01161806607</v>
      </c>
      <c r="CW91" s="291">
        <f t="shared" si="412"/>
        <v>0</v>
      </c>
      <c r="CX91" s="292">
        <v>0.16716266605705102</v>
      </c>
      <c r="CY91" s="291">
        <f t="shared" si="413"/>
        <v>0</v>
      </c>
      <c r="CZ91" s="293">
        <f t="shared" si="414"/>
        <v>0</v>
      </c>
      <c r="DA91" s="288"/>
      <c r="DB91" s="288"/>
      <c r="DC91" s="288"/>
      <c r="DD91" s="81"/>
      <c r="DE91" s="289">
        <f t="shared" si="460"/>
        <v>4</v>
      </c>
      <c r="DF91" s="290" t="s">
        <v>74</v>
      </c>
      <c r="DG91" s="291">
        <f>'Hitung Output'!BI63</f>
        <v>184433.6033</v>
      </c>
      <c r="DH91" s="292">
        <f t="shared" si="415"/>
        <v>0.01161806607</v>
      </c>
      <c r="DI91" s="294">
        <f t="shared" si="416"/>
        <v>2142.761788</v>
      </c>
      <c r="DJ91" s="292">
        <v>0.16716266605705102</v>
      </c>
      <c r="DK91" s="291">
        <f t="shared" si="417"/>
        <v>358.1897732</v>
      </c>
      <c r="DL91" s="293">
        <f t="shared" si="418"/>
        <v>1784.572015</v>
      </c>
      <c r="DM91" s="288"/>
      <c r="DN91" s="288"/>
      <c r="DO91" s="288"/>
      <c r="DP91" s="81"/>
      <c r="DQ91" s="289">
        <f t="shared" si="461"/>
        <v>4</v>
      </c>
      <c r="DR91" s="290" t="s">
        <v>74</v>
      </c>
      <c r="DS91" s="292">
        <f>'Hitung Output'!BN63</f>
        <v>180230.3554</v>
      </c>
      <c r="DT91" s="292">
        <f t="shared" si="419"/>
        <v>0.01161806607</v>
      </c>
      <c r="DU91" s="295">
        <f t="shared" si="420"/>
        <v>2093.928176</v>
      </c>
      <c r="DV91" s="292">
        <v>0.16716266605705102</v>
      </c>
      <c r="DW91" s="291">
        <f t="shared" si="421"/>
        <v>350.0266164</v>
      </c>
      <c r="DX91" s="293">
        <f t="shared" si="422"/>
        <v>1743.901559</v>
      </c>
      <c r="DY91" s="288"/>
      <c r="DZ91" s="288"/>
      <c r="EA91" s="288"/>
      <c r="EB91" s="81"/>
      <c r="EC91" s="289">
        <f t="shared" si="462"/>
        <v>4</v>
      </c>
      <c r="ED91" s="290" t="s">
        <v>74</v>
      </c>
      <c r="EE91" s="292">
        <f>'Hitung Output'!BS63</f>
        <v>178135.9088</v>
      </c>
      <c r="EF91" s="292">
        <f t="shared" si="423"/>
        <v>0.01161806607</v>
      </c>
      <c r="EG91" s="296">
        <f t="shared" si="424"/>
        <v>2069.594758</v>
      </c>
      <c r="EH91" s="292">
        <v>0.16716266605705102</v>
      </c>
      <c r="EI91" s="291">
        <f t="shared" si="425"/>
        <v>345.9589773</v>
      </c>
      <c r="EJ91" s="293">
        <f t="shared" si="426"/>
        <v>1723.63578</v>
      </c>
      <c r="EK91" s="288"/>
      <c r="EL91" s="288"/>
      <c r="EM91" s="288"/>
      <c r="EN91" s="81"/>
      <c r="EO91" s="289">
        <f t="shared" si="463"/>
        <v>4</v>
      </c>
      <c r="EP91" s="290" t="s">
        <v>74</v>
      </c>
      <c r="EQ91" s="291">
        <f>'Hitung Output'!BX63</f>
        <v>182828.5143</v>
      </c>
      <c r="ER91" s="292">
        <f t="shared" si="427"/>
        <v>0.01161806607</v>
      </c>
      <c r="ES91" s="297">
        <f t="shared" si="428"/>
        <v>2124.113758</v>
      </c>
      <c r="ET91" s="292">
        <v>0.16716266605705102</v>
      </c>
      <c r="EU91" s="291">
        <f t="shared" si="429"/>
        <v>355.0725187</v>
      </c>
      <c r="EV91" s="293">
        <f t="shared" si="430"/>
        <v>1769.041239</v>
      </c>
      <c r="EW91" s="288"/>
      <c r="EX91" s="288"/>
      <c r="EY91" s="288"/>
      <c r="EZ91" s="81"/>
      <c r="FA91" s="289">
        <f t="shared" si="464"/>
        <v>4</v>
      </c>
      <c r="FB91" s="290" t="s">
        <v>74</v>
      </c>
      <c r="FC91" s="291">
        <f>'Hitung Output'!CC63</f>
        <v>199653.3661</v>
      </c>
      <c r="FD91" s="292">
        <f t="shared" si="431"/>
        <v>0.01161806607</v>
      </c>
      <c r="FE91" s="291">
        <f t="shared" si="432"/>
        <v>2319.585998</v>
      </c>
      <c r="FF91" s="292">
        <v>0.16716266605705102</v>
      </c>
      <c r="FG91" s="291">
        <f t="shared" si="433"/>
        <v>387.7481795</v>
      </c>
      <c r="FH91" s="293">
        <f t="shared" si="434"/>
        <v>1931.837818</v>
      </c>
      <c r="FI91" s="288"/>
      <c r="FJ91" s="288"/>
      <c r="FK91" s="288"/>
      <c r="FL91" s="81"/>
      <c r="FM91" s="289">
        <f t="shared" si="465"/>
        <v>4</v>
      </c>
      <c r="FN91" s="290" t="s">
        <v>74</v>
      </c>
      <c r="FO91" s="291">
        <f>'Hitung Output'!CH63</f>
        <v>185011.0155</v>
      </c>
      <c r="FP91" s="292">
        <f t="shared" si="435"/>
        <v>0.01161806607</v>
      </c>
      <c r="FQ91" s="291">
        <f t="shared" si="436"/>
        <v>2149.470201</v>
      </c>
      <c r="FR91" s="292">
        <v>0.16716266605705102</v>
      </c>
      <c r="FS91" s="291">
        <f t="shared" si="437"/>
        <v>359.3111694</v>
      </c>
      <c r="FT91" s="293">
        <f t="shared" si="438"/>
        <v>1790.159031</v>
      </c>
      <c r="FU91" s="288"/>
      <c r="FV91" s="288"/>
      <c r="FW91" s="288"/>
      <c r="FX91" s="81"/>
      <c r="FY91" s="289">
        <f t="shared" si="466"/>
        <v>4</v>
      </c>
      <c r="FZ91" s="290" t="s">
        <v>74</v>
      </c>
      <c r="GA91" s="291">
        <f>'Hitung Output'!CM63</f>
        <v>176105.9616</v>
      </c>
      <c r="GB91" s="292">
        <f t="shared" si="439"/>
        <v>0.01161806607</v>
      </c>
      <c r="GC91" s="291">
        <f t="shared" si="440"/>
        <v>2046.010697</v>
      </c>
      <c r="GD91" s="292">
        <v>0.16716266605705102</v>
      </c>
      <c r="GE91" s="291">
        <f t="shared" si="441"/>
        <v>342.0166029</v>
      </c>
      <c r="GF91" s="293">
        <f t="shared" si="442"/>
        <v>1703.994094</v>
      </c>
      <c r="GG91" s="288"/>
      <c r="GH91" s="288"/>
      <c r="GI91" s="288"/>
      <c r="GJ91" s="81"/>
      <c r="GK91" s="289">
        <f t="shared" si="467"/>
        <v>4</v>
      </c>
      <c r="GL91" s="290" t="s">
        <v>74</v>
      </c>
      <c r="GM91" s="291"/>
      <c r="GN91" s="292">
        <f t="shared" si="443"/>
        <v>0.01161806607</v>
      </c>
      <c r="GO91" s="291">
        <f t="shared" si="444"/>
        <v>0</v>
      </c>
      <c r="GP91" s="292">
        <v>0.16716266605705102</v>
      </c>
      <c r="GQ91" s="291">
        <f t="shared" si="445"/>
        <v>0</v>
      </c>
      <c r="GR91" s="293">
        <f t="shared" si="446"/>
        <v>0</v>
      </c>
      <c r="GS91" s="288"/>
      <c r="GT91" s="288"/>
      <c r="GU91" s="288"/>
      <c r="GV91" s="81"/>
      <c r="GW91" s="289">
        <f t="shared" si="468"/>
        <v>4</v>
      </c>
      <c r="GX91" s="290" t="s">
        <v>74</v>
      </c>
      <c r="GY91" s="291"/>
      <c r="GZ91" s="292">
        <f t="shared" si="447"/>
        <v>0.01161806607</v>
      </c>
      <c r="HA91" s="291">
        <f t="shared" si="448"/>
        <v>0</v>
      </c>
      <c r="HB91" s="292">
        <v>0.16716266605705102</v>
      </c>
      <c r="HC91" s="291">
        <f t="shared" si="449"/>
        <v>0</v>
      </c>
      <c r="HD91" s="293">
        <f t="shared" si="450"/>
        <v>0</v>
      </c>
      <c r="HE91" s="288"/>
      <c r="HF91" s="288"/>
      <c r="HG91" s="288"/>
      <c r="HH91" s="81"/>
      <c r="HI91" s="75"/>
    </row>
    <row r="92" ht="15.75" customHeight="1">
      <c r="A92" s="289">
        <f t="shared" si="451"/>
        <v>5</v>
      </c>
      <c r="B92" s="290" t="s">
        <v>75</v>
      </c>
      <c r="C92" s="291"/>
      <c r="D92" s="292">
        <f t="shared" si="379"/>
        <v>0.01161806607</v>
      </c>
      <c r="E92" s="291">
        <f t="shared" si="380"/>
        <v>0</v>
      </c>
      <c r="F92" s="292">
        <v>0.16716266605705102</v>
      </c>
      <c r="G92" s="291">
        <f t="shared" si="381"/>
        <v>0</v>
      </c>
      <c r="H92" s="293">
        <f t="shared" si="382"/>
        <v>0</v>
      </c>
      <c r="I92" s="288"/>
      <c r="J92" s="288"/>
      <c r="K92" s="288"/>
      <c r="L92" s="81"/>
      <c r="M92" s="289">
        <f t="shared" si="452"/>
        <v>5</v>
      </c>
      <c r="N92" s="290" t="s">
        <v>75</v>
      </c>
      <c r="O92" s="291"/>
      <c r="P92" s="292">
        <f t="shared" si="383"/>
        <v>0.01161806607</v>
      </c>
      <c r="Q92" s="291">
        <f t="shared" si="384"/>
        <v>0</v>
      </c>
      <c r="R92" s="292">
        <v>0.16716266605705102</v>
      </c>
      <c r="S92" s="291">
        <f t="shared" si="385"/>
        <v>0</v>
      </c>
      <c r="T92" s="293">
        <f t="shared" si="386"/>
        <v>0</v>
      </c>
      <c r="U92" s="288"/>
      <c r="V92" s="288"/>
      <c r="W92" s="288"/>
      <c r="X92" s="81"/>
      <c r="Y92" s="289">
        <f t="shared" si="453"/>
        <v>5</v>
      </c>
      <c r="Z92" s="290" t="s">
        <v>75</v>
      </c>
      <c r="AA92" s="291"/>
      <c r="AB92" s="292">
        <f t="shared" si="387"/>
        <v>0.01161806607</v>
      </c>
      <c r="AC92" s="291">
        <f t="shared" si="388"/>
        <v>0</v>
      </c>
      <c r="AD92" s="292">
        <v>0.16716266605705102</v>
      </c>
      <c r="AE92" s="291">
        <f t="shared" si="389"/>
        <v>0</v>
      </c>
      <c r="AF92" s="293">
        <f t="shared" si="390"/>
        <v>0</v>
      </c>
      <c r="AG92" s="288"/>
      <c r="AH92" s="288"/>
      <c r="AI92" s="288"/>
      <c r="AJ92" s="81"/>
      <c r="AK92" s="289">
        <f t="shared" si="454"/>
        <v>5</v>
      </c>
      <c r="AL92" s="290" t="s">
        <v>75</v>
      </c>
      <c r="AM92" s="291"/>
      <c r="AN92" s="292">
        <f t="shared" si="391"/>
        <v>0.01161806607</v>
      </c>
      <c r="AO92" s="291">
        <f t="shared" si="392"/>
        <v>0</v>
      </c>
      <c r="AP92" s="292">
        <v>0.16716266605705102</v>
      </c>
      <c r="AQ92" s="291">
        <f t="shared" si="393"/>
        <v>0</v>
      </c>
      <c r="AR92" s="293">
        <f t="shared" si="394"/>
        <v>0</v>
      </c>
      <c r="AS92" s="288"/>
      <c r="AT92" s="288"/>
      <c r="AU92" s="288"/>
      <c r="AV92" s="81"/>
      <c r="AW92" s="289">
        <f t="shared" si="455"/>
        <v>5</v>
      </c>
      <c r="AX92" s="290" t="s">
        <v>75</v>
      </c>
      <c r="AY92" s="291"/>
      <c r="AZ92" s="292">
        <f t="shared" si="395"/>
        <v>0.01161806607</v>
      </c>
      <c r="BA92" s="291">
        <f t="shared" si="396"/>
        <v>0</v>
      </c>
      <c r="BB92" s="292">
        <v>0.16716266605705102</v>
      </c>
      <c r="BC92" s="291">
        <f t="shared" si="397"/>
        <v>0</v>
      </c>
      <c r="BD92" s="293">
        <f t="shared" si="398"/>
        <v>0</v>
      </c>
      <c r="BE92" s="288"/>
      <c r="BF92" s="288"/>
      <c r="BG92" s="288"/>
      <c r="BH92" s="81"/>
      <c r="BI92" s="289">
        <f t="shared" si="456"/>
        <v>5</v>
      </c>
      <c r="BJ92" s="290" t="s">
        <v>75</v>
      </c>
      <c r="BK92" s="291"/>
      <c r="BL92" s="292">
        <f t="shared" si="399"/>
        <v>0.01161806607</v>
      </c>
      <c r="BM92" s="291">
        <f t="shared" si="400"/>
        <v>0</v>
      </c>
      <c r="BN92" s="292">
        <v>0.16716266605705102</v>
      </c>
      <c r="BO92" s="291">
        <f t="shared" si="401"/>
        <v>0</v>
      </c>
      <c r="BP92" s="293">
        <f t="shared" si="402"/>
        <v>0</v>
      </c>
      <c r="BQ92" s="288"/>
      <c r="BR92" s="288"/>
      <c r="BS92" s="288"/>
      <c r="BT92" s="81"/>
      <c r="BU92" s="289">
        <f t="shared" si="457"/>
        <v>5</v>
      </c>
      <c r="BV92" s="290" t="s">
        <v>75</v>
      </c>
      <c r="BW92" s="291"/>
      <c r="BX92" s="292">
        <f t="shared" si="403"/>
        <v>0.01161806607</v>
      </c>
      <c r="BY92" s="291">
        <f t="shared" si="404"/>
        <v>0</v>
      </c>
      <c r="BZ92" s="292">
        <v>0.16716266605705102</v>
      </c>
      <c r="CA92" s="291">
        <f t="shared" si="405"/>
        <v>0</v>
      </c>
      <c r="CB92" s="293">
        <f t="shared" si="406"/>
        <v>0</v>
      </c>
      <c r="CC92" s="288"/>
      <c r="CD92" s="288"/>
      <c r="CE92" s="288"/>
      <c r="CF92" s="81"/>
      <c r="CG92" s="289">
        <f t="shared" si="458"/>
        <v>5</v>
      </c>
      <c r="CH92" s="290" t="s">
        <v>75</v>
      </c>
      <c r="CI92" s="291"/>
      <c r="CJ92" s="292">
        <f t="shared" si="407"/>
        <v>0.01161806607</v>
      </c>
      <c r="CK92" s="291">
        <f t="shared" si="408"/>
        <v>0</v>
      </c>
      <c r="CL92" s="292">
        <v>0.16716266605705102</v>
      </c>
      <c r="CM92" s="291">
        <f t="shared" si="409"/>
        <v>0</v>
      </c>
      <c r="CN92" s="293">
        <f t="shared" si="410"/>
        <v>0</v>
      </c>
      <c r="CO92" s="288"/>
      <c r="CP92" s="288"/>
      <c r="CQ92" s="288"/>
      <c r="CR92" s="81"/>
      <c r="CS92" s="289">
        <f t="shared" si="459"/>
        <v>5</v>
      </c>
      <c r="CT92" s="290" t="s">
        <v>75</v>
      </c>
      <c r="CU92" s="291"/>
      <c r="CV92" s="292">
        <f t="shared" si="411"/>
        <v>0.01161806607</v>
      </c>
      <c r="CW92" s="291">
        <f t="shared" si="412"/>
        <v>0</v>
      </c>
      <c r="CX92" s="292">
        <v>0.16716266605705102</v>
      </c>
      <c r="CY92" s="291">
        <f t="shared" si="413"/>
        <v>0</v>
      </c>
      <c r="CZ92" s="293">
        <f t="shared" si="414"/>
        <v>0</v>
      </c>
      <c r="DA92" s="288"/>
      <c r="DB92" s="288"/>
      <c r="DC92" s="288"/>
      <c r="DD92" s="81"/>
      <c r="DE92" s="289">
        <f t="shared" si="460"/>
        <v>5</v>
      </c>
      <c r="DF92" s="290" t="s">
        <v>75</v>
      </c>
      <c r="DG92" s="291">
        <f>'Hitung Output'!BI64</f>
        <v>1987293.235</v>
      </c>
      <c r="DH92" s="292">
        <f t="shared" si="415"/>
        <v>0.01161806607</v>
      </c>
      <c r="DI92" s="294">
        <f t="shared" si="416"/>
        <v>23088.5041</v>
      </c>
      <c r="DJ92" s="292">
        <v>0.16716266605705102</v>
      </c>
      <c r="DK92" s="291">
        <f t="shared" si="417"/>
        <v>3859.535901</v>
      </c>
      <c r="DL92" s="293">
        <f t="shared" si="418"/>
        <v>19228.9682</v>
      </c>
      <c r="DM92" s="288"/>
      <c r="DN92" s="288"/>
      <c r="DO92" s="288"/>
      <c r="DP92" s="81"/>
      <c r="DQ92" s="289">
        <f t="shared" si="461"/>
        <v>5</v>
      </c>
      <c r="DR92" s="290" t="s">
        <v>75</v>
      </c>
      <c r="DS92" s="292">
        <f>'Hitung Output'!BN64</f>
        <v>1839858.141</v>
      </c>
      <c r="DT92" s="292">
        <f t="shared" si="419"/>
        <v>0.01161806607</v>
      </c>
      <c r="DU92" s="295">
        <f t="shared" si="420"/>
        <v>21375.59344</v>
      </c>
      <c r="DV92" s="292">
        <v>0.16716266605705102</v>
      </c>
      <c r="DW92" s="291">
        <f t="shared" si="421"/>
        <v>3573.201187</v>
      </c>
      <c r="DX92" s="293">
        <f t="shared" si="422"/>
        <v>17802.39225</v>
      </c>
      <c r="DY92" s="288"/>
      <c r="DZ92" s="288"/>
      <c r="EA92" s="288"/>
      <c r="EB92" s="81"/>
      <c r="EC92" s="289">
        <f t="shared" si="462"/>
        <v>5</v>
      </c>
      <c r="ED92" s="290" t="s">
        <v>75</v>
      </c>
      <c r="EE92" s="292">
        <f>'Hitung Output'!BS64</f>
        <v>1874419.526</v>
      </c>
      <c r="EF92" s="292">
        <f t="shared" si="423"/>
        <v>0.01161806607</v>
      </c>
      <c r="EG92" s="296">
        <f t="shared" si="424"/>
        <v>21777.12989</v>
      </c>
      <c r="EH92" s="292">
        <v>0.16716266605705102</v>
      </c>
      <c r="EI92" s="291">
        <f t="shared" si="425"/>
        <v>3640.323091</v>
      </c>
      <c r="EJ92" s="293">
        <f t="shared" si="426"/>
        <v>18136.8068</v>
      </c>
      <c r="EK92" s="288"/>
      <c r="EL92" s="288"/>
      <c r="EM92" s="288"/>
      <c r="EN92" s="81"/>
      <c r="EO92" s="289">
        <f t="shared" si="463"/>
        <v>5</v>
      </c>
      <c r="EP92" s="290" t="s">
        <v>75</v>
      </c>
      <c r="EQ92" s="291">
        <f>'Hitung Output'!BX64</f>
        <v>1994735.982</v>
      </c>
      <c r="ER92" s="292">
        <f t="shared" si="427"/>
        <v>0.01161806607</v>
      </c>
      <c r="ES92" s="297">
        <f t="shared" si="428"/>
        <v>23174.97442</v>
      </c>
      <c r="ET92" s="292">
        <v>0.16716266605705102</v>
      </c>
      <c r="EU92" s="291">
        <f t="shared" si="429"/>
        <v>3873.99051</v>
      </c>
      <c r="EV92" s="293">
        <f t="shared" si="430"/>
        <v>19300.98391</v>
      </c>
      <c r="EW92" s="288"/>
      <c r="EX92" s="288"/>
      <c r="EY92" s="288"/>
      <c r="EZ92" s="81"/>
      <c r="FA92" s="289">
        <f t="shared" si="464"/>
        <v>5</v>
      </c>
      <c r="FB92" s="290" t="s">
        <v>75</v>
      </c>
      <c r="FC92" s="291">
        <f>'Hitung Output'!CC64</f>
        <v>2062042.359</v>
      </c>
      <c r="FD92" s="292">
        <f t="shared" si="431"/>
        <v>0.01161806607</v>
      </c>
      <c r="FE92" s="291">
        <f t="shared" si="432"/>
        <v>23956.94436</v>
      </c>
      <c r="FF92" s="292">
        <v>0.16716266605705102</v>
      </c>
      <c r="FG92" s="291">
        <f t="shared" si="433"/>
        <v>4004.70669</v>
      </c>
      <c r="FH92" s="293">
        <f t="shared" si="434"/>
        <v>19952.23767</v>
      </c>
      <c r="FI92" s="288"/>
      <c r="FJ92" s="288"/>
      <c r="FK92" s="288"/>
      <c r="FL92" s="81"/>
      <c r="FM92" s="289">
        <f t="shared" si="465"/>
        <v>5</v>
      </c>
      <c r="FN92" s="290" t="s">
        <v>75</v>
      </c>
      <c r="FO92" s="291">
        <f>'Hitung Output'!CH64</f>
        <v>2330398.266</v>
      </c>
      <c r="FP92" s="292">
        <f t="shared" si="435"/>
        <v>0.01161806607</v>
      </c>
      <c r="FQ92" s="291">
        <f t="shared" si="436"/>
        <v>27074.72101</v>
      </c>
      <c r="FR92" s="292">
        <v>0.16716266605705102</v>
      </c>
      <c r="FS92" s="291">
        <f t="shared" si="437"/>
        <v>4525.882547</v>
      </c>
      <c r="FT92" s="293">
        <f t="shared" si="438"/>
        <v>22548.83847</v>
      </c>
      <c r="FU92" s="288"/>
      <c r="FV92" s="288"/>
      <c r="FW92" s="288"/>
      <c r="FX92" s="81"/>
      <c r="FY92" s="289">
        <f t="shared" si="466"/>
        <v>5</v>
      </c>
      <c r="FZ92" s="290" t="s">
        <v>75</v>
      </c>
      <c r="GA92" s="291">
        <f>'Hitung Output'!CM64</f>
        <v>2555023.693</v>
      </c>
      <c r="GB92" s="292">
        <f t="shared" si="439"/>
        <v>0.01161806607</v>
      </c>
      <c r="GC92" s="291">
        <f t="shared" si="440"/>
        <v>29684.43407</v>
      </c>
      <c r="GD92" s="292">
        <v>0.16716266605705102</v>
      </c>
      <c r="GE92" s="291">
        <f t="shared" si="441"/>
        <v>4962.12914</v>
      </c>
      <c r="GF92" s="293">
        <f t="shared" si="442"/>
        <v>24722.30493</v>
      </c>
      <c r="GG92" s="288"/>
      <c r="GH92" s="288"/>
      <c r="GI92" s="288"/>
      <c r="GJ92" s="81"/>
      <c r="GK92" s="289">
        <f t="shared" si="467"/>
        <v>5</v>
      </c>
      <c r="GL92" s="290" t="s">
        <v>75</v>
      </c>
      <c r="GM92" s="291"/>
      <c r="GN92" s="292">
        <f t="shared" si="443"/>
        <v>0.01161806607</v>
      </c>
      <c r="GO92" s="291">
        <f t="shared" si="444"/>
        <v>0</v>
      </c>
      <c r="GP92" s="292">
        <v>0.16716266605705102</v>
      </c>
      <c r="GQ92" s="291">
        <f t="shared" si="445"/>
        <v>0</v>
      </c>
      <c r="GR92" s="293">
        <f t="shared" si="446"/>
        <v>0</v>
      </c>
      <c r="GS92" s="288"/>
      <c r="GT92" s="288"/>
      <c r="GU92" s="288"/>
      <c r="GV92" s="81"/>
      <c r="GW92" s="289">
        <f t="shared" si="468"/>
        <v>5</v>
      </c>
      <c r="GX92" s="290" t="s">
        <v>75</v>
      </c>
      <c r="GY92" s="291"/>
      <c r="GZ92" s="292">
        <f t="shared" si="447"/>
        <v>0.01161806607</v>
      </c>
      <c r="HA92" s="291">
        <f t="shared" si="448"/>
        <v>0</v>
      </c>
      <c r="HB92" s="292">
        <v>0.16716266605705102</v>
      </c>
      <c r="HC92" s="291">
        <f t="shared" si="449"/>
        <v>0</v>
      </c>
      <c r="HD92" s="293">
        <f t="shared" si="450"/>
        <v>0</v>
      </c>
      <c r="HE92" s="288"/>
      <c r="HF92" s="288"/>
      <c r="HG92" s="288"/>
      <c r="HH92" s="81"/>
      <c r="HI92" s="75"/>
    </row>
    <row r="93" ht="15.75" customHeight="1">
      <c r="A93" s="289">
        <f t="shared" si="451"/>
        <v>6</v>
      </c>
      <c r="B93" s="290" t="s">
        <v>76</v>
      </c>
      <c r="C93" s="291"/>
      <c r="D93" s="292">
        <f t="shared" si="379"/>
        <v>0.01161806607</v>
      </c>
      <c r="E93" s="291">
        <f t="shared" si="380"/>
        <v>0</v>
      </c>
      <c r="F93" s="292">
        <v>0.16716266605705102</v>
      </c>
      <c r="G93" s="291">
        <f t="shared" si="381"/>
        <v>0</v>
      </c>
      <c r="H93" s="293">
        <f t="shared" si="382"/>
        <v>0</v>
      </c>
      <c r="I93" s="288"/>
      <c r="J93" s="288"/>
      <c r="K93" s="288"/>
      <c r="L93" s="81"/>
      <c r="M93" s="289">
        <f t="shared" si="452"/>
        <v>6</v>
      </c>
      <c r="N93" s="290" t="s">
        <v>76</v>
      </c>
      <c r="O93" s="291"/>
      <c r="P93" s="292">
        <f t="shared" si="383"/>
        <v>0.01161806607</v>
      </c>
      <c r="Q93" s="291">
        <f t="shared" si="384"/>
        <v>0</v>
      </c>
      <c r="R93" s="292">
        <v>0.16716266605705102</v>
      </c>
      <c r="S93" s="291">
        <f t="shared" si="385"/>
        <v>0</v>
      </c>
      <c r="T93" s="293">
        <f t="shared" si="386"/>
        <v>0</v>
      </c>
      <c r="U93" s="288"/>
      <c r="V93" s="288"/>
      <c r="W93" s="288"/>
      <c r="X93" s="81"/>
      <c r="Y93" s="289">
        <f t="shared" si="453"/>
        <v>6</v>
      </c>
      <c r="Z93" s="290" t="s">
        <v>76</v>
      </c>
      <c r="AA93" s="291"/>
      <c r="AB93" s="292">
        <f t="shared" si="387"/>
        <v>0.01161806607</v>
      </c>
      <c r="AC93" s="291">
        <f t="shared" si="388"/>
        <v>0</v>
      </c>
      <c r="AD93" s="292">
        <v>0.16716266605705102</v>
      </c>
      <c r="AE93" s="291">
        <f t="shared" si="389"/>
        <v>0</v>
      </c>
      <c r="AF93" s="293">
        <f t="shared" si="390"/>
        <v>0</v>
      </c>
      <c r="AG93" s="288"/>
      <c r="AH93" s="288"/>
      <c r="AI93" s="288"/>
      <c r="AJ93" s="81"/>
      <c r="AK93" s="289">
        <f t="shared" si="454"/>
        <v>6</v>
      </c>
      <c r="AL93" s="290" t="s">
        <v>76</v>
      </c>
      <c r="AM93" s="291"/>
      <c r="AN93" s="292">
        <f t="shared" si="391"/>
        <v>0.01161806607</v>
      </c>
      <c r="AO93" s="291">
        <f t="shared" si="392"/>
        <v>0</v>
      </c>
      <c r="AP93" s="292">
        <v>0.16716266605705102</v>
      </c>
      <c r="AQ93" s="291">
        <f t="shared" si="393"/>
        <v>0</v>
      </c>
      <c r="AR93" s="293">
        <f t="shared" si="394"/>
        <v>0</v>
      </c>
      <c r="AS93" s="288"/>
      <c r="AT93" s="288"/>
      <c r="AU93" s="288"/>
      <c r="AV93" s="81"/>
      <c r="AW93" s="289">
        <f t="shared" si="455"/>
        <v>6</v>
      </c>
      <c r="AX93" s="290" t="s">
        <v>76</v>
      </c>
      <c r="AY93" s="291"/>
      <c r="AZ93" s="292">
        <f t="shared" si="395"/>
        <v>0.01161806607</v>
      </c>
      <c r="BA93" s="291">
        <f t="shared" si="396"/>
        <v>0</v>
      </c>
      <c r="BB93" s="292">
        <v>0.16716266605705102</v>
      </c>
      <c r="BC93" s="291">
        <f t="shared" si="397"/>
        <v>0</v>
      </c>
      <c r="BD93" s="293">
        <f t="shared" si="398"/>
        <v>0</v>
      </c>
      <c r="BE93" s="288"/>
      <c r="BF93" s="288"/>
      <c r="BG93" s="288"/>
      <c r="BH93" s="81"/>
      <c r="BI93" s="289">
        <f t="shared" si="456"/>
        <v>6</v>
      </c>
      <c r="BJ93" s="290" t="s">
        <v>76</v>
      </c>
      <c r="BK93" s="291"/>
      <c r="BL93" s="292">
        <f t="shared" si="399"/>
        <v>0.01161806607</v>
      </c>
      <c r="BM93" s="291">
        <f t="shared" si="400"/>
        <v>0</v>
      </c>
      <c r="BN93" s="292">
        <v>0.16716266605705102</v>
      </c>
      <c r="BO93" s="291">
        <f t="shared" si="401"/>
        <v>0</v>
      </c>
      <c r="BP93" s="293">
        <f t="shared" si="402"/>
        <v>0</v>
      </c>
      <c r="BQ93" s="288"/>
      <c r="BR93" s="288"/>
      <c r="BS93" s="288"/>
      <c r="BT93" s="81"/>
      <c r="BU93" s="289">
        <f t="shared" si="457"/>
        <v>6</v>
      </c>
      <c r="BV93" s="290" t="s">
        <v>76</v>
      </c>
      <c r="BW93" s="291"/>
      <c r="BX93" s="292">
        <f t="shared" si="403"/>
        <v>0.01161806607</v>
      </c>
      <c r="BY93" s="291">
        <f t="shared" si="404"/>
        <v>0</v>
      </c>
      <c r="BZ93" s="292">
        <v>0.16716266605705102</v>
      </c>
      <c r="CA93" s="291">
        <f t="shared" si="405"/>
        <v>0</v>
      </c>
      <c r="CB93" s="293">
        <f t="shared" si="406"/>
        <v>0</v>
      </c>
      <c r="CC93" s="288"/>
      <c r="CD93" s="288"/>
      <c r="CE93" s="288"/>
      <c r="CF93" s="81"/>
      <c r="CG93" s="289">
        <f t="shared" si="458"/>
        <v>6</v>
      </c>
      <c r="CH93" s="290" t="s">
        <v>76</v>
      </c>
      <c r="CI93" s="291"/>
      <c r="CJ93" s="292">
        <f t="shared" si="407"/>
        <v>0.01161806607</v>
      </c>
      <c r="CK93" s="291">
        <f t="shared" si="408"/>
        <v>0</v>
      </c>
      <c r="CL93" s="292">
        <v>0.16716266605705102</v>
      </c>
      <c r="CM93" s="291">
        <f t="shared" si="409"/>
        <v>0</v>
      </c>
      <c r="CN93" s="293">
        <f t="shared" si="410"/>
        <v>0</v>
      </c>
      <c r="CO93" s="288"/>
      <c r="CP93" s="288"/>
      <c r="CQ93" s="288"/>
      <c r="CR93" s="81"/>
      <c r="CS93" s="289">
        <f t="shared" si="459"/>
        <v>6</v>
      </c>
      <c r="CT93" s="290" t="s">
        <v>76</v>
      </c>
      <c r="CU93" s="291"/>
      <c r="CV93" s="292">
        <f t="shared" si="411"/>
        <v>0.01161806607</v>
      </c>
      <c r="CW93" s="291">
        <f t="shared" si="412"/>
        <v>0</v>
      </c>
      <c r="CX93" s="292">
        <v>0.16716266605705102</v>
      </c>
      <c r="CY93" s="291">
        <f t="shared" si="413"/>
        <v>0</v>
      </c>
      <c r="CZ93" s="293">
        <f t="shared" si="414"/>
        <v>0</v>
      </c>
      <c r="DA93" s="288"/>
      <c r="DB93" s="288"/>
      <c r="DC93" s="288"/>
      <c r="DD93" s="81"/>
      <c r="DE93" s="289">
        <f t="shared" si="460"/>
        <v>6</v>
      </c>
      <c r="DF93" s="290" t="s">
        <v>76</v>
      </c>
      <c r="DG93" s="291">
        <f>'Hitung Output'!BI65</f>
        <v>826693.2794</v>
      </c>
      <c r="DH93" s="292">
        <f t="shared" si="415"/>
        <v>0.01161806607</v>
      </c>
      <c r="DI93" s="294">
        <f t="shared" si="416"/>
        <v>9604.577137</v>
      </c>
      <c r="DJ93" s="292">
        <v>0.16716266605705102</v>
      </c>
      <c r="DK93" s="291">
        <f t="shared" si="417"/>
        <v>1605.526721</v>
      </c>
      <c r="DL93" s="293">
        <f t="shared" si="418"/>
        <v>7999.050417</v>
      </c>
      <c r="DM93" s="288"/>
      <c r="DN93" s="288"/>
      <c r="DO93" s="288"/>
      <c r="DP93" s="81"/>
      <c r="DQ93" s="289">
        <f t="shared" si="461"/>
        <v>6</v>
      </c>
      <c r="DR93" s="290" t="s">
        <v>76</v>
      </c>
      <c r="DS93" s="292">
        <f>'Hitung Output'!BN65</f>
        <v>816337.1388</v>
      </c>
      <c r="DT93" s="292">
        <f t="shared" si="419"/>
        <v>0.01161806607</v>
      </c>
      <c r="DU93" s="295">
        <f t="shared" si="420"/>
        <v>9484.258811</v>
      </c>
      <c r="DV93" s="292">
        <v>0.16716266605705102</v>
      </c>
      <c r="DW93" s="291">
        <f t="shared" si="421"/>
        <v>1585.413988</v>
      </c>
      <c r="DX93" s="293">
        <f t="shared" si="422"/>
        <v>7898.844823</v>
      </c>
      <c r="DY93" s="288"/>
      <c r="DZ93" s="288"/>
      <c r="EA93" s="288"/>
      <c r="EB93" s="81"/>
      <c r="EC93" s="289">
        <f t="shared" si="462"/>
        <v>6</v>
      </c>
      <c r="ED93" s="290" t="s">
        <v>76</v>
      </c>
      <c r="EE93" s="292">
        <f>'Hitung Output'!BS65</f>
        <v>815939.7609</v>
      </c>
      <c r="EF93" s="292">
        <f t="shared" si="423"/>
        <v>0.01161806607</v>
      </c>
      <c r="EG93" s="296">
        <f t="shared" si="424"/>
        <v>9479.642048</v>
      </c>
      <c r="EH93" s="292">
        <v>0.16716266605705102</v>
      </c>
      <c r="EI93" s="291">
        <f t="shared" si="425"/>
        <v>1584.642238</v>
      </c>
      <c r="EJ93" s="293">
        <f t="shared" si="426"/>
        <v>7894.99981</v>
      </c>
      <c r="EK93" s="288"/>
      <c r="EL93" s="288"/>
      <c r="EM93" s="288"/>
      <c r="EN93" s="81"/>
      <c r="EO93" s="289">
        <f t="shared" si="463"/>
        <v>6</v>
      </c>
      <c r="EP93" s="290" t="s">
        <v>76</v>
      </c>
      <c r="EQ93" s="291">
        <f>'Hitung Output'!BX65</f>
        <v>872471.7676</v>
      </c>
      <c r="ER93" s="292">
        <f t="shared" si="427"/>
        <v>0.01161806607</v>
      </c>
      <c r="ES93" s="297">
        <f t="shared" si="428"/>
        <v>10136.43464</v>
      </c>
      <c r="ET93" s="292">
        <v>0.16716266605705102</v>
      </c>
      <c r="EU93" s="291">
        <f t="shared" si="429"/>
        <v>1694.433438</v>
      </c>
      <c r="EV93" s="293">
        <f t="shared" si="430"/>
        <v>8442.001199</v>
      </c>
      <c r="EW93" s="288"/>
      <c r="EX93" s="288"/>
      <c r="EY93" s="288"/>
      <c r="EZ93" s="81"/>
      <c r="FA93" s="289">
        <f t="shared" si="464"/>
        <v>6</v>
      </c>
      <c r="FB93" s="290" t="s">
        <v>76</v>
      </c>
      <c r="FC93" s="291">
        <f>'Hitung Output'!CC65</f>
        <v>909256.6136</v>
      </c>
      <c r="FD93" s="292">
        <f t="shared" si="431"/>
        <v>0.01161806607</v>
      </c>
      <c r="FE93" s="291">
        <f t="shared" si="432"/>
        <v>10563.80341</v>
      </c>
      <c r="FF93" s="292">
        <v>0.16716266605705102</v>
      </c>
      <c r="FG93" s="291">
        <f t="shared" si="433"/>
        <v>1765.873541</v>
      </c>
      <c r="FH93" s="293">
        <f t="shared" si="434"/>
        <v>8797.929867</v>
      </c>
      <c r="FI93" s="288"/>
      <c r="FJ93" s="288"/>
      <c r="FK93" s="288"/>
      <c r="FL93" s="81"/>
      <c r="FM93" s="289">
        <f t="shared" si="465"/>
        <v>6</v>
      </c>
      <c r="FN93" s="290" t="s">
        <v>76</v>
      </c>
      <c r="FO93" s="291">
        <f>'Hitung Output'!CH65</f>
        <v>902971.4716</v>
      </c>
      <c r="FP93" s="292">
        <f t="shared" si="435"/>
        <v>0.01161806607</v>
      </c>
      <c r="FQ93" s="291">
        <f t="shared" si="436"/>
        <v>10490.78221</v>
      </c>
      <c r="FR93" s="292">
        <v>0.16716266605705102</v>
      </c>
      <c r="FS93" s="291">
        <f t="shared" si="437"/>
        <v>1753.667124</v>
      </c>
      <c r="FT93" s="293">
        <f t="shared" si="438"/>
        <v>8737.11509</v>
      </c>
      <c r="FU93" s="288"/>
      <c r="FV93" s="288"/>
      <c r="FW93" s="288"/>
      <c r="FX93" s="81"/>
      <c r="FY93" s="289">
        <f t="shared" si="466"/>
        <v>6</v>
      </c>
      <c r="FZ93" s="290" t="s">
        <v>76</v>
      </c>
      <c r="GA93" s="291">
        <f>'Hitung Output'!CM65</f>
        <v>980600.7938</v>
      </c>
      <c r="GB93" s="292">
        <f t="shared" si="439"/>
        <v>0.01161806607</v>
      </c>
      <c r="GC93" s="291">
        <f t="shared" si="440"/>
        <v>11392.68481</v>
      </c>
      <c r="GD93" s="292">
        <v>0.16716266605705102</v>
      </c>
      <c r="GE93" s="291">
        <f t="shared" si="441"/>
        <v>1904.431566</v>
      </c>
      <c r="GF93" s="293">
        <f t="shared" si="442"/>
        <v>9488.253242</v>
      </c>
      <c r="GG93" s="288"/>
      <c r="GH93" s="288"/>
      <c r="GI93" s="288"/>
      <c r="GJ93" s="81"/>
      <c r="GK93" s="289">
        <f t="shared" si="467"/>
        <v>6</v>
      </c>
      <c r="GL93" s="290" t="s">
        <v>76</v>
      </c>
      <c r="GM93" s="291"/>
      <c r="GN93" s="292">
        <f t="shared" si="443"/>
        <v>0.01161806607</v>
      </c>
      <c r="GO93" s="291">
        <f t="shared" si="444"/>
        <v>0</v>
      </c>
      <c r="GP93" s="292">
        <v>0.16716266605705102</v>
      </c>
      <c r="GQ93" s="291">
        <f t="shared" si="445"/>
        <v>0</v>
      </c>
      <c r="GR93" s="293">
        <f t="shared" si="446"/>
        <v>0</v>
      </c>
      <c r="GS93" s="288"/>
      <c r="GT93" s="288"/>
      <c r="GU93" s="288"/>
      <c r="GV93" s="81"/>
      <c r="GW93" s="289">
        <f t="shared" si="468"/>
        <v>6</v>
      </c>
      <c r="GX93" s="290" t="s">
        <v>76</v>
      </c>
      <c r="GY93" s="291"/>
      <c r="GZ93" s="292">
        <f t="shared" si="447"/>
        <v>0.01161806607</v>
      </c>
      <c r="HA93" s="291">
        <f t="shared" si="448"/>
        <v>0</v>
      </c>
      <c r="HB93" s="292">
        <v>0.16716266605705102</v>
      </c>
      <c r="HC93" s="291">
        <f t="shared" si="449"/>
        <v>0</v>
      </c>
      <c r="HD93" s="293">
        <f t="shared" si="450"/>
        <v>0</v>
      </c>
      <c r="HE93" s="288"/>
      <c r="HF93" s="288"/>
      <c r="HG93" s="288"/>
      <c r="HH93" s="81"/>
      <c r="HI93" s="75"/>
    </row>
    <row r="94" ht="15.75" customHeight="1">
      <c r="A94" s="289"/>
      <c r="B94" s="298"/>
      <c r="C94" s="291"/>
      <c r="D94" s="291"/>
      <c r="E94" s="291"/>
      <c r="F94" s="291"/>
      <c r="G94" s="291"/>
      <c r="H94" s="293"/>
      <c r="I94" s="288"/>
      <c r="J94" s="288"/>
      <c r="K94" s="288"/>
      <c r="L94" s="81"/>
      <c r="M94" s="289"/>
      <c r="N94" s="298"/>
      <c r="O94" s="291"/>
      <c r="P94" s="291"/>
      <c r="Q94" s="291"/>
      <c r="R94" s="291"/>
      <c r="S94" s="291"/>
      <c r="T94" s="293"/>
      <c r="U94" s="288"/>
      <c r="V94" s="288"/>
      <c r="W94" s="288"/>
      <c r="X94" s="81"/>
      <c r="Y94" s="289"/>
      <c r="Z94" s="298"/>
      <c r="AA94" s="291"/>
      <c r="AB94" s="291"/>
      <c r="AC94" s="291"/>
      <c r="AD94" s="291"/>
      <c r="AE94" s="291"/>
      <c r="AF94" s="293"/>
      <c r="AG94" s="288"/>
      <c r="AH94" s="288"/>
      <c r="AI94" s="288"/>
      <c r="AJ94" s="81"/>
      <c r="AK94" s="289"/>
      <c r="AL94" s="298"/>
      <c r="AM94" s="291"/>
      <c r="AN94" s="291"/>
      <c r="AO94" s="291"/>
      <c r="AP94" s="291"/>
      <c r="AQ94" s="291"/>
      <c r="AR94" s="293"/>
      <c r="AS94" s="288"/>
      <c r="AT94" s="288"/>
      <c r="AU94" s="288"/>
      <c r="AV94" s="81"/>
      <c r="AW94" s="289"/>
      <c r="AX94" s="298"/>
      <c r="AY94" s="291"/>
      <c r="AZ94" s="291"/>
      <c r="BA94" s="291"/>
      <c r="BB94" s="291"/>
      <c r="BC94" s="291"/>
      <c r="BD94" s="293"/>
      <c r="BE94" s="288"/>
      <c r="BF94" s="288"/>
      <c r="BG94" s="288"/>
      <c r="BH94" s="81"/>
      <c r="BI94" s="289"/>
      <c r="BJ94" s="298"/>
      <c r="BK94" s="291"/>
      <c r="BL94" s="291"/>
      <c r="BM94" s="291"/>
      <c r="BN94" s="291"/>
      <c r="BO94" s="291"/>
      <c r="BP94" s="293"/>
      <c r="BQ94" s="288"/>
      <c r="BR94" s="288"/>
      <c r="BS94" s="288"/>
      <c r="BT94" s="81"/>
      <c r="BU94" s="289"/>
      <c r="BV94" s="298"/>
      <c r="BW94" s="291"/>
      <c r="BX94" s="291"/>
      <c r="BY94" s="291"/>
      <c r="BZ94" s="291"/>
      <c r="CA94" s="291"/>
      <c r="CB94" s="293"/>
      <c r="CC94" s="288"/>
      <c r="CD94" s="288"/>
      <c r="CE94" s="288"/>
      <c r="CF94" s="81"/>
      <c r="CG94" s="289"/>
      <c r="CH94" s="298"/>
      <c r="CI94" s="291"/>
      <c r="CJ94" s="291"/>
      <c r="CK94" s="291"/>
      <c r="CL94" s="291"/>
      <c r="CM94" s="291"/>
      <c r="CN94" s="293"/>
      <c r="CO94" s="288"/>
      <c r="CP94" s="288"/>
      <c r="CQ94" s="288"/>
      <c r="CR94" s="81"/>
      <c r="CS94" s="289"/>
      <c r="CT94" s="298"/>
      <c r="CU94" s="291"/>
      <c r="CV94" s="291"/>
      <c r="CW94" s="291"/>
      <c r="CX94" s="291"/>
      <c r="CY94" s="291"/>
      <c r="CZ94" s="293"/>
      <c r="DA94" s="288"/>
      <c r="DB94" s="288"/>
      <c r="DC94" s="288"/>
      <c r="DD94" s="81"/>
      <c r="DE94" s="289"/>
      <c r="DF94" s="298"/>
      <c r="DG94" s="291"/>
      <c r="DH94" s="291"/>
      <c r="DI94" s="291"/>
      <c r="DJ94" s="291"/>
      <c r="DK94" s="291"/>
      <c r="DL94" s="293"/>
      <c r="DM94" s="288"/>
      <c r="DN94" s="288"/>
      <c r="DO94" s="288"/>
      <c r="DP94" s="81"/>
      <c r="DQ94" s="289"/>
      <c r="DR94" s="298"/>
      <c r="DS94" s="291"/>
      <c r="DT94" s="291"/>
      <c r="DU94" s="291"/>
      <c r="DV94" s="291"/>
      <c r="DW94" s="291"/>
      <c r="DX94" s="293"/>
      <c r="DY94" s="288"/>
      <c r="DZ94" s="288"/>
      <c r="EA94" s="288"/>
      <c r="EB94" s="81"/>
      <c r="EC94" s="289"/>
      <c r="ED94" s="298"/>
      <c r="EE94" s="291"/>
      <c r="EF94" s="291"/>
      <c r="EG94" s="291"/>
      <c r="EH94" s="291"/>
      <c r="EI94" s="291"/>
      <c r="EJ94" s="293"/>
      <c r="EK94" s="288"/>
      <c r="EL94" s="288"/>
      <c r="EM94" s="288"/>
      <c r="EN94" s="81"/>
      <c r="EO94" s="289"/>
      <c r="EP94" s="298"/>
      <c r="EQ94" s="291"/>
      <c r="ER94" s="291"/>
      <c r="ES94" s="291"/>
      <c r="ET94" s="291"/>
      <c r="EU94" s="291"/>
      <c r="EV94" s="293"/>
      <c r="EW94" s="288"/>
      <c r="EX94" s="288"/>
      <c r="EY94" s="288"/>
      <c r="EZ94" s="81"/>
      <c r="FA94" s="289"/>
      <c r="FB94" s="298"/>
      <c r="FC94" s="291"/>
      <c r="FD94" s="291"/>
      <c r="FE94" s="291"/>
      <c r="FF94" s="291"/>
      <c r="FG94" s="291"/>
      <c r="FH94" s="293"/>
      <c r="FI94" s="288"/>
      <c r="FJ94" s="288"/>
      <c r="FK94" s="288"/>
      <c r="FL94" s="81"/>
      <c r="FM94" s="289"/>
      <c r="FN94" s="298"/>
      <c r="FO94" s="291"/>
      <c r="FP94" s="291"/>
      <c r="FQ94" s="291"/>
      <c r="FR94" s="291"/>
      <c r="FS94" s="291"/>
      <c r="FT94" s="293"/>
      <c r="FU94" s="288"/>
      <c r="FV94" s="288"/>
      <c r="FW94" s="288"/>
      <c r="FX94" s="81"/>
      <c r="FY94" s="289"/>
      <c r="FZ94" s="298"/>
      <c r="GA94" s="291"/>
      <c r="GB94" s="291"/>
      <c r="GC94" s="291"/>
      <c r="GD94" s="291"/>
      <c r="GE94" s="291"/>
      <c r="GF94" s="293"/>
      <c r="GG94" s="288"/>
      <c r="GH94" s="288"/>
      <c r="GI94" s="288"/>
      <c r="GJ94" s="81"/>
      <c r="GK94" s="289"/>
      <c r="GL94" s="298"/>
      <c r="GM94" s="291"/>
      <c r="GN94" s="291"/>
      <c r="GO94" s="291"/>
      <c r="GP94" s="291"/>
      <c r="GQ94" s="291"/>
      <c r="GR94" s="293"/>
      <c r="GS94" s="288"/>
      <c r="GT94" s="288"/>
      <c r="GU94" s="288"/>
      <c r="GV94" s="81"/>
      <c r="GW94" s="289"/>
      <c r="GX94" s="298"/>
      <c r="GY94" s="291"/>
      <c r="GZ94" s="291"/>
      <c r="HA94" s="291"/>
      <c r="HB94" s="291"/>
      <c r="HC94" s="291"/>
      <c r="HD94" s="293"/>
      <c r="HE94" s="288"/>
      <c r="HF94" s="288"/>
      <c r="HG94" s="288"/>
      <c r="HH94" s="81"/>
      <c r="HI94" s="75"/>
    </row>
    <row r="95" ht="15.75" customHeight="1">
      <c r="A95" s="299" t="s">
        <v>77</v>
      </c>
      <c r="B95" s="127"/>
      <c r="C95" s="300">
        <f>SUM(C88:C94)</f>
        <v>0</v>
      </c>
      <c r="D95" s="301"/>
      <c r="E95" s="300">
        <f>SUM(E88:E94)</f>
        <v>0</v>
      </c>
      <c r="F95" s="302"/>
      <c r="G95" s="300">
        <f t="shared" ref="G95:H95" si="469">SUM(G88:G94)</f>
        <v>0</v>
      </c>
      <c r="H95" s="303">
        <f t="shared" si="469"/>
        <v>0</v>
      </c>
      <c r="I95" s="304"/>
      <c r="J95" s="304"/>
      <c r="K95" s="304"/>
      <c r="L95" s="133"/>
      <c r="M95" s="299" t="s">
        <v>77</v>
      </c>
      <c r="N95" s="127"/>
      <c r="O95" s="300">
        <f>SUM(O88:O94)</f>
        <v>0</v>
      </c>
      <c r="P95" s="301"/>
      <c r="Q95" s="300">
        <f>SUM(Q88:Q94)</f>
        <v>0</v>
      </c>
      <c r="R95" s="302"/>
      <c r="S95" s="300">
        <f t="shared" ref="S95:T95" si="470">SUM(S88:S94)</f>
        <v>0</v>
      </c>
      <c r="T95" s="303">
        <f t="shared" si="470"/>
        <v>0</v>
      </c>
      <c r="U95" s="304"/>
      <c r="V95" s="304"/>
      <c r="W95" s="304"/>
      <c r="X95" s="133"/>
      <c r="Y95" s="299" t="s">
        <v>77</v>
      </c>
      <c r="Z95" s="127"/>
      <c r="AA95" s="300">
        <f>SUM(AA88:AA94)</f>
        <v>0</v>
      </c>
      <c r="AB95" s="301"/>
      <c r="AC95" s="300">
        <f>SUM(AC88:AC94)</f>
        <v>0</v>
      </c>
      <c r="AD95" s="302"/>
      <c r="AE95" s="300">
        <f t="shared" ref="AE95:AF95" si="471">SUM(AE88:AE94)</f>
        <v>0</v>
      </c>
      <c r="AF95" s="303">
        <f t="shared" si="471"/>
        <v>0</v>
      </c>
      <c r="AG95" s="304"/>
      <c r="AH95" s="304"/>
      <c r="AI95" s="304"/>
      <c r="AJ95" s="133"/>
      <c r="AK95" s="299" t="s">
        <v>77</v>
      </c>
      <c r="AL95" s="127"/>
      <c r="AM95" s="300">
        <f>SUM(AM88:AM94)</f>
        <v>0</v>
      </c>
      <c r="AN95" s="301"/>
      <c r="AO95" s="300">
        <f>SUM(AO88:AO94)</f>
        <v>0</v>
      </c>
      <c r="AP95" s="302"/>
      <c r="AQ95" s="300">
        <f t="shared" ref="AQ95:AR95" si="472">SUM(AQ88:AQ94)</f>
        <v>0</v>
      </c>
      <c r="AR95" s="303">
        <f t="shared" si="472"/>
        <v>0</v>
      </c>
      <c r="AS95" s="304"/>
      <c r="AT95" s="304"/>
      <c r="AU95" s="304"/>
      <c r="AV95" s="133"/>
      <c r="AW95" s="299" t="s">
        <v>77</v>
      </c>
      <c r="AX95" s="127"/>
      <c r="AY95" s="300">
        <f>SUM(AY88:AY94)</f>
        <v>0</v>
      </c>
      <c r="AZ95" s="301"/>
      <c r="BA95" s="300">
        <f>SUM(BA88:BA94)</f>
        <v>0</v>
      </c>
      <c r="BB95" s="302"/>
      <c r="BC95" s="300">
        <f t="shared" ref="BC95:BD95" si="473">SUM(BC88:BC94)</f>
        <v>0</v>
      </c>
      <c r="BD95" s="303">
        <f t="shared" si="473"/>
        <v>0</v>
      </c>
      <c r="BE95" s="304"/>
      <c r="BF95" s="304"/>
      <c r="BG95" s="304"/>
      <c r="BH95" s="133"/>
      <c r="BI95" s="299" t="s">
        <v>77</v>
      </c>
      <c r="BJ95" s="127"/>
      <c r="BK95" s="300">
        <f>SUM(BK88:BK94)</f>
        <v>0</v>
      </c>
      <c r="BL95" s="301"/>
      <c r="BM95" s="300">
        <f>SUM(BM88:BM94)</f>
        <v>0</v>
      </c>
      <c r="BN95" s="302"/>
      <c r="BO95" s="300">
        <f t="shared" ref="BO95:BP95" si="474">SUM(BO88:BO94)</f>
        <v>0</v>
      </c>
      <c r="BP95" s="303">
        <f t="shared" si="474"/>
        <v>0</v>
      </c>
      <c r="BQ95" s="304"/>
      <c r="BR95" s="304"/>
      <c r="BS95" s="304"/>
      <c r="BT95" s="133"/>
      <c r="BU95" s="299" t="s">
        <v>77</v>
      </c>
      <c r="BV95" s="127"/>
      <c r="BW95" s="300">
        <f>SUM(BW88:BW94)</f>
        <v>0</v>
      </c>
      <c r="BX95" s="301"/>
      <c r="BY95" s="300">
        <f>SUM(BY88:BY94)</f>
        <v>0</v>
      </c>
      <c r="BZ95" s="302"/>
      <c r="CA95" s="300">
        <f t="shared" ref="CA95:CB95" si="475">SUM(CA88:CA94)</f>
        <v>0</v>
      </c>
      <c r="CB95" s="303">
        <f t="shared" si="475"/>
        <v>0</v>
      </c>
      <c r="CC95" s="304"/>
      <c r="CD95" s="304"/>
      <c r="CE95" s="304"/>
      <c r="CF95" s="133"/>
      <c r="CG95" s="299" t="s">
        <v>77</v>
      </c>
      <c r="CH95" s="127"/>
      <c r="CI95" s="300">
        <f>SUM(CI88:CI94)</f>
        <v>0</v>
      </c>
      <c r="CJ95" s="301"/>
      <c r="CK95" s="300">
        <f>SUM(CK88:CK94)</f>
        <v>0</v>
      </c>
      <c r="CL95" s="302"/>
      <c r="CM95" s="300">
        <f t="shared" ref="CM95:CN95" si="476">SUM(CM88:CM94)</f>
        <v>0</v>
      </c>
      <c r="CN95" s="303">
        <f t="shared" si="476"/>
        <v>0</v>
      </c>
      <c r="CO95" s="304"/>
      <c r="CP95" s="304"/>
      <c r="CQ95" s="304"/>
      <c r="CR95" s="133"/>
      <c r="CS95" s="299" t="s">
        <v>77</v>
      </c>
      <c r="CT95" s="127"/>
      <c r="CU95" s="300">
        <f>SUM(CU88:CU94)</f>
        <v>0</v>
      </c>
      <c r="CV95" s="301"/>
      <c r="CW95" s="300">
        <f>SUM(CW88:CW94)</f>
        <v>0</v>
      </c>
      <c r="CX95" s="302"/>
      <c r="CY95" s="300">
        <f t="shared" ref="CY95:CZ95" si="477">SUM(CY88:CY94)</f>
        <v>0</v>
      </c>
      <c r="CZ95" s="303">
        <f t="shared" si="477"/>
        <v>0</v>
      </c>
      <c r="DA95" s="304"/>
      <c r="DB95" s="304"/>
      <c r="DC95" s="304"/>
      <c r="DD95" s="133"/>
      <c r="DE95" s="299" t="s">
        <v>77</v>
      </c>
      <c r="DF95" s="127"/>
      <c r="DG95" s="300">
        <f>SUM(DG88:DG94)</f>
        <v>3556420.878</v>
      </c>
      <c r="DH95" s="301"/>
      <c r="DI95" s="300">
        <f>SUM(DI88:DI94)</f>
        <v>41318.73272</v>
      </c>
      <c r="DJ95" s="302"/>
      <c r="DK95" s="300">
        <f t="shared" ref="DK95:DL95" si="478">SUM(DK88:DK94)</f>
        <v>6906.94952</v>
      </c>
      <c r="DL95" s="303">
        <f t="shared" si="478"/>
        <v>34411.7832</v>
      </c>
      <c r="DM95" s="304"/>
      <c r="DN95" s="304"/>
      <c r="DO95" s="304"/>
      <c r="DP95" s="133"/>
      <c r="DQ95" s="299" t="s">
        <v>77</v>
      </c>
      <c r="DR95" s="127"/>
      <c r="DS95" s="300">
        <f>SUM(DS88:DS94)</f>
        <v>3412961.164</v>
      </c>
      <c r="DT95" s="301"/>
      <c r="DU95" s="300">
        <f>SUM(DU88:DU94)</f>
        <v>39652.00829</v>
      </c>
      <c r="DV95" s="302"/>
      <c r="DW95" s="300">
        <f t="shared" ref="DW95:DX95" si="479">SUM(DW88:DW94)</f>
        <v>6628.33542</v>
      </c>
      <c r="DX95" s="303">
        <f t="shared" si="479"/>
        <v>33023.67287</v>
      </c>
      <c r="DY95" s="304"/>
      <c r="DZ95" s="304"/>
      <c r="EA95" s="304"/>
      <c r="EB95" s="133"/>
      <c r="EC95" s="299" t="s">
        <v>77</v>
      </c>
      <c r="ED95" s="127"/>
      <c r="EE95" s="300">
        <f>SUM(EE88:EE94)</f>
        <v>3443839.714</v>
      </c>
      <c r="EF95" s="301"/>
      <c r="EG95" s="300">
        <f>SUM(EG88:EG94)</f>
        <v>40010.75732</v>
      </c>
      <c r="EH95" s="302"/>
      <c r="EI95" s="300">
        <f t="shared" ref="EI95:EJ95" si="480">SUM(EI88:EI94)</f>
        <v>6688.304864</v>
      </c>
      <c r="EJ95" s="303">
        <f t="shared" si="480"/>
        <v>33322.45246</v>
      </c>
      <c r="EK95" s="304"/>
      <c r="EL95" s="304"/>
      <c r="EM95" s="304"/>
      <c r="EN95" s="133"/>
      <c r="EO95" s="299" t="s">
        <v>77</v>
      </c>
      <c r="EP95" s="127"/>
      <c r="EQ95" s="300">
        <f>SUM(EQ88:EQ94)</f>
        <v>3611131.9</v>
      </c>
      <c r="ER95" s="301"/>
      <c r="ES95" s="300">
        <f>SUM(ES88:ES94)</f>
        <v>41954.36899</v>
      </c>
      <c r="ET95" s="302"/>
      <c r="EU95" s="300">
        <f t="shared" ref="EU95:EV95" si="481">SUM(EU88:EU94)</f>
        <v>7013.204173</v>
      </c>
      <c r="EV95" s="303">
        <f t="shared" si="481"/>
        <v>34941.16481</v>
      </c>
      <c r="EW95" s="304"/>
      <c r="EX95" s="304"/>
      <c r="EY95" s="304"/>
      <c r="EZ95" s="133"/>
      <c r="FA95" s="299" t="s">
        <v>77</v>
      </c>
      <c r="FB95" s="127"/>
      <c r="FC95" s="300">
        <f>SUM(FC88:FC94)</f>
        <v>3768500.513</v>
      </c>
      <c r="FD95" s="301"/>
      <c r="FE95" s="300">
        <f>SUM(FE88:FE94)</f>
        <v>43782.68794</v>
      </c>
      <c r="FF95" s="302"/>
      <c r="FG95" s="300">
        <f t="shared" ref="FG95:FH95" si="482">SUM(FG88:FG94)</f>
        <v>7318.830843</v>
      </c>
      <c r="FH95" s="303">
        <f t="shared" si="482"/>
        <v>36463.85709</v>
      </c>
      <c r="FI95" s="304"/>
      <c r="FJ95" s="304"/>
      <c r="FK95" s="304"/>
      <c r="FL95" s="133"/>
      <c r="FM95" s="299" t="s">
        <v>77</v>
      </c>
      <c r="FN95" s="127"/>
      <c r="FO95" s="300">
        <f>SUM(FO88:FO94)</f>
        <v>4038184.813</v>
      </c>
      <c r="FP95" s="301"/>
      <c r="FQ95" s="300">
        <f>SUM(FQ88:FQ94)</f>
        <v>46915.89795</v>
      </c>
      <c r="FR95" s="302"/>
      <c r="FS95" s="300">
        <f t="shared" ref="FS95:FT95" si="483">SUM(FS88:FS94)</f>
        <v>7842.586581</v>
      </c>
      <c r="FT95" s="303">
        <f t="shared" si="483"/>
        <v>39073.31137</v>
      </c>
      <c r="FU95" s="304"/>
      <c r="FV95" s="304"/>
      <c r="FW95" s="304"/>
      <c r="FX95" s="133"/>
      <c r="FY95" s="299" t="s">
        <v>77</v>
      </c>
      <c r="FZ95" s="127"/>
      <c r="GA95" s="300">
        <f>SUM(GA88:GA94)</f>
        <v>4340765.898</v>
      </c>
      <c r="GB95" s="301"/>
      <c r="GC95" s="300">
        <f>SUM(GC88:GC94)</f>
        <v>50431.30498</v>
      </c>
      <c r="GD95" s="302"/>
      <c r="GE95" s="300">
        <f t="shared" ref="GE95:GF95" si="484">SUM(GE88:GE94)</f>
        <v>8430.231393</v>
      </c>
      <c r="GF95" s="303">
        <f t="shared" si="484"/>
        <v>42001.07359</v>
      </c>
      <c r="GG95" s="304"/>
      <c r="GH95" s="304"/>
      <c r="GI95" s="304"/>
      <c r="GJ95" s="133"/>
      <c r="GK95" s="299" t="s">
        <v>77</v>
      </c>
      <c r="GL95" s="127"/>
      <c r="GM95" s="300">
        <f>SUM(GM88:GM94)</f>
        <v>0</v>
      </c>
      <c r="GN95" s="301"/>
      <c r="GO95" s="300">
        <f>SUM(GO88:GO94)</f>
        <v>0</v>
      </c>
      <c r="GP95" s="302"/>
      <c r="GQ95" s="300">
        <f t="shared" ref="GQ95:GR95" si="485">SUM(GQ88:GQ94)</f>
        <v>0</v>
      </c>
      <c r="GR95" s="303">
        <f t="shared" si="485"/>
        <v>0</v>
      </c>
      <c r="GS95" s="304"/>
      <c r="GT95" s="304"/>
      <c r="GU95" s="304"/>
      <c r="GV95" s="133"/>
      <c r="GW95" s="299" t="s">
        <v>77</v>
      </c>
      <c r="GX95" s="127"/>
      <c r="GY95" s="300">
        <f>SUM(GY88:GY94)</f>
        <v>0</v>
      </c>
      <c r="GZ95" s="301"/>
      <c r="HA95" s="300">
        <f>SUM(HA88:HA94)</f>
        <v>0</v>
      </c>
      <c r="HB95" s="302"/>
      <c r="HC95" s="300">
        <f t="shared" ref="HC95:HD95" si="486">SUM(HC88:HC94)</f>
        <v>0</v>
      </c>
      <c r="HD95" s="303">
        <f t="shared" si="486"/>
        <v>0</v>
      </c>
      <c r="HE95" s="304"/>
      <c r="HF95" s="304"/>
      <c r="HG95" s="304"/>
      <c r="HH95" s="133"/>
      <c r="HI95" s="132"/>
    </row>
    <row r="96" ht="15.75" customHeight="1">
      <c r="A96" s="289"/>
      <c r="B96" s="290"/>
      <c r="C96" s="290"/>
      <c r="D96" s="290"/>
      <c r="E96" s="291"/>
      <c r="F96" s="291"/>
      <c r="G96" s="291"/>
      <c r="H96" s="305"/>
      <c r="I96" s="306"/>
      <c r="J96" s="306"/>
      <c r="K96" s="306"/>
      <c r="L96" s="136"/>
      <c r="M96" s="289"/>
      <c r="N96" s="290"/>
      <c r="O96" s="290"/>
      <c r="P96" s="290"/>
      <c r="Q96" s="291"/>
      <c r="R96" s="291"/>
      <c r="S96" s="291"/>
      <c r="T96" s="305"/>
      <c r="U96" s="306"/>
      <c r="V96" s="306"/>
      <c r="W96" s="306"/>
      <c r="X96" s="136"/>
      <c r="Y96" s="289"/>
      <c r="Z96" s="290"/>
      <c r="AA96" s="290"/>
      <c r="AB96" s="290"/>
      <c r="AC96" s="291"/>
      <c r="AD96" s="291"/>
      <c r="AE96" s="291"/>
      <c r="AF96" s="305"/>
      <c r="AG96" s="306"/>
      <c r="AH96" s="306"/>
      <c r="AI96" s="306"/>
      <c r="AJ96" s="136"/>
      <c r="AK96" s="289"/>
      <c r="AL96" s="290"/>
      <c r="AM96" s="290"/>
      <c r="AN96" s="290"/>
      <c r="AO96" s="291"/>
      <c r="AP96" s="291"/>
      <c r="AQ96" s="291"/>
      <c r="AR96" s="305"/>
      <c r="AS96" s="306"/>
      <c r="AT96" s="306"/>
      <c r="AU96" s="306"/>
      <c r="AV96" s="136"/>
      <c r="AW96" s="289"/>
      <c r="AX96" s="290"/>
      <c r="AY96" s="290"/>
      <c r="AZ96" s="290"/>
      <c r="BA96" s="291"/>
      <c r="BB96" s="291"/>
      <c r="BC96" s="291"/>
      <c r="BD96" s="305"/>
      <c r="BE96" s="306"/>
      <c r="BF96" s="306"/>
      <c r="BG96" s="306"/>
      <c r="BH96" s="136"/>
      <c r="BI96" s="289"/>
      <c r="BJ96" s="290"/>
      <c r="BK96" s="290"/>
      <c r="BL96" s="290"/>
      <c r="BM96" s="291"/>
      <c r="BN96" s="291"/>
      <c r="BO96" s="291"/>
      <c r="BP96" s="305"/>
      <c r="BQ96" s="306"/>
      <c r="BR96" s="306"/>
      <c r="BS96" s="306"/>
      <c r="BT96" s="136"/>
      <c r="BU96" s="289"/>
      <c r="BV96" s="290"/>
      <c r="BW96" s="290"/>
      <c r="BX96" s="290"/>
      <c r="BY96" s="291"/>
      <c r="BZ96" s="291"/>
      <c r="CA96" s="291"/>
      <c r="CB96" s="305"/>
      <c r="CC96" s="306"/>
      <c r="CD96" s="306"/>
      <c r="CE96" s="306"/>
      <c r="CF96" s="136"/>
      <c r="CG96" s="289"/>
      <c r="CH96" s="290"/>
      <c r="CI96" s="290"/>
      <c r="CJ96" s="290"/>
      <c r="CK96" s="291"/>
      <c r="CL96" s="291"/>
      <c r="CM96" s="291"/>
      <c r="CN96" s="305"/>
      <c r="CO96" s="306"/>
      <c r="CP96" s="306"/>
      <c r="CQ96" s="306"/>
      <c r="CR96" s="136"/>
      <c r="CS96" s="289"/>
      <c r="CT96" s="290"/>
      <c r="CU96" s="290"/>
      <c r="CV96" s="290"/>
      <c r="CW96" s="291"/>
      <c r="CX96" s="291"/>
      <c r="CY96" s="291"/>
      <c r="CZ96" s="305"/>
      <c r="DA96" s="306"/>
      <c r="DB96" s="306"/>
      <c r="DC96" s="306"/>
      <c r="DD96" s="136"/>
      <c r="DE96" s="289"/>
      <c r="DF96" s="290"/>
      <c r="DG96" s="290"/>
      <c r="DH96" s="290"/>
      <c r="DI96" s="291"/>
      <c r="DJ96" s="291"/>
      <c r="DK96" s="291"/>
      <c r="DL96" s="305"/>
      <c r="DM96" s="306"/>
      <c r="DN96" s="306"/>
      <c r="DO96" s="306"/>
      <c r="DP96" s="136"/>
      <c r="DQ96" s="289"/>
      <c r="DR96" s="290"/>
      <c r="DS96" s="290"/>
      <c r="DT96" s="290"/>
      <c r="DU96" s="291"/>
      <c r="DV96" s="291"/>
      <c r="DW96" s="291"/>
      <c r="DX96" s="305"/>
      <c r="DY96" s="306"/>
      <c r="DZ96" s="306"/>
      <c r="EA96" s="306"/>
      <c r="EB96" s="136"/>
      <c r="EC96" s="289"/>
      <c r="ED96" s="290"/>
      <c r="EE96" s="290"/>
      <c r="EF96" s="290"/>
      <c r="EG96" s="291"/>
      <c r="EH96" s="291"/>
      <c r="EI96" s="291"/>
      <c r="EJ96" s="305"/>
      <c r="EK96" s="306"/>
      <c r="EL96" s="306"/>
      <c r="EM96" s="306"/>
      <c r="EN96" s="136"/>
      <c r="EO96" s="289"/>
      <c r="EP96" s="290"/>
      <c r="EQ96" s="290"/>
      <c r="ER96" s="290"/>
      <c r="ES96" s="291"/>
      <c r="ET96" s="291"/>
      <c r="EU96" s="291"/>
      <c r="EV96" s="305"/>
      <c r="EW96" s="306"/>
      <c r="EX96" s="306"/>
      <c r="EY96" s="306"/>
      <c r="EZ96" s="136"/>
      <c r="FA96" s="289"/>
      <c r="FB96" s="290"/>
      <c r="FC96" s="290"/>
      <c r="FD96" s="290"/>
      <c r="FE96" s="291"/>
      <c r="FF96" s="291"/>
      <c r="FG96" s="291"/>
      <c r="FH96" s="305"/>
      <c r="FI96" s="306"/>
      <c r="FJ96" s="306"/>
      <c r="FK96" s="306"/>
      <c r="FL96" s="136"/>
      <c r="FM96" s="289"/>
      <c r="FN96" s="290"/>
      <c r="FO96" s="290"/>
      <c r="FP96" s="290"/>
      <c r="FQ96" s="291"/>
      <c r="FR96" s="291"/>
      <c r="FS96" s="291"/>
      <c r="FT96" s="305"/>
      <c r="FU96" s="306"/>
      <c r="FV96" s="306"/>
      <c r="FW96" s="306"/>
      <c r="FX96" s="136"/>
      <c r="FY96" s="289"/>
      <c r="FZ96" s="290"/>
      <c r="GA96" s="290"/>
      <c r="GB96" s="290"/>
      <c r="GC96" s="291"/>
      <c r="GD96" s="291"/>
      <c r="GE96" s="291"/>
      <c r="GF96" s="305"/>
      <c r="GG96" s="306"/>
      <c r="GH96" s="306"/>
      <c r="GI96" s="306"/>
      <c r="GJ96" s="136"/>
      <c r="GK96" s="289"/>
      <c r="GL96" s="290"/>
      <c r="GM96" s="290"/>
      <c r="GN96" s="290"/>
      <c r="GO96" s="291"/>
      <c r="GP96" s="291"/>
      <c r="GQ96" s="291"/>
      <c r="GR96" s="305"/>
      <c r="GS96" s="306"/>
      <c r="GT96" s="306"/>
      <c r="GU96" s="306"/>
      <c r="GV96" s="136"/>
      <c r="GW96" s="289"/>
      <c r="GX96" s="290"/>
      <c r="GY96" s="290"/>
      <c r="GZ96" s="290"/>
      <c r="HA96" s="291"/>
      <c r="HB96" s="291"/>
      <c r="HC96" s="291"/>
      <c r="HD96" s="305"/>
      <c r="HE96" s="306"/>
      <c r="HF96" s="306"/>
      <c r="HG96" s="306"/>
      <c r="HH96" s="136"/>
      <c r="HI96" s="135"/>
    </row>
    <row r="97" ht="15.75" customHeight="1">
      <c r="A97" s="289"/>
      <c r="B97" s="307" t="str">
        <f>"Adjusment "&amp;" %"</f>
        <v>Adjusment  %</v>
      </c>
      <c r="C97" s="308"/>
      <c r="D97" s="309"/>
      <c r="E97" s="310">
        <f>C97/100*E95</f>
        <v>0</v>
      </c>
      <c r="F97" s="311"/>
      <c r="G97" s="291">
        <f>IFERROR(+E97-H97,"")</f>
        <v>0</v>
      </c>
      <c r="H97" s="312">
        <f>C97/100*H95</f>
        <v>0</v>
      </c>
      <c r="I97" s="288"/>
      <c r="J97" s="288"/>
      <c r="K97" s="288"/>
      <c r="L97" s="81"/>
      <c r="M97" s="289"/>
      <c r="N97" s="307" t="str">
        <f>"Adjusment "&amp;" %"</f>
        <v>Adjusment  %</v>
      </c>
      <c r="O97" s="308"/>
      <c r="P97" s="309"/>
      <c r="Q97" s="310">
        <f>O97/100*Q95</f>
        <v>0</v>
      </c>
      <c r="R97" s="311"/>
      <c r="S97" s="291">
        <f>IFERROR(+Q97-T97,"")</f>
        <v>0</v>
      </c>
      <c r="T97" s="312">
        <f>O97/100*T95</f>
        <v>0</v>
      </c>
      <c r="U97" s="288"/>
      <c r="V97" s="288"/>
      <c r="W97" s="288"/>
      <c r="X97" s="81"/>
      <c r="Y97" s="289"/>
      <c r="Z97" s="307" t="str">
        <f>"Adjusment "&amp;" %"</f>
        <v>Adjusment  %</v>
      </c>
      <c r="AA97" s="308"/>
      <c r="AB97" s="309"/>
      <c r="AC97" s="310">
        <f>AA97/100*AC95</f>
        <v>0</v>
      </c>
      <c r="AD97" s="311"/>
      <c r="AE97" s="291">
        <f>IFERROR(+AC97-AF97,"")</f>
        <v>0</v>
      </c>
      <c r="AF97" s="312">
        <f>AA97/100*AF95</f>
        <v>0</v>
      </c>
      <c r="AG97" s="288"/>
      <c r="AH97" s="288"/>
      <c r="AI97" s="288"/>
      <c r="AJ97" s="81"/>
      <c r="AK97" s="289"/>
      <c r="AL97" s="307" t="str">
        <f>"Adjusment "&amp;" %"</f>
        <v>Adjusment  %</v>
      </c>
      <c r="AM97" s="308"/>
      <c r="AN97" s="309"/>
      <c r="AO97" s="310">
        <f>AM97/100*AO95</f>
        <v>0</v>
      </c>
      <c r="AP97" s="311"/>
      <c r="AQ97" s="291">
        <f>IFERROR(+AO97-AR97,"")</f>
        <v>0</v>
      </c>
      <c r="AR97" s="312">
        <f>AM97/100*AR95</f>
        <v>0</v>
      </c>
      <c r="AS97" s="288"/>
      <c r="AT97" s="288"/>
      <c r="AU97" s="288"/>
      <c r="AV97" s="81"/>
      <c r="AW97" s="289"/>
      <c r="AX97" s="307" t="str">
        <f>"Adjusment "&amp;" %"</f>
        <v>Adjusment  %</v>
      </c>
      <c r="AY97" s="308"/>
      <c r="AZ97" s="309"/>
      <c r="BA97" s="310">
        <f>AY97/100*BA95</f>
        <v>0</v>
      </c>
      <c r="BB97" s="311"/>
      <c r="BC97" s="291">
        <f>IFERROR(+BA97-BD97,"")</f>
        <v>0</v>
      </c>
      <c r="BD97" s="312">
        <f>AY97/100*BD95</f>
        <v>0</v>
      </c>
      <c r="BE97" s="288"/>
      <c r="BF97" s="288"/>
      <c r="BG97" s="288"/>
      <c r="BH97" s="81"/>
      <c r="BI97" s="289"/>
      <c r="BJ97" s="307" t="str">
        <f>"Adjusment "&amp;" %"</f>
        <v>Adjusment  %</v>
      </c>
      <c r="BK97" s="308"/>
      <c r="BL97" s="309"/>
      <c r="BM97" s="310">
        <f>BK97/100*BM95</f>
        <v>0</v>
      </c>
      <c r="BN97" s="311"/>
      <c r="BO97" s="291">
        <f>IFERROR(+BM97-BP97,"")</f>
        <v>0</v>
      </c>
      <c r="BP97" s="312">
        <f>BK97/100*BP95</f>
        <v>0</v>
      </c>
      <c r="BQ97" s="288"/>
      <c r="BR97" s="288"/>
      <c r="BS97" s="288"/>
      <c r="BT97" s="81"/>
      <c r="BU97" s="289"/>
      <c r="BV97" s="307" t="str">
        <f>"Adjusment "&amp;" %"</f>
        <v>Adjusment  %</v>
      </c>
      <c r="BW97" s="308"/>
      <c r="BX97" s="309"/>
      <c r="BY97" s="310">
        <f>BW97/100*BY95</f>
        <v>0</v>
      </c>
      <c r="BZ97" s="311"/>
      <c r="CA97" s="291">
        <f>IFERROR(+BY97-CB97,"")</f>
        <v>0</v>
      </c>
      <c r="CB97" s="312">
        <f>BW97/100*CB95</f>
        <v>0</v>
      </c>
      <c r="CC97" s="288"/>
      <c r="CD97" s="288"/>
      <c r="CE97" s="288"/>
      <c r="CF97" s="81"/>
      <c r="CG97" s="289"/>
      <c r="CH97" s="307" t="str">
        <f>"Adjusment "&amp;" %"</f>
        <v>Adjusment  %</v>
      </c>
      <c r="CI97" s="308"/>
      <c r="CJ97" s="309"/>
      <c r="CK97" s="310">
        <f>CI97/100*CK95</f>
        <v>0</v>
      </c>
      <c r="CL97" s="311"/>
      <c r="CM97" s="291">
        <f>IFERROR(+CK97-CN97,"")</f>
        <v>0</v>
      </c>
      <c r="CN97" s="312">
        <f>CI97/100*CN95</f>
        <v>0</v>
      </c>
      <c r="CO97" s="288"/>
      <c r="CP97" s="288"/>
      <c r="CQ97" s="288"/>
      <c r="CR97" s="81"/>
      <c r="CS97" s="289"/>
      <c r="CT97" s="307" t="str">
        <f>"Adjusment "&amp;" %"</f>
        <v>Adjusment  %</v>
      </c>
      <c r="CU97" s="308"/>
      <c r="CV97" s="309"/>
      <c r="CW97" s="310">
        <f>CU97/100*CW95</f>
        <v>0</v>
      </c>
      <c r="CX97" s="311"/>
      <c r="CY97" s="291">
        <f>IFERROR(+CW97-CZ97,"")</f>
        <v>0</v>
      </c>
      <c r="CZ97" s="312">
        <f>CU97/100*CZ95</f>
        <v>0</v>
      </c>
      <c r="DA97" s="288"/>
      <c r="DB97" s="288"/>
      <c r="DC97" s="288"/>
      <c r="DD97" s="81"/>
      <c r="DE97" s="289"/>
      <c r="DF97" s="307" t="str">
        <f>"Adjusment "&amp;" %"</f>
        <v>Adjusment  %</v>
      </c>
      <c r="DG97" s="308"/>
      <c r="DH97" s="309"/>
      <c r="DI97" s="310">
        <f>DG97/100*DI95</f>
        <v>0</v>
      </c>
      <c r="DJ97" s="311"/>
      <c r="DK97" s="291">
        <f>IFERROR(+DI97-DL97,"")</f>
        <v>0</v>
      </c>
      <c r="DL97" s="312">
        <f>DG97/100*DL95</f>
        <v>0</v>
      </c>
      <c r="DM97" s="288"/>
      <c r="DN97" s="288"/>
      <c r="DO97" s="288"/>
      <c r="DP97" s="81"/>
      <c r="DQ97" s="289"/>
      <c r="DR97" s="307" t="str">
        <f>"Adjusment "&amp;" %"</f>
        <v>Adjusment  %</v>
      </c>
      <c r="DS97" s="308"/>
      <c r="DT97" s="309"/>
      <c r="DU97" s="310">
        <f>DS97/100*DU95</f>
        <v>0</v>
      </c>
      <c r="DV97" s="311"/>
      <c r="DW97" s="291">
        <f>IFERROR(+DU97-DX97,"")</f>
        <v>0</v>
      </c>
      <c r="DX97" s="312">
        <f>DS97/100*DX95</f>
        <v>0</v>
      </c>
      <c r="DY97" s="288"/>
      <c r="DZ97" s="288"/>
      <c r="EA97" s="288"/>
      <c r="EB97" s="81"/>
      <c r="EC97" s="289"/>
      <c r="ED97" s="307" t="str">
        <f>"Adjusment "&amp;" %"</f>
        <v>Adjusment  %</v>
      </c>
      <c r="EE97" s="308"/>
      <c r="EF97" s="309"/>
      <c r="EG97" s="310">
        <f>EE97/100*EG95</f>
        <v>0</v>
      </c>
      <c r="EH97" s="311"/>
      <c r="EI97" s="291">
        <f>IFERROR(+EG97-EJ97,"")</f>
        <v>0</v>
      </c>
      <c r="EJ97" s="312">
        <f>EE97/100*EJ95</f>
        <v>0</v>
      </c>
      <c r="EK97" s="288"/>
      <c r="EL97" s="288"/>
      <c r="EM97" s="288"/>
      <c r="EN97" s="81"/>
      <c r="EO97" s="289"/>
      <c r="EP97" s="307" t="str">
        <f>"Adjusment "&amp;" %"</f>
        <v>Adjusment  %</v>
      </c>
      <c r="EQ97" s="308"/>
      <c r="ER97" s="309"/>
      <c r="ES97" s="310">
        <f>EQ97/100*ES95</f>
        <v>0</v>
      </c>
      <c r="ET97" s="311"/>
      <c r="EU97" s="291">
        <f>IFERROR(+ES97-EV97,"")</f>
        <v>0</v>
      </c>
      <c r="EV97" s="312">
        <f>EQ97/100*EV95</f>
        <v>0</v>
      </c>
      <c r="EW97" s="288"/>
      <c r="EX97" s="288"/>
      <c r="EY97" s="288"/>
      <c r="EZ97" s="81"/>
      <c r="FA97" s="289"/>
      <c r="FB97" s="307" t="str">
        <f>"Adjusment "&amp;" %"</f>
        <v>Adjusment  %</v>
      </c>
      <c r="FC97" s="308"/>
      <c r="FD97" s="309"/>
      <c r="FE97" s="310">
        <f>FC97/100*FE95</f>
        <v>0</v>
      </c>
      <c r="FF97" s="311"/>
      <c r="FG97" s="291">
        <f>IFERROR(+FE97-FH97,"")</f>
        <v>0</v>
      </c>
      <c r="FH97" s="312">
        <f>FC97/100*FH95</f>
        <v>0</v>
      </c>
      <c r="FI97" s="288"/>
      <c r="FJ97" s="288"/>
      <c r="FK97" s="288"/>
      <c r="FL97" s="81"/>
      <c r="FM97" s="289"/>
      <c r="FN97" s="307" t="str">
        <f>"Adjusment "&amp;" %"</f>
        <v>Adjusment  %</v>
      </c>
      <c r="FO97" s="308"/>
      <c r="FP97" s="309"/>
      <c r="FQ97" s="310">
        <f>FO97/100*FQ95</f>
        <v>0</v>
      </c>
      <c r="FR97" s="311"/>
      <c r="FS97" s="291">
        <f>IFERROR(+FQ97-FT97,"")</f>
        <v>0</v>
      </c>
      <c r="FT97" s="312">
        <f>FO97/100*FT95</f>
        <v>0</v>
      </c>
      <c r="FU97" s="288"/>
      <c r="FV97" s="288"/>
      <c r="FW97" s="288"/>
      <c r="FX97" s="81"/>
      <c r="FY97" s="289"/>
      <c r="FZ97" s="307" t="str">
        <f>"Adjusment "&amp;" %"</f>
        <v>Adjusment  %</v>
      </c>
      <c r="GA97" s="308"/>
      <c r="GB97" s="309"/>
      <c r="GC97" s="310">
        <f>GA97/100*GC95</f>
        <v>0</v>
      </c>
      <c r="GD97" s="311"/>
      <c r="GE97" s="291">
        <f>IFERROR(+GC97-GF97,"")</f>
        <v>0</v>
      </c>
      <c r="GF97" s="312">
        <f>GA97/100*GF95</f>
        <v>0</v>
      </c>
      <c r="GG97" s="288"/>
      <c r="GH97" s="288"/>
      <c r="GI97" s="288"/>
      <c r="GJ97" s="81"/>
      <c r="GK97" s="289"/>
      <c r="GL97" s="307" t="str">
        <f>"Adjusment "&amp;" %"</f>
        <v>Adjusment  %</v>
      </c>
      <c r="GM97" s="308"/>
      <c r="GN97" s="309"/>
      <c r="GO97" s="310">
        <f>GM97/100*GO95</f>
        <v>0</v>
      </c>
      <c r="GP97" s="311"/>
      <c r="GQ97" s="291">
        <f>IFERROR(+GO97-GR97,"")</f>
        <v>0</v>
      </c>
      <c r="GR97" s="312">
        <f>GM97/100*GR95</f>
        <v>0</v>
      </c>
      <c r="GS97" s="288"/>
      <c r="GT97" s="288"/>
      <c r="GU97" s="288"/>
      <c r="GV97" s="81"/>
      <c r="GW97" s="289"/>
      <c r="GX97" s="307" t="str">
        <f>"Adjusment "&amp;" %"</f>
        <v>Adjusment  %</v>
      </c>
      <c r="GY97" s="308"/>
      <c r="GZ97" s="309"/>
      <c r="HA97" s="310">
        <f>GY97/100*HA95</f>
        <v>0</v>
      </c>
      <c r="HB97" s="311"/>
      <c r="HC97" s="291">
        <f>IFERROR(+HA97-HD97,"")</f>
        <v>0</v>
      </c>
      <c r="HD97" s="312">
        <f>GY97/100*HD95</f>
        <v>0</v>
      </c>
      <c r="HE97" s="288"/>
      <c r="HF97" s="288"/>
      <c r="HG97" s="288"/>
      <c r="HH97" s="81"/>
      <c r="HI97" s="75"/>
    </row>
    <row r="98" ht="15.75" customHeight="1">
      <c r="A98" s="289"/>
      <c r="B98" s="298"/>
      <c r="C98" s="291"/>
      <c r="D98" s="291"/>
      <c r="E98" s="291"/>
      <c r="F98" s="291"/>
      <c r="G98" s="291"/>
      <c r="H98" s="293"/>
      <c r="I98" s="288"/>
      <c r="J98" s="288"/>
      <c r="K98" s="288"/>
      <c r="L98" s="81"/>
      <c r="M98" s="289"/>
      <c r="N98" s="298"/>
      <c r="O98" s="291"/>
      <c r="P98" s="291"/>
      <c r="Q98" s="291"/>
      <c r="R98" s="291"/>
      <c r="S98" s="291"/>
      <c r="T98" s="293"/>
      <c r="U98" s="288"/>
      <c r="V98" s="288"/>
      <c r="W98" s="288"/>
      <c r="X98" s="81"/>
      <c r="Y98" s="289"/>
      <c r="Z98" s="298"/>
      <c r="AA98" s="291"/>
      <c r="AB98" s="291"/>
      <c r="AC98" s="291"/>
      <c r="AD98" s="291"/>
      <c r="AE98" s="291"/>
      <c r="AF98" s="293"/>
      <c r="AG98" s="288"/>
      <c r="AH98" s="288"/>
      <c r="AI98" s="288"/>
      <c r="AJ98" s="81"/>
      <c r="AK98" s="289"/>
      <c r="AL98" s="298"/>
      <c r="AM98" s="291"/>
      <c r="AN98" s="291"/>
      <c r="AO98" s="291"/>
      <c r="AP98" s="291"/>
      <c r="AQ98" s="291"/>
      <c r="AR98" s="293"/>
      <c r="AS98" s="288"/>
      <c r="AT98" s="288"/>
      <c r="AU98" s="288"/>
      <c r="AV98" s="81"/>
      <c r="AW98" s="289"/>
      <c r="AX98" s="298"/>
      <c r="AY98" s="291"/>
      <c r="AZ98" s="291"/>
      <c r="BA98" s="291"/>
      <c r="BB98" s="291"/>
      <c r="BC98" s="291"/>
      <c r="BD98" s="293"/>
      <c r="BE98" s="288"/>
      <c r="BF98" s="288"/>
      <c r="BG98" s="288"/>
      <c r="BH98" s="81"/>
      <c r="BI98" s="289"/>
      <c r="BJ98" s="298"/>
      <c r="BK98" s="291"/>
      <c r="BL98" s="291"/>
      <c r="BM98" s="291"/>
      <c r="BN98" s="291"/>
      <c r="BO98" s="291"/>
      <c r="BP98" s="293"/>
      <c r="BQ98" s="288"/>
      <c r="BR98" s="288"/>
      <c r="BS98" s="288"/>
      <c r="BT98" s="81"/>
      <c r="BU98" s="289"/>
      <c r="BV98" s="298"/>
      <c r="BW98" s="291"/>
      <c r="BX98" s="291"/>
      <c r="BY98" s="291"/>
      <c r="BZ98" s="291"/>
      <c r="CA98" s="291"/>
      <c r="CB98" s="293"/>
      <c r="CC98" s="288"/>
      <c r="CD98" s="288"/>
      <c r="CE98" s="288"/>
      <c r="CF98" s="81"/>
      <c r="CG98" s="289"/>
      <c r="CH98" s="298"/>
      <c r="CI98" s="291"/>
      <c r="CJ98" s="291"/>
      <c r="CK98" s="291"/>
      <c r="CL98" s="291"/>
      <c r="CM98" s="291"/>
      <c r="CN98" s="293"/>
      <c r="CO98" s="288"/>
      <c r="CP98" s="288"/>
      <c r="CQ98" s="288"/>
      <c r="CR98" s="81"/>
      <c r="CS98" s="289"/>
      <c r="CT98" s="298"/>
      <c r="CU98" s="291"/>
      <c r="CV98" s="291"/>
      <c r="CW98" s="291"/>
      <c r="CX98" s="291"/>
      <c r="CY98" s="291"/>
      <c r="CZ98" s="293"/>
      <c r="DA98" s="288"/>
      <c r="DB98" s="288"/>
      <c r="DC98" s="288"/>
      <c r="DD98" s="81"/>
      <c r="DE98" s="289"/>
      <c r="DF98" s="298"/>
      <c r="DG98" s="291"/>
      <c r="DH98" s="291"/>
      <c r="DI98" s="291"/>
      <c r="DJ98" s="291"/>
      <c r="DK98" s="291"/>
      <c r="DL98" s="293"/>
      <c r="DM98" s="288"/>
      <c r="DN98" s="288"/>
      <c r="DO98" s="288"/>
      <c r="DP98" s="81"/>
      <c r="DQ98" s="289"/>
      <c r="DR98" s="298"/>
      <c r="DS98" s="291"/>
      <c r="DT98" s="291"/>
      <c r="DU98" s="291"/>
      <c r="DV98" s="291"/>
      <c r="DW98" s="291"/>
      <c r="DX98" s="293"/>
      <c r="DY98" s="288"/>
      <c r="DZ98" s="288"/>
      <c r="EA98" s="288"/>
      <c r="EB98" s="81"/>
      <c r="EC98" s="289"/>
      <c r="ED98" s="298"/>
      <c r="EE98" s="291"/>
      <c r="EF98" s="291"/>
      <c r="EG98" s="291"/>
      <c r="EH98" s="291"/>
      <c r="EI98" s="291"/>
      <c r="EJ98" s="293"/>
      <c r="EK98" s="288"/>
      <c r="EL98" s="288"/>
      <c r="EM98" s="288"/>
      <c r="EN98" s="81"/>
      <c r="EO98" s="289"/>
      <c r="EP98" s="298"/>
      <c r="EQ98" s="291"/>
      <c r="ER98" s="291"/>
      <c r="ES98" s="291"/>
      <c r="ET98" s="291"/>
      <c r="EU98" s="291"/>
      <c r="EV98" s="293"/>
      <c r="EW98" s="288"/>
      <c r="EX98" s="288"/>
      <c r="EY98" s="288"/>
      <c r="EZ98" s="81"/>
      <c r="FA98" s="289"/>
      <c r="FB98" s="298"/>
      <c r="FC98" s="291"/>
      <c r="FD98" s="291"/>
      <c r="FE98" s="291"/>
      <c r="FF98" s="291"/>
      <c r="FG98" s="291"/>
      <c r="FH98" s="293"/>
      <c r="FI98" s="288"/>
      <c r="FJ98" s="288"/>
      <c r="FK98" s="288"/>
      <c r="FL98" s="81"/>
      <c r="FM98" s="289"/>
      <c r="FN98" s="298"/>
      <c r="FO98" s="291"/>
      <c r="FP98" s="291"/>
      <c r="FQ98" s="291"/>
      <c r="FR98" s="291"/>
      <c r="FS98" s="291"/>
      <c r="FT98" s="293"/>
      <c r="FU98" s="288"/>
      <c r="FV98" s="288"/>
      <c r="FW98" s="288"/>
      <c r="FX98" s="81"/>
      <c r="FY98" s="289"/>
      <c r="FZ98" s="298"/>
      <c r="GA98" s="291"/>
      <c r="GB98" s="291"/>
      <c r="GC98" s="291"/>
      <c r="GD98" s="291"/>
      <c r="GE98" s="291"/>
      <c r="GF98" s="293"/>
      <c r="GG98" s="288"/>
      <c r="GH98" s="288"/>
      <c r="GI98" s="288"/>
      <c r="GJ98" s="81"/>
      <c r="GK98" s="289"/>
      <c r="GL98" s="298"/>
      <c r="GM98" s="291"/>
      <c r="GN98" s="291"/>
      <c r="GO98" s="291"/>
      <c r="GP98" s="291"/>
      <c r="GQ98" s="291"/>
      <c r="GR98" s="293"/>
      <c r="GS98" s="288"/>
      <c r="GT98" s="288"/>
      <c r="GU98" s="288"/>
      <c r="GV98" s="81"/>
      <c r="GW98" s="289"/>
      <c r="GX98" s="298"/>
      <c r="GY98" s="291"/>
      <c r="GZ98" s="291"/>
      <c r="HA98" s="291"/>
      <c r="HB98" s="291"/>
      <c r="HC98" s="291"/>
      <c r="HD98" s="293"/>
      <c r="HE98" s="288"/>
      <c r="HF98" s="288"/>
      <c r="HG98" s="288"/>
      <c r="HH98" s="81"/>
      <c r="HI98" s="75"/>
    </row>
    <row r="99" ht="24.0" customHeight="1">
      <c r="A99" s="313" t="s">
        <v>78</v>
      </c>
      <c r="B99" s="144"/>
      <c r="C99" s="314">
        <f>SUM(C95:C98)</f>
        <v>0</v>
      </c>
      <c r="D99" s="315"/>
      <c r="E99" s="314">
        <f>SUM(E95:E98)</f>
        <v>0</v>
      </c>
      <c r="F99" s="315"/>
      <c r="G99" s="314">
        <f t="shared" ref="G99:H99" si="487">SUM(G95:G98)</f>
        <v>0</v>
      </c>
      <c r="H99" s="316">
        <f t="shared" si="487"/>
        <v>0</v>
      </c>
      <c r="I99" s="288"/>
      <c r="J99" s="288"/>
      <c r="K99" s="288"/>
      <c r="L99" s="81"/>
      <c r="M99" s="313" t="s">
        <v>78</v>
      </c>
      <c r="N99" s="144"/>
      <c r="O99" s="314">
        <f>SUM(O95:O98)</f>
        <v>0</v>
      </c>
      <c r="P99" s="315"/>
      <c r="Q99" s="314">
        <f>SUM(Q95:Q98)</f>
        <v>0</v>
      </c>
      <c r="R99" s="315"/>
      <c r="S99" s="314">
        <f t="shared" ref="S99:T99" si="488">SUM(S95:S98)</f>
        <v>0</v>
      </c>
      <c r="T99" s="316">
        <f t="shared" si="488"/>
        <v>0</v>
      </c>
      <c r="U99" s="288"/>
      <c r="V99" s="288"/>
      <c r="W99" s="288"/>
      <c r="X99" s="81"/>
      <c r="Y99" s="313" t="s">
        <v>78</v>
      </c>
      <c r="Z99" s="144"/>
      <c r="AA99" s="314">
        <f>SUM(AA95:AA98)</f>
        <v>0</v>
      </c>
      <c r="AB99" s="315"/>
      <c r="AC99" s="314">
        <f>SUM(AC95:AC98)</f>
        <v>0</v>
      </c>
      <c r="AD99" s="315"/>
      <c r="AE99" s="314">
        <f t="shared" ref="AE99:AF99" si="489">SUM(AE95:AE98)</f>
        <v>0</v>
      </c>
      <c r="AF99" s="316">
        <f t="shared" si="489"/>
        <v>0</v>
      </c>
      <c r="AG99" s="288"/>
      <c r="AH99" s="288"/>
      <c r="AI99" s="288"/>
      <c r="AJ99" s="81"/>
      <c r="AK99" s="313" t="s">
        <v>78</v>
      </c>
      <c r="AL99" s="144"/>
      <c r="AM99" s="314">
        <f>SUM(AM95:AM98)</f>
        <v>0</v>
      </c>
      <c r="AN99" s="315"/>
      <c r="AO99" s="314">
        <f>SUM(AO95:AO98)</f>
        <v>0</v>
      </c>
      <c r="AP99" s="315"/>
      <c r="AQ99" s="314">
        <f t="shared" ref="AQ99:AR99" si="490">SUM(AQ95:AQ98)</f>
        <v>0</v>
      </c>
      <c r="AR99" s="316">
        <f t="shared" si="490"/>
        <v>0</v>
      </c>
      <c r="AS99" s="288"/>
      <c r="AT99" s="288"/>
      <c r="AU99" s="288"/>
      <c r="AV99" s="81"/>
      <c r="AW99" s="313" t="s">
        <v>78</v>
      </c>
      <c r="AX99" s="144"/>
      <c r="AY99" s="314">
        <f>SUM(AY95:AY98)</f>
        <v>0</v>
      </c>
      <c r="AZ99" s="315"/>
      <c r="BA99" s="314">
        <f>SUM(BA95:BA98)</f>
        <v>0</v>
      </c>
      <c r="BB99" s="315"/>
      <c r="BC99" s="314">
        <f t="shared" ref="BC99:BD99" si="491">SUM(BC95:BC98)</f>
        <v>0</v>
      </c>
      <c r="BD99" s="316">
        <f t="shared" si="491"/>
        <v>0</v>
      </c>
      <c r="BE99" s="288"/>
      <c r="BF99" s="288"/>
      <c r="BG99" s="288"/>
      <c r="BH99" s="81"/>
      <c r="BI99" s="313" t="s">
        <v>78</v>
      </c>
      <c r="BJ99" s="144"/>
      <c r="BK99" s="314">
        <f>SUM(BK95:BK98)</f>
        <v>0</v>
      </c>
      <c r="BL99" s="315"/>
      <c r="BM99" s="314">
        <f>SUM(BM95:BM98)</f>
        <v>0</v>
      </c>
      <c r="BN99" s="315"/>
      <c r="BO99" s="314">
        <f t="shared" ref="BO99:BP99" si="492">SUM(BO95:BO98)</f>
        <v>0</v>
      </c>
      <c r="BP99" s="316">
        <f t="shared" si="492"/>
        <v>0</v>
      </c>
      <c r="BQ99" s="288"/>
      <c r="BR99" s="288"/>
      <c r="BS99" s="288"/>
      <c r="BT99" s="81"/>
      <c r="BU99" s="313" t="s">
        <v>78</v>
      </c>
      <c r="BV99" s="144"/>
      <c r="BW99" s="314">
        <f>SUM(BW95:BW98)</f>
        <v>0</v>
      </c>
      <c r="BX99" s="315"/>
      <c r="BY99" s="314">
        <f>SUM(BY95:BY98)</f>
        <v>0</v>
      </c>
      <c r="BZ99" s="315"/>
      <c r="CA99" s="314">
        <f t="shared" ref="CA99:CB99" si="493">SUM(CA95:CA98)</f>
        <v>0</v>
      </c>
      <c r="CB99" s="316">
        <f t="shared" si="493"/>
        <v>0</v>
      </c>
      <c r="CC99" s="288"/>
      <c r="CD99" s="288"/>
      <c r="CE99" s="288"/>
      <c r="CF99" s="81"/>
      <c r="CG99" s="313" t="s">
        <v>78</v>
      </c>
      <c r="CH99" s="144"/>
      <c r="CI99" s="314">
        <f>SUM(CI95:CI98)</f>
        <v>0</v>
      </c>
      <c r="CJ99" s="315"/>
      <c r="CK99" s="314">
        <f>SUM(CK95:CK98)</f>
        <v>0</v>
      </c>
      <c r="CL99" s="315"/>
      <c r="CM99" s="314">
        <f t="shared" ref="CM99:CN99" si="494">SUM(CM95:CM98)</f>
        <v>0</v>
      </c>
      <c r="CN99" s="316">
        <f t="shared" si="494"/>
        <v>0</v>
      </c>
      <c r="CO99" s="288"/>
      <c r="CP99" s="288"/>
      <c r="CQ99" s="288"/>
      <c r="CR99" s="81"/>
      <c r="CS99" s="313" t="s">
        <v>78</v>
      </c>
      <c r="CT99" s="144"/>
      <c r="CU99" s="314">
        <f>SUM(CU95:CU98)</f>
        <v>0</v>
      </c>
      <c r="CV99" s="315"/>
      <c r="CW99" s="314">
        <f>SUM(CW95:CW98)</f>
        <v>0</v>
      </c>
      <c r="CX99" s="315"/>
      <c r="CY99" s="314">
        <f t="shared" ref="CY99:CZ99" si="495">SUM(CY95:CY98)</f>
        <v>0</v>
      </c>
      <c r="CZ99" s="316">
        <f t="shared" si="495"/>
        <v>0</v>
      </c>
      <c r="DA99" s="288"/>
      <c r="DB99" s="288"/>
      <c r="DC99" s="288"/>
      <c r="DD99" s="81"/>
      <c r="DE99" s="313" t="s">
        <v>78</v>
      </c>
      <c r="DF99" s="144"/>
      <c r="DG99" s="314">
        <f>SUM(DG95:DG98)</f>
        <v>3556420.878</v>
      </c>
      <c r="DH99" s="315"/>
      <c r="DI99" s="314">
        <f>SUM(DI95:DI98)</f>
        <v>41318.73272</v>
      </c>
      <c r="DJ99" s="315"/>
      <c r="DK99" s="314">
        <f t="shared" ref="DK99:DL99" si="496">SUM(DK95:DK98)</f>
        <v>6906.94952</v>
      </c>
      <c r="DL99" s="316">
        <f t="shared" si="496"/>
        <v>34411.7832</v>
      </c>
      <c r="DM99" s="288"/>
      <c r="DN99" s="288"/>
      <c r="DO99" s="288"/>
      <c r="DP99" s="81"/>
      <c r="DQ99" s="313" t="s">
        <v>78</v>
      </c>
      <c r="DR99" s="144"/>
      <c r="DS99" s="314">
        <f>SUM(DS95:DS98)</f>
        <v>3412961.164</v>
      </c>
      <c r="DT99" s="315"/>
      <c r="DU99" s="314">
        <f>SUM(DU95:DU98)</f>
        <v>39652.00829</v>
      </c>
      <c r="DV99" s="315"/>
      <c r="DW99" s="314">
        <f t="shared" ref="DW99:DX99" si="497">SUM(DW95:DW98)</f>
        <v>6628.33542</v>
      </c>
      <c r="DX99" s="316">
        <f t="shared" si="497"/>
        <v>33023.67287</v>
      </c>
      <c r="DY99" s="288"/>
      <c r="DZ99" s="288"/>
      <c r="EA99" s="288"/>
      <c r="EB99" s="81"/>
      <c r="EC99" s="313" t="s">
        <v>78</v>
      </c>
      <c r="ED99" s="144"/>
      <c r="EE99" s="314">
        <f>SUM(EE95:EE98)</f>
        <v>3443839.714</v>
      </c>
      <c r="EF99" s="315"/>
      <c r="EG99" s="314">
        <f>SUM(EG95:EG98)</f>
        <v>40010.75732</v>
      </c>
      <c r="EH99" s="315"/>
      <c r="EI99" s="314">
        <f t="shared" ref="EI99:EJ99" si="498">SUM(EI95:EI98)</f>
        <v>6688.304864</v>
      </c>
      <c r="EJ99" s="316">
        <f t="shared" si="498"/>
        <v>33322.45246</v>
      </c>
      <c r="EK99" s="288"/>
      <c r="EL99" s="288"/>
      <c r="EM99" s="288"/>
      <c r="EN99" s="81"/>
      <c r="EO99" s="313" t="s">
        <v>78</v>
      </c>
      <c r="EP99" s="144"/>
      <c r="EQ99" s="314">
        <f>SUM(EQ95:EQ98)</f>
        <v>3611131.9</v>
      </c>
      <c r="ER99" s="315"/>
      <c r="ES99" s="314">
        <f>SUM(ES95:ES98)</f>
        <v>41954.36899</v>
      </c>
      <c r="ET99" s="315"/>
      <c r="EU99" s="314">
        <f t="shared" ref="EU99:EV99" si="499">SUM(EU95:EU98)</f>
        <v>7013.204173</v>
      </c>
      <c r="EV99" s="316">
        <f t="shared" si="499"/>
        <v>34941.16481</v>
      </c>
      <c r="EW99" s="288"/>
      <c r="EX99" s="288"/>
      <c r="EY99" s="288"/>
      <c r="EZ99" s="81"/>
      <c r="FA99" s="313" t="s">
        <v>78</v>
      </c>
      <c r="FB99" s="144"/>
      <c r="FC99" s="314">
        <f>SUM(FC95:FC98)</f>
        <v>3768500.513</v>
      </c>
      <c r="FD99" s="315"/>
      <c r="FE99" s="314">
        <f>SUM(FE95:FE98)</f>
        <v>43782.68794</v>
      </c>
      <c r="FF99" s="315"/>
      <c r="FG99" s="314">
        <f t="shared" ref="FG99:FH99" si="500">SUM(FG95:FG98)</f>
        <v>7318.830843</v>
      </c>
      <c r="FH99" s="316">
        <f t="shared" si="500"/>
        <v>36463.85709</v>
      </c>
      <c r="FI99" s="288"/>
      <c r="FJ99" s="288"/>
      <c r="FK99" s="288"/>
      <c r="FL99" s="81"/>
      <c r="FM99" s="313" t="s">
        <v>78</v>
      </c>
      <c r="FN99" s="144"/>
      <c r="FO99" s="314">
        <f>SUM(FO95:FO98)</f>
        <v>4038184.813</v>
      </c>
      <c r="FP99" s="315"/>
      <c r="FQ99" s="314">
        <f>SUM(FQ95:FQ98)</f>
        <v>46915.89795</v>
      </c>
      <c r="FR99" s="315"/>
      <c r="FS99" s="314">
        <f t="shared" ref="FS99:FT99" si="501">SUM(FS95:FS98)</f>
        <v>7842.586581</v>
      </c>
      <c r="FT99" s="316">
        <f t="shared" si="501"/>
        <v>39073.31137</v>
      </c>
      <c r="FU99" s="288"/>
      <c r="FV99" s="288"/>
      <c r="FW99" s="288"/>
      <c r="FX99" s="81"/>
      <c r="FY99" s="313" t="s">
        <v>78</v>
      </c>
      <c r="FZ99" s="144"/>
      <c r="GA99" s="314">
        <f>SUM(GA95:GA98)</f>
        <v>4340765.898</v>
      </c>
      <c r="GB99" s="315"/>
      <c r="GC99" s="314">
        <f>SUM(GC95:GC98)</f>
        <v>50431.30498</v>
      </c>
      <c r="GD99" s="315"/>
      <c r="GE99" s="314">
        <f t="shared" ref="GE99:GF99" si="502">SUM(GE95:GE98)</f>
        <v>8430.231393</v>
      </c>
      <c r="GF99" s="316">
        <f t="shared" si="502"/>
        <v>42001.07359</v>
      </c>
      <c r="GG99" s="288"/>
      <c r="GH99" s="288"/>
      <c r="GI99" s="288"/>
      <c r="GJ99" s="81"/>
      <c r="GK99" s="313" t="s">
        <v>78</v>
      </c>
      <c r="GL99" s="144"/>
      <c r="GM99" s="314">
        <f>SUM(GM95:GM98)</f>
        <v>0</v>
      </c>
      <c r="GN99" s="315"/>
      <c r="GO99" s="314">
        <f>SUM(GO95:GO98)</f>
        <v>0</v>
      </c>
      <c r="GP99" s="315"/>
      <c r="GQ99" s="314">
        <f t="shared" ref="GQ99:GR99" si="503">SUM(GQ95:GQ98)</f>
        <v>0</v>
      </c>
      <c r="GR99" s="316">
        <f t="shared" si="503"/>
        <v>0</v>
      </c>
      <c r="GS99" s="288"/>
      <c r="GT99" s="288"/>
      <c r="GU99" s="288"/>
      <c r="GV99" s="81"/>
      <c r="GW99" s="313" t="s">
        <v>78</v>
      </c>
      <c r="GX99" s="144"/>
      <c r="GY99" s="314">
        <f>SUM(GY95:GY98)</f>
        <v>0</v>
      </c>
      <c r="GZ99" s="315"/>
      <c r="HA99" s="314">
        <f>SUM(HA95:HA98)</f>
        <v>0</v>
      </c>
      <c r="HB99" s="315"/>
      <c r="HC99" s="314">
        <f t="shared" ref="HC99:HD99" si="504">SUM(HC95:HC98)</f>
        <v>0</v>
      </c>
      <c r="HD99" s="316">
        <f t="shared" si="504"/>
        <v>0</v>
      </c>
      <c r="HE99" s="288"/>
      <c r="HF99" s="288"/>
      <c r="HG99" s="288"/>
      <c r="HH99" s="81"/>
      <c r="HI99" s="75"/>
    </row>
    <row r="100" ht="15.0" customHeight="1">
      <c r="A100" s="74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81"/>
      <c r="M100" s="74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81"/>
      <c r="Y100" s="74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81"/>
      <c r="AK100" s="74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81"/>
      <c r="AW100" s="74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81"/>
      <c r="BI100" s="74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81"/>
      <c r="BU100" s="74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81"/>
      <c r="CG100" s="74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81"/>
      <c r="CS100" s="74"/>
      <c r="CT100" s="75"/>
      <c r="CU100" s="75"/>
      <c r="CV100" s="75"/>
      <c r="CW100" s="75"/>
      <c r="CX100" s="75"/>
      <c r="CY100" s="75"/>
      <c r="CZ100" s="75"/>
      <c r="DA100" s="75"/>
      <c r="DB100" s="75"/>
      <c r="DC100" s="75"/>
      <c r="DD100" s="81"/>
      <c r="DE100" s="74"/>
      <c r="DF100" s="75"/>
      <c r="DG100" s="75"/>
      <c r="DH100" s="75"/>
      <c r="DI100" s="75"/>
      <c r="DJ100" s="75"/>
      <c r="DK100" s="75"/>
      <c r="DL100" s="75"/>
      <c r="DM100" s="75"/>
      <c r="DN100" s="75"/>
      <c r="DO100" s="75"/>
      <c r="DP100" s="81"/>
      <c r="DQ100" s="74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81"/>
      <c r="EC100" s="74"/>
      <c r="ED100" s="75"/>
      <c r="EE100" s="75"/>
      <c r="EF100" s="75"/>
      <c r="EG100" s="75"/>
      <c r="EH100" s="75"/>
      <c r="EI100" s="75"/>
      <c r="EJ100" s="75"/>
      <c r="EK100" s="75"/>
      <c r="EL100" s="75"/>
      <c r="EM100" s="75"/>
      <c r="EN100" s="81"/>
      <c r="EO100" s="74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81"/>
      <c r="FA100" s="74"/>
      <c r="FB100" s="75"/>
      <c r="FC100" s="75"/>
      <c r="FD100" s="75"/>
      <c r="FE100" s="75"/>
      <c r="FF100" s="75"/>
      <c r="FG100" s="75"/>
      <c r="FH100" s="75"/>
      <c r="FI100" s="75"/>
      <c r="FJ100" s="75"/>
      <c r="FK100" s="75"/>
      <c r="FL100" s="81"/>
      <c r="FM100" s="74"/>
      <c r="FN100" s="75"/>
      <c r="FO100" s="75"/>
      <c r="FP100" s="75"/>
      <c r="FQ100" s="75"/>
      <c r="FR100" s="75"/>
      <c r="FS100" s="75"/>
      <c r="FT100" s="75"/>
      <c r="FU100" s="75"/>
      <c r="FV100" s="75"/>
      <c r="FW100" s="75"/>
      <c r="FX100" s="81"/>
      <c r="FY100" s="74"/>
      <c r="FZ100" s="75"/>
      <c r="GA100" s="75"/>
      <c r="GB100" s="75"/>
      <c r="GC100" s="75"/>
      <c r="GD100" s="75"/>
      <c r="GE100" s="75"/>
      <c r="GF100" s="75"/>
      <c r="GG100" s="75"/>
      <c r="GH100" s="75"/>
      <c r="GI100" s="75"/>
      <c r="GJ100" s="81"/>
      <c r="GK100" s="74"/>
      <c r="GL100" s="75"/>
      <c r="GM100" s="75"/>
      <c r="GN100" s="75"/>
      <c r="GO100" s="75"/>
      <c r="GP100" s="75"/>
      <c r="GQ100" s="75"/>
      <c r="GR100" s="75"/>
      <c r="GS100" s="75"/>
      <c r="GT100" s="75"/>
      <c r="GU100" s="75"/>
      <c r="GV100" s="81"/>
      <c r="GW100" s="74"/>
      <c r="GX100" s="75"/>
      <c r="GY100" s="75"/>
      <c r="GZ100" s="75"/>
      <c r="HA100" s="75"/>
      <c r="HB100" s="75"/>
      <c r="HC100" s="75"/>
      <c r="HD100" s="75"/>
      <c r="HE100" s="75"/>
      <c r="HF100" s="75"/>
      <c r="HG100" s="75"/>
      <c r="HH100" s="81"/>
      <c r="HI100" s="75"/>
    </row>
    <row r="101" ht="15.0" customHeight="1">
      <c r="A101" s="74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81"/>
      <c r="M101" s="74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81"/>
      <c r="Y101" s="74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81"/>
      <c r="AK101" s="74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81"/>
      <c r="AW101" s="74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81"/>
      <c r="BI101" s="74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81"/>
      <c r="BU101" s="74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81"/>
      <c r="CG101" s="74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81"/>
      <c r="CS101" s="74"/>
      <c r="CT101" s="75"/>
      <c r="CU101" s="75"/>
      <c r="CV101" s="75"/>
      <c r="CW101" s="75"/>
      <c r="CX101" s="75"/>
      <c r="CY101" s="75"/>
      <c r="CZ101" s="75"/>
      <c r="DA101" s="75"/>
      <c r="DB101" s="75"/>
      <c r="DC101" s="75"/>
      <c r="DD101" s="81"/>
      <c r="DE101" s="74"/>
      <c r="DF101" s="75"/>
      <c r="DG101" s="75"/>
      <c r="DH101" s="75"/>
      <c r="DI101" s="75"/>
      <c r="DJ101" s="75"/>
      <c r="DK101" s="75"/>
      <c r="DL101" s="75"/>
      <c r="DM101" s="75"/>
      <c r="DN101" s="75"/>
      <c r="DO101" s="75"/>
      <c r="DP101" s="81"/>
      <c r="DQ101" s="74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81"/>
      <c r="EC101" s="74"/>
      <c r="ED101" s="75"/>
      <c r="EE101" s="75"/>
      <c r="EF101" s="75"/>
      <c r="EG101" s="75"/>
      <c r="EH101" s="75"/>
      <c r="EI101" s="75"/>
      <c r="EJ101" s="75"/>
      <c r="EK101" s="75"/>
      <c r="EL101" s="75"/>
      <c r="EM101" s="75"/>
      <c r="EN101" s="81"/>
      <c r="EO101" s="74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81"/>
      <c r="FA101" s="74"/>
      <c r="FB101" s="75"/>
      <c r="FC101" s="75"/>
      <c r="FD101" s="75"/>
      <c r="FE101" s="75"/>
      <c r="FF101" s="75"/>
      <c r="FG101" s="75"/>
      <c r="FH101" s="75"/>
      <c r="FI101" s="75"/>
      <c r="FJ101" s="75"/>
      <c r="FK101" s="75"/>
      <c r="FL101" s="81"/>
      <c r="FM101" s="74"/>
      <c r="FN101" s="75"/>
      <c r="FO101" s="75"/>
      <c r="FP101" s="75"/>
      <c r="FQ101" s="75"/>
      <c r="FR101" s="75"/>
      <c r="FS101" s="75"/>
      <c r="FT101" s="75"/>
      <c r="FU101" s="75"/>
      <c r="FV101" s="75"/>
      <c r="FW101" s="75"/>
      <c r="FX101" s="81"/>
      <c r="FY101" s="74"/>
      <c r="FZ101" s="75"/>
      <c r="GA101" s="75"/>
      <c r="GB101" s="75"/>
      <c r="GC101" s="75"/>
      <c r="GD101" s="75"/>
      <c r="GE101" s="75"/>
      <c r="GF101" s="75"/>
      <c r="GG101" s="75"/>
      <c r="GH101" s="75"/>
      <c r="GI101" s="75"/>
      <c r="GJ101" s="81"/>
      <c r="GK101" s="74"/>
      <c r="GL101" s="75"/>
      <c r="GM101" s="75"/>
      <c r="GN101" s="75"/>
      <c r="GO101" s="75"/>
      <c r="GP101" s="75"/>
      <c r="GQ101" s="75"/>
      <c r="GR101" s="75"/>
      <c r="GS101" s="75"/>
      <c r="GT101" s="75"/>
      <c r="GU101" s="75"/>
      <c r="GV101" s="81"/>
      <c r="GW101" s="74"/>
      <c r="GX101" s="75"/>
      <c r="GY101" s="75"/>
      <c r="GZ101" s="75"/>
      <c r="HA101" s="75"/>
      <c r="HB101" s="75"/>
      <c r="HC101" s="75"/>
      <c r="HD101" s="75"/>
      <c r="HE101" s="75"/>
      <c r="HF101" s="75"/>
      <c r="HG101" s="75"/>
      <c r="HH101" s="81"/>
      <c r="HI101" s="75"/>
    </row>
    <row r="102" ht="15.0" customHeight="1">
      <c r="A102" s="74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81"/>
      <c r="M102" s="74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81"/>
      <c r="Y102" s="74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81"/>
      <c r="AK102" s="74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81"/>
      <c r="AW102" s="74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81"/>
      <c r="BI102" s="74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81"/>
      <c r="BU102" s="74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81"/>
      <c r="CG102" s="74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81"/>
      <c r="CS102" s="74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81"/>
      <c r="DE102" s="74"/>
      <c r="DF102" s="75"/>
      <c r="DG102" s="75"/>
      <c r="DH102" s="75"/>
      <c r="DI102" s="75"/>
      <c r="DJ102" s="75"/>
      <c r="DK102" s="75"/>
      <c r="DL102" s="75"/>
      <c r="DM102" s="75"/>
      <c r="DN102" s="75"/>
      <c r="DO102" s="75"/>
      <c r="DP102" s="81"/>
      <c r="DQ102" s="74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81"/>
      <c r="EC102" s="74"/>
      <c r="ED102" s="75"/>
      <c r="EE102" s="75"/>
      <c r="EF102" s="75"/>
      <c r="EG102" s="75"/>
      <c r="EH102" s="75"/>
      <c r="EI102" s="75"/>
      <c r="EJ102" s="75"/>
      <c r="EK102" s="75"/>
      <c r="EL102" s="75"/>
      <c r="EM102" s="75"/>
      <c r="EN102" s="81"/>
      <c r="EO102" s="74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81"/>
      <c r="FA102" s="74"/>
      <c r="FB102" s="75"/>
      <c r="FC102" s="75"/>
      <c r="FD102" s="75"/>
      <c r="FE102" s="75"/>
      <c r="FF102" s="75"/>
      <c r="FG102" s="75"/>
      <c r="FH102" s="75"/>
      <c r="FI102" s="75"/>
      <c r="FJ102" s="75"/>
      <c r="FK102" s="75"/>
      <c r="FL102" s="81"/>
      <c r="FM102" s="74"/>
      <c r="FN102" s="75"/>
      <c r="FO102" s="75"/>
      <c r="FP102" s="75"/>
      <c r="FQ102" s="75"/>
      <c r="FR102" s="75"/>
      <c r="FS102" s="75"/>
      <c r="FT102" s="75"/>
      <c r="FU102" s="75"/>
      <c r="FV102" s="75"/>
      <c r="FW102" s="75"/>
      <c r="FX102" s="81"/>
      <c r="FY102" s="74"/>
      <c r="FZ102" s="75"/>
      <c r="GA102" s="75"/>
      <c r="GB102" s="75"/>
      <c r="GC102" s="75"/>
      <c r="GD102" s="75"/>
      <c r="GE102" s="75"/>
      <c r="GF102" s="75"/>
      <c r="GG102" s="75"/>
      <c r="GH102" s="75"/>
      <c r="GI102" s="75"/>
      <c r="GJ102" s="81"/>
      <c r="GK102" s="74"/>
      <c r="GL102" s="75"/>
      <c r="GM102" s="75"/>
      <c r="GN102" s="75"/>
      <c r="GO102" s="75"/>
      <c r="GP102" s="75"/>
      <c r="GQ102" s="75"/>
      <c r="GR102" s="75"/>
      <c r="GS102" s="75"/>
      <c r="GT102" s="75"/>
      <c r="GU102" s="75"/>
      <c r="GV102" s="81"/>
      <c r="GW102" s="74"/>
      <c r="GX102" s="75"/>
      <c r="GY102" s="75"/>
      <c r="GZ102" s="75"/>
      <c r="HA102" s="75"/>
      <c r="HB102" s="75"/>
      <c r="HC102" s="75"/>
      <c r="HD102" s="75"/>
      <c r="HE102" s="75"/>
      <c r="HF102" s="75"/>
      <c r="HG102" s="75"/>
      <c r="HH102" s="81"/>
      <c r="HI102" s="75"/>
    </row>
    <row r="103" ht="15.75" customHeight="1">
      <c r="A103" s="317"/>
      <c r="B103" s="318" t="s">
        <v>49</v>
      </c>
      <c r="C103" s="319" t="s">
        <v>50</v>
      </c>
      <c r="D103" s="320"/>
      <c r="E103" s="320"/>
      <c r="F103" s="320"/>
      <c r="G103" s="318" t="s">
        <v>51</v>
      </c>
      <c r="H103" s="320"/>
      <c r="I103" s="321"/>
      <c r="J103" s="322"/>
      <c r="K103" s="88" t="s">
        <v>52</v>
      </c>
      <c r="L103" s="89"/>
      <c r="M103" s="317"/>
      <c r="N103" s="318" t="s">
        <v>49</v>
      </c>
      <c r="O103" s="319" t="s">
        <v>50</v>
      </c>
      <c r="P103" s="320"/>
      <c r="Q103" s="320"/>
      <c r="R103" s="320"/>
      <c r="S103" s="318" t="s">
        <v>51</v>
      </c>
      <c r="T103" s="320"/>
      <c r="U103" s="321"/>
      <c r="V103" s="322"/>
      <c r="W103" s="88" t="s">
        <v>52</v>
      </c>
      <c r="X103" s="89"/>
      <c r="Y103" s="317"/>
      <c r="Z103" s="318" t="s">
        <v>49</v>
      </c>
      <c r="AA103" s="319" t="s">
        <v>50</v>
      </c>
      <c r="AB103" s="320"/>
      <c r="AC103" s="320"/>
      <c r="AD103" s="320"/>
      <c r="AE103" s="318" t="s">
        <v>51</v>
      </c>
      <c r="AF103" s="320"/>
      <c r="AG103" s="321"/>
      <c r="AH103" s="322"/>
      <c r="AI103" s="88" t="s">
        <v>52</v>
      </c>
      <c r="AJ103" s="89"/>
      <c r="AK103" s="317"/>
      <c r="AL103" s="318" t="s">
        <v>49</v>
      </c>
      <c r="AM103" s="319" t="s">
        <v>50</v>
      </c>
      <c r="AN103" s="320"/>
      <c r="AO103" s="320"/>
      <c r="AP103" s="320"/>
      <c r="AQ103" s="318" t="s">
        <v>51</v>
      </c>
      <c r="AR103" s="320"/>
      <c r="AS103" s="321"/>
      <c r="AT103" s="322"/>
      <c r="AU103" s="88" t="s">
        <v>52</v>
      </c>
      <c r="AV103" s="89"/>
      <c r="AW103" s="317"/>
      <c r="AX103" s="318" t="s">
        <v>49</v>
      </c>
      <c r="AY103" s="319" t="s">
        <v>50</v>
      </c>
      <c r="AZ103" s="320"/>
      <c r="BA103" s="320"/>
      <c r="BB103" s="320"/>
      <c r="BC103" s="318" t="s">
        <v>51</v>
      </c>
      <c r="BD103" s="320"/>
      <c r="BE103" s="321"/>
      <c r="BF103" s="322"/>
      <c r="BG103" s="88" t="s">
        <v>52</v>
      </c>
      <c r="BH103" s="89"/>
      <c r="BI103" s="317"/>
      <c r="BJ103" s="318" t="s">
        <v>49</v>
      </c>
      <c r="BK103" s="319" t="s">
        <v>50</v>
      </c>
      <c r="BL103" s="320"/>
      <c r="BM103" s="320"/>
      <c r="BN103" s="320"/>
      <c r="BO103" s="318" t="s">
        <v>51</v>
      </c>
      <c r="BP103" s="320"/>
      <c r="BQ103" s="321"/>
      <c r="BR103" s="322"/>
      <c r="BS103" s="88" t="s">
        <v>52</v>
      </c>
      <c r="BT103" s="89"/>
      <c r="BU103" s="317"/>
      <c r="BV103" s="318" t="s">
        <v>49</v>
      </c>
      <c r="BW103" s="319" t="s">
        <v>50</v>
      </c>
      <c r="BX103" s="320"/>
      <c r="BY103" s="320"/>
      <c r="BZ103" s="320"/>
      <c r="CA103" s="318" t="s">
        <v>51</v>
      </c>
      <c r="CB103" s="320"/>
      <c r="CC103" s="321"/>
      <c r="CD103" s="322"/>
      <c r="CE103" s="88" t="s">
        <v>52</v>
      </c>
      <c r="CF103" s="89"/>
      <c r="CG103" s="317"/>
      <c r="CH103" s="318" t="s">
        <v>49</v>
      </c>
      <c r="CI103" s="319" t="s">
        <v>50</v>
      </c>
      <c r="CJ103" s="320"/>
      <c r="CK103" s="320"/>
      <c r="CL103" s="320"/>
      <c r="CM103" s="318" t="s">
        <v>51</v>
      </c>
      <c r="CN103" s="320"/>
      <c r="CO103" s="321"/>
      <c r="CP103" s="322"/>
      <c r="CQ103" s="88" t="s">
        <v>52</v>
      </c>
      <c r="CR103" s="89"/>
      <c r="CS103" s="317"/>
      <c r="CT103" s="318" t="s">
        <v>49</v>
      </c>
      <c r="CU103" s="319" t="s">
        <v>50</v>
      </c>
      <c r="CV103" s="320"/>
      <c r="CW103" s="320"/>
      <c r="CX103" s="320"/>
      <c r="CY103" s="318" t="s">
        <v>51</v>
      </c>
      <c r="CZ103" s="320"/>
      <c r="DA103" s="321"/>
      <c r="DB103" s="322"/>
      <c r="DC103" s="88" t="s">
        <v>52</v>
      </c>
      <c r="DD103" s="89"/>
      <c r="DE103" s="317"/>
      <c r="DF103" s="318" t="s">
        <v>49</v>
      </c>
      <c r="DG103" s="319" t="s">
        <v>50</v>
      </c>
      <c r="DH103" s="320"/>
      <c r="DI103" s="320"/>
      <c r="DJ103" s="320"/>
      <c r="DK103" s="318" t="s">
        <v>51</v>
      </c>
      <c r="DL103" s="320"/>
      <c r="DM103" s="321"/>
      <c r="DN103" s="322"/>
      <c r="DO103" s="88" t="s">
        <v>52</v>
      </c>
      <c r="DP103" s="89"/>
      <c r="DQ103" s="317"/>
      <c r="DR103" s="318" t="s">
        <v>49</v>
      </c>
      <c r="DS103" s="319" t="s">
        <v>50</v>
      </c>
      <c r="DT103" s="320"/>
      <c r="DU103" s="320"/>
      <c r="DV103" s="320"/>
      <c r="DW103" s="318" t="s">
        <v>51</v>
      </c>
      <c r="DX103" s="320"/>
      <c r="DY103" s="321"/>
      <c r="DZ103" s="322"/>
      <c r="EA103" s="88" t="s">
        <v>52</v>
      </c>
      <c r="EB103" s="89"/>
      <c r="EC103" s="317"/>
      <c r="ED103" s="318" t="s">
        <v>49</v>
      </c>
      <c r="EE103" s="319" t="s">
        <v>50</v>
      </c>
      <c r="EF103" s="320"/>
      <c r="EG103" s="320"/>
      <c r="EH103" s="320"/>
      <c r="EI103" s="318" t="s">
        <v>51</v>
      </c>
      <c r="EJ103" s="320"/>
      <c r="EK103" s="321"/>
      <c r="EL103" s="322"/>
      <c r="EM103" s="88" t="s">
        <v>52</v>
      </c>
      <c r="EN103" s="89"/>
      <c r="EO103" s="317"/>
      <c r="EP103" s="318" t="s">
        <v>49</v>
      </c>
      <c r="EQ103" s="319" t="s">
        <v>50</v>
      </c>
      <c r="ER103" s="320"/>
      <c r="ES103" s="320"/>
      <c r="ET103" s="320"/>
      <c r="EU103" s="318" t="s">
        <v>51</v>
      </c>
      <c r="EV103" s="320"/>
      <c r="EW103" s="321"/>
      <c r="EX103" s="322"/>
      <c r="EY103" s="88" t="s">
        <v>52</v>
      </c>
      <c r="EZ103" s="89"/>
      <c r="FA103" s="317"/>
      <c r="FB103" s="318" t="s">
        <v>49</v>
      </c>
      <c r="FC103" s="319" t="s">
        <v>50</v>
      </c>
      <c r="FD103" s="320"/>
      <c r="FE103" s="320"/>
      <c r="FF103" s="320"/>
      <c r="FG103" s="318" t="s">
        <v>51</v>
      </c>
      <c r="FH103" s="320"/>
      <c r="FI103" s="321"/>
      <c r="FJ103" s="322"/>
      <c r="FK103" s="88" t="s">
        <v>52</v>
      </c>
      <c r="FL103" s="89"/>
      <c r="FM103" s="317"/>
      <c r="FN103" s="318" t="s">
        <v>49</v>
      </c>
      <c r="FO103" s="319" t="s">
        <v>50</v>
      </c>
      <c r="FP103" s="320"/>
      <c r="FQ103" s="320"/>
      <c r="FR103" s="320"/>
      <c r="FS103" s="318" t="s">
        <v>51</v>
      </c>
      <c r="FT103" s="320"/>
      <c r="FU103" s="321"/>
      <c r="FV103" s="322"/>
      <c r="FW103" s="88" t="s">
        <v>52</v>
      </c>
      <c r="FX103" s="89"/>
      <c r="FY103" s="317"/>
      <c r="FZ103" s="318" t="s">
        <v>49</v>
      </c>
      <c r="GA103" s="319" t="s">
        <v>50</v>
      </c>
      <c r="GB103" s="320"/>
      <c r="GC103" s="320"/>
      <c r="GD103" s="320"/>
      <c r="GE103" s="318" t="s">
        <v>51</v>
      </c>
      <c r="GF103" s="320"/>
      <c r="GG103" s="321"/>
      <c r="GH103" s="322"/>
      <c r="GI103" s="88" t="s">
        <v>52</v>
      </c>
      <c r="GJ103" s="89"/>
      <c r="GK103" s="317"/>
      <c r="GL103" s="318" t="s">
        <v>49</v>
      </c>
      <c r="GM103" s="319" t="s">
        <v>50</v>
      </c>
      <c r="GN103" s="320"/>
      <c r="GO103" s="320"/>
      <c r="GP103" s="320"/>
      <c r="GQ103" s="318" t="s">
        <v>51</v>
      </c>
      <c r="GR103" s="320"/>
      <c r="GS103" s="321"/>
      <c r="GT103" s="322"/>
      <c r="GU103" s="88" t="s">
        <v>52</v>
      </c>
      <c r="GV103" s="89"/>
      <c r="GW103" s="317"/>
      <c r="GX103" s="318" t="s">
        <v>49</v>
      </c>
      <c r="GY103" s="319" t="s">
        <v>50</v>
      </c>
      <c r="GZ103" s="320"/>
      <c r="HA103" s="320"/>
      <c r="HB103" s="320"/>
      <c r="HC103" s="318" t="s">
        <v>51</v>
      </c>
      <c r="HD103" s="320"/>
      <c r="HE103" s="321"/>
      <c r="HF103" s="322"/>
      <c r="HG103" s="88" t="s">
        <v>52</v>
      </c>
      <c r="HH103" s="89"/>
      <c r="HI103" s="87"/>
    </row>
    <row r="104" ht="15.75" customHeight="1">
      <c r="A104" s="323"/>
      <c r="B104" s="324" t="s">
        <v>23</v>
      </c>
      <c r="C104" s="325" t="s">
        <v>53</v>
      </c>
      <c r="D104" s="325"/>
      <c r="E104" s="325"/>
      <c r="F104" s="325"/>
      <c r="G104" s="324" t="s">
        <v>54</v>
      </c>
      <c r="H104" s="325"/>
      <c r="I104" s="326"/>
      <c r="J104" s="322"/>
      <c r="K104" s="94"/>
      <c r="L104" s="89"/>
      <c r="M104" s="323"/>
      <c r="N104" s="324" t="s">
        <v>23</v>
      </c>
      <c r="O104" s="325" t="s">
        <v>53</v>
      </c>
      <c r="P104" s="325"/>
      <c r="Q104" s="325"/>
      <c r="R104" s="325"/>
      <c r="S104" s="324" t="s">
        <v>54</v>
      </c>
      <c r="T104" s="325"/>
      <c r="U104" s="326"/>
      <c r="V104" s="322"/>
      <c r="W104" s="94"/>
      <c r="X104" s="89"/>
      <c r="Y104" s="323"/>
      <c r="Z104" s="324" t="s">
        <v>23</v>
      </c>
      <c r="AA104" s="325" t="s">
        <v>53</v>
      </c>
      <c r="AB104" s="325"/>
      <c r="AC104" s="325"/>
      <c r="AD104" s="325"/>
      <c r="AE104" s="324" t="s">
        <v>54</v>
      </c>
      <c r="AF104" s="325"/>
      <c r="AG104" s="326"/>
      <c r="AH104" s="322"/>
      <c r="AI104" s="94"/>
      <c r="AJ104" s="89"/>
      <c r="AK104" s="323"/>
      <c r="AL104" s="324" t="s">
        <v>23</v>
      </c>
      <c r="AM104" s="325" t="s">
        <v>53</v>
      </c>
      <c r="AN104" s="325"/>
      <c r="AO104" s="325"/>
      <c r="AP104" s="325"/>
      <c r="AQ104" s="324" t="s">
        <v>54</v>
      </c>
      <c r="AR104" s="325"/>
      <c r="AS104" s="326"/>
      <c r="AT104" s="322"/>
      <c r="AU104" s="94"/>
      <c r="AV104" s="89"/>
      <c r="AW104" s="323"/>
      <c r="AX104" s="324" t="s">
        <v>23</v>
      </c>
      <c r="AY104" s="325" t="s">
        <v>53</v>
      </c>
      <c r="AZ104" s="325"/>
      <c r="BA104" s="325"/>
      <c r="BB104" s="325"/>
      <c r="BC104" s="324" t="s">
        <v>54</v>
      </c>
      <c r="BD104" s="325"/>
      <c r="BE104" s="326"/>
      <c r="BF104" s="322"/>
      <c r="BG104" s="94"/>
      <c r="BH104" s="89"/>
      <c r="BI104" s="323"/>
      <c r="BJ104" s="324" t="s">
        <v>23</v>
      </c>
      <c r="BK104" s="325" t="s">
        <v>53</v>
      </c>
      <c r="BL104" s="325"/>
      <c r="BM104" s="325"/>
      <c r="BN104" s="325"/>
      <c r="BO104" s="324" t="s">
        <v>54</v>
      </c>
      <c r="BP104" s="325"/>
      <c r="BQ104" s="326"/>
      <c r="BR104" s="322"/>
      <c r="BS104" s="94"/>
      <c r="BT104" s="89"/>
      <c r="BU104" s="323"/>
      <c r="BV104" s="324" t="s">
        <v>23</v>
      </c>
      <c r="BW104" s="325" t="s">
        <v>53</v>
      </c>
      <c r="BX104" s="325"/>
      <c r="BY104" s="325"/>
      <c r="BZ104" s="325"/>
      <c r="CA104" s="324" t="s">
        <v>54</v>
      </c>
      <c r="CB104" s="325"/>
      <c r="CC104" s="326"/>
      <c r="CD104" s="322"/>
      <c r="CE104" s="94"/>
      <c r="CF104" s="89"/>
      <c r="CG104" s="323"/>
      <c r="CH104" s="324" t="s">
        <v>23</v>
      </c>
      <c r="CI104" s="325" t="s">
        <v>53</v>
      </c>
      <c r="CJ104" s="325"/>
      <c r="CK104" s="325"/>
      <c r="CL104" s="325"/>
      <c r="CM104" s="324" t="s">
        <v>54</v>
      </c>
      <c r="CN104" s="325"/>
      <c r="CO104" s="326"/>
      <c r="CP104" s="322"/>
      <c r="CQ104" s="94"/>
      <c r="CR104" s="89"/>
      <c r="CS104" s="323"/>
      <c r="CT104" s="324" t="s">
        <v>23</v>
      </c>
      <c r="CU104" s="325" t="s">
        <v>53</v>
      </c>
      <c r="CV104" s="325"/>
      <c r="CW104" s="325"/>
      <c r="CX104" s="325"/>
      <c r="CY104" s="324" t="s">
        <v>54</v>
      </c>
      <c r="CZ104" s="325"/>
      <c r="DA104" s="326"/>
      <c r="DB104" s="322"/>
      <c r="DC104" s="94"/>
      <c r="DD104" s="89"/>
      <c r="DE104" s="323"/>
      <c r="DF104" s="324" t="s">
        <v>23</v>
      </c>
      <c r="DG104" s="325" t="s">
        <v>53</v>
      </c>
      <c r="DH104" s="325"/>
      <c r="DI104" s="325"/>
      <c r="DJ104" s="325"/>
      <c r="DK104" s="324" t="s">
        <v>54</v>
      </c>
      <c r="DL104" s="325"/>
      <c r="DM104" s="326"/>
      <c r="DN104" s="322"/>
      <c r="DO104" s="94"/>
      <c r="DP104" s="89"/>
      <c r="DQ104" s="323"/>
      <c r="DR104" s="324" t="s">
        <v>23</v>
      </c>
      <c r="DS104" s="325" t="s">
        <v>53</v>
      </c>
      <c r="DT104" s="325"/>
      <c r="DU104" s="325"/>
      <c r="DV104" s="325"/>
      <c r="DW104" s="324" t="s">
        <v>54</v>
      </c>
      <c r="DX104" s="325"/>
      <c r="DY104" s="326"/>
      <c r="DZ104" s="322"/>
      <c r="EA104" s="94"/>
      <c r="EB104" s="89"/>
      <c r="EC104" s="323"/>
      <c r="ED104" s="324" t="s">
        <v>23</v>
      </c>
      <c r="EE104" s="325" t="s">
        <v>53</v>
      </c>
      <c r="EF104" s="325"/>
      <c r="EG104" s="325"/>
      <c r="EH104" s="325"/>
      <c r="EI104" s="324" t="s">
        <v>54</v>
      </c>
      <c r="EJ104" s="325"/>
      <c r="EK104" s="326"/>
      <c r="EL104" s="322"/>
      <c r="EM104" s="94"/>
      <c r="EN104" s="89"/>
      <c r="EO104" s="323"/>
      <c r="EP104" s="324" t="s">
        <v>23</v>
      </c>
      <c r="EQ104" s="325" t="s">
        <v>53</v>
      </c>
      <c r="ER104" s="325"/>
      <c r="ES104" s="325"/>
      <c r="ET104" s="325"/>
      <c r="EU104" s="324" t="s">
        <v>54</v>
      </c>
      <c r="EV104" s="325"/>
      <c r="EW104" s="326"/>
      <c r="EX104" s="322"/>
      <c r="EY104" s="94"/>
      <c r="EZ104" s="89"/>
      <c r="FA104" s="323"/>
      <c r="FB104" s="324" t="s">
        <v>23</v>
      </c>
      <c r="FC104" s="325" t="s">
        <v>53</v>
      </c>
      <c r="FD104" s="325"/>
      <c r="FE104" s="325"/>
      <c r="FF104" s="325"/>
      <c r="FG104" s="324" t="s">
        <v>54</v>
      </c>
      <c r="FH104" s="325"/>
      <c r="FI104" s="326"/>
      <c r="FJ104" s="322"/>
      <c r="FK104" s="94"/>
      <c r="FL104" s="89"/>
      <c r="FM104" s="323"/>
      <c r="FN104" s="324" t="s">
        <v>23</v>
      </c>
      <c r="FO104" s="325" t="s">
        <v>53</v>
      </c>
      <c r="FP104" s="325"/>
      <c r="FQ104" s="325"/>
      <c r="FR104" s="325"/>
      <c r="FS104" s="324" t="s">
        <v>54</v>
      </c>
      <c r="FT104" s="325"/>
      <c r="FU104" s="326"/>
      <c r="FV104" s="322"/>
      <c r="FW104" s="94"/>
      <c r="FX104" s="89"/>
      <c r="FY104" s="323"/>
      <c r="FZ104" s="324" t="s">
        <v>23</v>
      </c>
      <c r="GA104" s="325" t="s">
        <v>53</v>
      </c>
      <c r="GB104" s="325"/>
      <c r="GC104" s="325"/>
      <c r="GD104" s="325"/>
      <c r="GE104" s="324" t="s">
        <v>54</v>
      </c>
      <c r="GF104" s="325"/>
      <c r="GG104" s="326"/>
      <c r="GH104" s="322"/>
      <c r="GI104" s="94"/>
      <c r="GJ104" s="89"/>
      <c r="GK104" s="323"/>
      <c r="GL104" s="324" t="s">
        <v>23</v>
      </c>
      <c r="GM104" s="325" t="s">
        <v>53</v>
      </c>
      <c r="GN104" s="325"/>
      <c r="GO104" s="325"/>
      <c r="GP104" s="325"/>
      <c r="GQ104" s="324" t="s">
        <v>54</v>
      </c>
      <c r="GR104" s="325"/>
      <c r="GS104" s="326"/>
      <c r="GT104" s="322"/>
      <c r="GU104" s="94"/>
      <c r="GV104" s="89"/>
      <c r="GW104" s="323"/>
      <c r="GX104" s="324" t="s">
        <v>23</v>
      </c>
      <c r="GY104" s="325" t="s">
        <v>53</v>
      </c>
      <c r="GZ104" s="325"/>
      <c r="HA104" s="325"/>
      <c r="HB104" s="325"/>
      <c r="HC104" s="324" t="s">
        <v>54</v>
      </c>
      <c r="HD104" s="325"/>
      <c r="HE104" s="326"/>
      <c r="HF104" s="322"/>
      <c r="HG104" s="94"/>
      <c r="HH104" s="89"/>
      <c r="HI104" s="87"/>
    </row>
    <row r="105" ht="15.0" customHeight="1">
      <c r="A105" s="323"/>
      <c r="B105" s="324" t="s">
        <v>55</v>
      </c>
      <c r="C105" s="325" t="s">
        <v>56</v>
      </c>
      <c r="D105" s="325"/>
      <c r="E105" s="325"/>
      <c r="F105" s="325"/>
      <c r="G105" s="324" t="s">
        <v>57</v>
      </c>
      <c r="H105" s="325"/>
      <c r="I105" s="326"/>
      <c r="J105" s="322"/>
      <c r="K105" s="95" t="str">
        <f>"IV/"&amp;K$6</f>
        <v>IV/2010</v>
      </c>
      <c r="L105" s="89"/>
      <c r="M105" s="323"/>
      <c r="N105" s="324" t="s">
        <v>55</v>
      </c>
      <c r="O105" s="325" t="s">
        <v>56</v>
      </c>
      <c r="P105" s="325"/>
      <c r="Q105" s="325"/>
      <c r="R105" s="325"/>
      <c r="S105" s="324" t="s">
        <v>57</v>
      </c>
      <c r="T105" s="325"/>
      <c r="U105" s="326"/>
      <c r="V105" s="322"/>
      <c r="W105" s="95" t="str">
        <f>"IV/"&amp;W$6</f>
        <v>IV/2011</v>
      </c>
      <c r="X105" s="89"/>
      <c r="Y105" s="323"/>
      <c r="Z105" s="324" t="s">
        <v>55</v>
      </c>
      <c r="AA105" s="325" t="s">
        <v>56</v>
      </c>
      <c r="AB105" s="325"/>
      <c r="AC105" s="325"/>
      <c r="AD105" s="325"/>
      <c r="AE105" s="324" t="s">
        <v>57</v>
      </c>
      <c r="AF105" s="325"/>
      <c r="AG105" s="326"/>
      <c r="AH105" s="322"/>
      <c r="AI105" s="95" t="str">
        <f>"IV/"&amp;AI$6</f>
        <v>IV/2012</v>
      </c>
      <c r="AJ105" s="89"/>
      <c r="AK105" s="323"/>
      <c r="AL105" s="324" t="s">
        <v>55</v>
      </c>
      <c r="AM105" s="325" t="s">
        <v>56</v>
      </c>
      <c r="AN105" s="325"/>
      <c r="AO105" s="325"/>
      <c r="AP105" s="325"/>
      <c r="AQ105" s="324" t="s">
        <v>57</v>
      </c>
      <c r="AR105" s="325"/>
      <c r="AS105" s="326"/>
      <c r="AT105" s="322"/>
      <c r="AU105" s="95" t="str">
        <f>"IV/"&amp;AU$6</f>
        <v>IV/2013</v>
      </c>
      <c r="AV105" s="89"/>
      <c r="AW105" s="323"/>
      <c r="AX105" s="324" t="s">
        <v>55</v>
      </c>
      <c r="AY105" s="325" t="s">
        <v>56</v>
      </c>
      <c r="AZ105" s="325"/>
      <c r="BA105" s="325"/>
      <c r="BB105" s="325"/>
      <c r="BC105" s="324" t="s">
        <v>57</v>
      </c>
      <c r="BD105" s="325"/>
      <c r="BE105" s="326"/>
      <c r="BF105" s="322"/>
      <c r="BG105" s="95" t="str">
        <f>"IV/"&amp;BG$6</f>
        <v>IV/2014</v>
      </c>
      <c r="BH105" s="89"/>
      <c r="BI105" s="323"/>
      <c r="BJ105" s="324" t="s">
        <v>55</v>
      </c>
      <c r="BK105" s="325" t="s">
        <v>56</v>
      </c>
      <c r="BL105" s="325"/>
      <c r="BM105" s="325"/>
      <c r="BN105" s="325"/>
      <c r="BO105" s="324" t="s">
        <v>57</v>
      </c>
      <c r="BP105" s="325"/>
      <c r="BQ105" s="326"/>
      <c r="BR105" s="322"/>
      <c r="BS105" s="95" t="str">
        <f>"IV/"&amp;BS$6</f>
        <v>IV/2015</v>
      </c>
      <c r="BT105" s="89"/>
      <c r="BU105" s="323"/>
      <c r="BV105" s="324" t="s">
        <v>55</v>
      </c>
      <c r="BW105" s="325" t="s">
        <v>56</v>
      </c>
      <c r="BX105" s="325"/>
      <c r="BY105" s="325"/>
      <c r="BZ105" s="325"/>
      <c r="CA105" s="324" t="s">
        <v>57</v>
      </c>
      <c r="CB105" s="325"/>
      <c r="CC105" s="326"/>
      <c r="CD105" s="322"/>
      <c r="CE105" s="95" t="str">
        <f>"IV/"&amp;CE$6</f>
        <v>IV/2016</v>
      </c>
      <c r="CF105" s="89"/>
      <c r="CG105" s="323"/>
      <c r="CH105" s="324" t="s">
        <v>55</v>
      </c>
      <c r="CI105" s="325" t="s">
        <v>56</v>
      </c>
      <c r="CJ105" s="325"/>
      <c r="CK105" s="325"/>
      <c r="CL105" s="325"/>
      <c r="CM105" s="324" t="s">
        <v>57</v>
      </c>
      <c r="CN105" s="325"/>
      <c r="CO105" s="326"/>
      <c r="CP105" s="322"/>
      <c r="CQ105" s="95" t="str">
        <f>"IV/"&amp;CQ$6</f>
        <v>IV/2017</v>
      </c>
      <c r="CR105" s="89"/>
      <c r="CS105" s="323"/>
      <c r="CT105" s="324" t="s">
        <v>55</v>
      </c>
      <c r="CU105" s="325" t="s">
        <v>56</v>
      </c>
      <c r="CV105" s="325"/>
      <c r="CW105" s="325"/>
      <c r="CX105" s="325"/>
      <c r="CY105" s="324" t="s">
        <v>57</v>
      </c>
      <c r="CZ105" s="325"/>
      <c r="DA105" s="326"/>
      <c r="DB105" s="322"/>
      <c r="DC105" s="95" t="str">
        <f>"IV/"&amp;DC$6</f>
        <v>IV/2018</v>
      </c>
      <c r="DD105" s="89"/>
      <c r="DE105" s="323"/>
      <c r="DF105" s="324" t="s">
        <v>55</v>
      </c>
      <c r="DG105" s="325" t="s">
        <v>56</v>
      </c>
      <c r="DH105" s="325"/>
      <c r="DI105" s="325"/>
      <c r="DJ105" s="325"/>
      <c r="DK105" s="324" t="s">
        <v>57</v>
      </c>
      <c r="DL105" s="325"/>
      <c r="DM105" s="326"/>
      <c r="DN105" s="322"/>
      <c r="DO105" s="95" t="str">
        <f>"IV/"&amp;DO$6</f>
        <v>IV/2019</v>
      </c>
      <c r="DP105" s="89"/>
      <c r="DQ105" s="323"/>
      <c r="DR105" s="324" t="s">
        <v>55</v>
      </c>
      <c r="DS105" s="325" t="s">
        <v>56</v>
      </c>
      <c r="DT105" s="325"/>
      <c r="DU105" s="325"/>
      <c r="DV105" s="325"/>
      <c r="DW105" s="324" t="s">
        <v>57</v>
      </c>
      <c r="DX105" s="325"/>
      <c r="DY105" s="326"/>
      <c r="DZ105" s="322"/>
      <c r="EA105" s="95" t="str">
        <f>"IV/"&amp;EA$6</f>
        <v>IV/2020</v>
      </c>
      <c r="EB105" s="89"/>
      <c r="EC105" s="323"/>
      <c r="ED105" s="324" t="s">
        <v>55</v>
      </c>
      <c r="EE105" s="325" t="s">
        <v>56</v>
      </c>
      <c r="EF105" s="325"/>
      <c r="EG105" s="325"/>
      <c r="EH105" s="325"/>
      <c r="EI105" s="324" t="s">
        <v>57</v>
      </c>
      <c r="EJ105" s="325"/>
      <c r="EK105" s="326"/>
      <c r="EL105" s="322"/>
      <c r="EM105" s="95" t="str">
        <f>"IV/"&amp;EM$6</f>
        <v>IV/2021</v>
      </c>
      <c r="EN105" s="89"/>
      <c r="EO105" s="323"/>
      <c r="EP105" s="324" t="s">
        <v>55</v>
      </c>
      <c r="EQ105" s="325" t="s">
        <v>56</v>
      </c>
      <c r="ER105" s="325"/>
      <c r="ES105" s="325"/>
      <c r="ET105" s="325"/>
      <c r="EU105" s="324" t="s">
        <v>57</v>
      </c>
      <c r="EV105" s="325"/>
      <c r="EW105" s="326"/>
      <c r="EX105" s="322"/>
      <c r="EY105" s="95" t="str">
        <f>"IV/"&amp;EY$6</f>
        <v>IV/2022</v>
      </c>
      <c r="EZ105" s="89"/>
      <c r="FA105" s="323"/>
      <c r="FB105" s="324" t="s">
        <v>55</v>
      </c>
      <c r="FC105" s="325" t="s">
        <v>56</v>
      </c>
      <c r="FD105" s="325"/>
      <c r="FE105" s="325"/>
      <c r="FF105" s="325"/>
      <c r="FG105" s="324" t="s">
        <v>57</v>
      </c>
      <c r="FH105" s="325"/>
      <c r="FI105" s="326"/>
      <c r="FJ105" s="322"/>
      <c r="FK105" s="95" t="str">
        <f>"IV/"&amp;FK$6</f>
        <v>IV/2023</v>
      </c>
      <c r="FL105" s="89"/>
      <c r="FM105" s="323"/>
      <c r="FN105" s="324" t="s">
        <v>55</v>
      </c>
      <c r="FO105" s="325" t="s">
        <v>56</v>
      </c>
      <c r="FP105" s="325"/>
      <c r="FQ105" s="325"/>
      <c r="FR105" s="325"/>
      <c r="FS105" s="324" t="s">
        <v>57</v>
      </c>
      <c r="FT105" s="325"/>
      <c r="FU105" s="326"/>
      <c r="FV105" s="322"/>
      <c r="FW105" s="95" t="str">
        <f>"IV/"&amp;FW$6</f>
        <v>IV/2024</v>
      </c>
      <c r="FX105" s="89"/>
      <c r="FY105" s="323"/>
      <c r="FZ105" s="324" t="s">
        <v>55</v>
      </c>
      <c r="GA105" s="325" t="s">
        <v>56</v>
      </c>
      <c r="GB105" s="325"/>
      <c r="GC105" s="325"/>
      <c r="GD105" s="325"/>
      <c r="GE105" s="324" t="s">
        <v>57</v>
      </c>
      <c r="GF105" s="325"/>
      <c r="GG105" s="326"/>
      <c r="GH105" s="322"/>
      <c r="GI105" s="95" t="str">
        <f>"IV/"&amp;GI$6</f>
        <v>IV/2025</v>
      </c>
      <c r="GJ105" s="89"/>
      <c r="GK105" s="323"/>
      <c r="GL105" s="324" t="s">
        <v>55</v>
      </c>
      <c r="GM105" s="325" t="s">
        <v>56</v>
      </c>
      <c r="GN105" s="325"/>
      <c r="GO105" s="325"/>
      <c r="GP105" s="325"/>
      <c r="GQ105" s="324" t="s">
        <v>57</v>
      </c>
      <c r="GR105" s="325"/>
      <c r="GS105" s="326"/>
      <c r="GT105" s="322"/>
      <c r="GU105" s="95" t="str">
        <f>"IV/"&amp;GU$6</f>
        <v>IV/2026</v>
      </c>
      <c r="GV105" s="89"/>
      <c r="GW105" s="323"/>
      <c r="GX105" s="324" t="s">
        <v>55</v>
      </c>
      <c r="GY105" s="325" t="s">
        <v>56</v>
      </c>
      <c r="GZ105" s="325"/>
      <c r="HA105" s="325"/>
      <c r="HB105" s="325"/>
      <c r="HC105" s="324" t="s">
        <v>57</v>
      </c>
      <c r="HD105" s="325"/>
      <c r="HE105" s="326"/>
      <c r="HF105" s="322"/>
      <c r="HG105" s="95" t="str">
        <f>"IV/"&amp;HG$6</f>
        <v>IV/2027</v>
      </c>
      <c r="HH105" s="89"/>
      <c r="HI105" s="87"/>
    </row>
    <row r="106" ht="15.0" customHeight="1">
      <c r="A106" s="323"/>
      <c r="B106" s="324" t="s">
        <v>58</v>
      </c>
      <c r="C106" s="325" t="s">
        <v>59</v>
      </c>
      <c r="D106" s="325"/>
      <c r="E106" s="325"/>
      <c r="F106" s="325"/>
      <c r="G106" s="327" t="s">
        <v>82</v>
      </c>
      <c r="H106" s="325"/>
      <c r="I106" s="326"/>
      <c r="J106" s="322"/>
      <c r="K106" s="94"/>
      <c r="L106" s="89"/>
      <c r="M106" s="323"/>
      <c r="N106" s="324" t="s">
        <v>58</v>
      </c>
      <c r="O106" s="325" t="s">
        <v>59</v>
      </c>
      <c r="P106" s="325"/>
      <c r="Q106" s="325"/>
      <c r="R106" s="325"/>
      <c r="S106" s="327" t="s">
        <v>82</v>
      </c>
      <c r="T106" s="325"/>
      <c r="U106" s="326"/>
      <c r="V106" s="322"/>
      <c r="W106" s="94"/>
      <c r="X106" s="89"/>
      <c r="Y106" s="323"/>
      <c r="Z106" s="324" t="s">
        <v>58</v>
      </c>
      <c r="AA106" s="325" t="s">
        <v>59</v>
      </c>
      <c r="AB106" s="325"/>
      <c r="AC106" s="325"/>
      <c r="AD106" s="325"/>
      <c r="AE106" s="327" t="s">
        <v>82</v>
      </c>
      <c r="AF106" s="325"/>
      <c r="AG106" s="326"/>
      <c r="AH106" s="322"/>
      <c r="AI106" s="94"/>
      <c r="AJ106" s="89"/>
      <c r="AK106" s="323"/>
      <c r="AL106" s="324" t="s">
        <v>58</v>
      </c>
      <c r="AM106" s="325" t="s">
        <v>59</v>
      </c>
      <c r="AN106" s="325"/>
      <c r="AO106" s="325"/>
      <c r="AP106" s="325"/>
      <c r="AQ106" s="327" t="s">
        <v>82</v>
      </c>
      <c r="AR106" s="325"/>
      <c r="AS106" s="326"/>
      <c r="AT106" s="322"/>
      <c r="AU106" s="94"/>
      <c r="AV106" s="89"/>
      <c r="AW106" s="323"/>
      <c r="AX106" s="324" t="s">
        <v>58</v>
      </c>
      <c r="AY106" s="325" t="s">
        <v>59</v>
      </c>
      <c r="AZ106" s="325"/>
      <c r="BA106" s="325"/>
      <c r="BB106" s="325"/>
      <c r="BC106" s="327" t="s">
        <v>82</v>
      </c>
      <c r="BD106" s="325"/>
      <c r="BE106" s="326"/>
      <c r="BF106" s="322"/>
      <c r="BG106" s="94"/>
      <c r="BH106" s="89"/>
      <c r="BI106" s="323"/>
      <c r="BJ106" s="324" t="s">
        <v>58</v>
      </c>
      <c r="BK106" s="325" t="s">
        <v>59</v>
      </c>
      <c r="BL106" s="325"/>
      <c r="BM106" s="325"/>
      <c r="BN106" s="325"/>
      <c r="BO106" s="327" t="s">
        <v>82</v>
      </c>
      <c r="BP106" s="325"/>
      <c r="BQ106" s="326"/>
      <c r="BR106" s="322"/>
      <c r="BS106" s="94"/>
      <c r="BT106" s="89"/>
      <c r="BU106" s="323"/>
      <c r="BV106" s="324" t="s">
        <v>58</v>
      </c>
      <c r="BW106" s="325" t="s">
        <v>59</v>
      </c>
      <c r="BX106" s="325"/>
      <c r="BY106" s="325"/>
      <c r="BZ106" s="325"/>
      <c r="CA106" s="327" t="s">
        <v>82</v>
      </c>
      <c r="CB106" s="325"/>
      <c r="CC106" s="326"/>
      <c r="CD106" s="322"/>
      <c r="CE106" s="94"/>
      <c r="CF106" s="89"/>
      <c r="CG106" s="323"/>
      <c r="CH106" s="324" t="s">
        <v>58</v>
      </c>
      <c r="CI106" s="325" t="s">
        <v>59</v>
      </c>
      <c r="CJ106" s="325"/>
      <c r="CK106" s="325"/>
      <c r="CL106" s="325"/>
      <c r="CM106" s="327" t="s">
        <v>82</v>
      </c>
      <c r="CN106" s="325"/>
      <c r="CO106" s="326"/>
      <c r="CP106" s="322"/>
      <c r="CQ106" s="94"/>
      <c r="CR106" s="89"/>
      <c r="CS106" s="323"/>
      <c r="CT106" s="324" t="s">
        <v>58</v>
      </c>
      <c r="CU106" s="325" t="s">
        <v>59</v>
      </c>
      <c r="CV106" s="325"/>
      <c r="CW106" s="325"/>
      <c r="CX106" s="325"/>
      <c r="CY106" s="327" t="s">
        <v>82</v>
      </c>
      <c r="CZ106" s="325"/>
      <c r="DA106" s="326"/>
      <c r="DB106" s="322"/>
      <c r="DC106" s="94"/>
      <c r="DD106" s="89"/>
      <c r="DE106" s="323"/>
      <c r="DF106" s="324" t="s">
        <v>58</v>
      </c>
      <c r="DG106" s="325" t="s">
        <v>59</v>
      </c>
      <c r="DH106" s="325"/>
      <c r="DI106" s="325"/>
      <c r="DJ106" s="325"/>
      <c r="DK106" s="327" t="s">
        <v>82</v>
      </c>
      <c r="DL106" s="325"/>
      <c r="DM106" s="326"/>
      <c r="DN106" s="322"/>
      <c r="DO106" s="94"/>
      <c r="DP106" s="89"/>
      <c r="DQ106" s="323"/>
      <c r="DR106" s="324" t="s">
        <v>58</v>
      </c>
      <c r="DS106" s="325" t="s">
        <v>59</v>
      </c>
      <c r="DT106" s="325"/>
      <c r="DU106" s="325"/>
      <c r="DV106" s="325"/>
      <c r="DW106" s="327" t="s">
        <v>82</v>
      </c>
      <c r="DX106" s="325"/>
      <c r="DY106" s="326"/>
      <c r="DZ106" s="322"/>
      <c r="EA106" s="94"/>
      <c r="EB106" s="89"/>
      <c r="EC106" s="323"/>
      <c r="ED106" s="324" t="s">
        <v>58</v>
      </c>
      <c r="EE106" s="325" t="s">
        <v>59</v>
      </c>
      <c r="EF106" s="325"/>
      <c r="EG106" s="325"/>
      <c r="EH106" s="325"/>
      <c r="EI106" s="327" t="s">
        <v>82</v>
      </c>
      <c r="EJ106" s="325"/>
      <c r="EK106" s="326"/>
      <c r="EL106" s="322"/>
      <c r="EM106" s="94"/>
      <c r="EN106" s="89"/>
      <c r="EO106" s="323"/>
      <c r="EP106" s="324" t="s">
        <v>58</v>
      </c>
      <c r="EQ106" s="325" t="s">
        <v>59</v>
      </c>
      <c r="ER106" s="325"/>
      <c r="ES106" s="325"/>
      <c r="ET106" s="325"/>
      <c r="EU106" s="327" t="s">
        <v>82</v>
      </c>
      <c r="EV106" s="325"/>
      <c r="EW106" s="326"/>
      <c r="EX106" s="322"/>
      <c r="EY106" s="94"/>
      <c r="EZ106" s="89"/>
      <c r="FA106" s="323"/>
      <c r="FB106" s="324" t="s">
        <v>58</v>
      </c>
      <c r="FC106" s="325" t="s">
        <v>59</v>
      </c>
      <c r="FD106" s="325"/>
      <c r="FE106" s="325"/>
      <c r="FF106" s="325"/>
      <c r="FG106" s="327" t="s">
        <v>82</v>
      </c>
      <c r="FH106" s="325"/>
      <c r="FI106" s="326"/>
      <c r="FJ106" s="322"/>
      <c r="FK106" s="94"/>
      <c r="FL106" s="89"/>
      <c r="FM106" s="323"/>
      <c r="FN106" s="324" t="s">
        <v>58</v>
      </c>
      <c r="FO106" s="325" t="s">
        <v>59</v>
      </c>
      <c r="FP106" s="325"/>
      <c r="FQ106" s="325"/>
      <c r="FR106" s="325"/>
      <c r="FS106" s="327" t="s">
        <v>82</v>
      </c>
      <c r="FT106" s="325"/>
      <c r="FU106" s="326"/>
      <c r="FV106" s="322"/>
      <c r="FW106" s="94"/>
      <c r="FX106" s="89"/>
      <c r="FY106" s="323"/>
      <c r="FZ106" s="324" t="s">
        <v>58</v>
      </c>
      <c r="GA106" s="325" t="s">
        <v>59</v>
      </c>
      <c r="GB106" s="325"/>
      <c r="GC106" s="325"/>
      <c r="GD106" s="325"/>
      <c r="GE106" s="327" t="s">
        <v>82</v>
      </c>
      <c r="GF106" s="325"/>
      <c r="GG106" s="326"/>
      <c r="GH106" s="322"/>
      <c r="GI106" s="94"/>
      <c r="GJ106" s="89"/>
      <c r="GK106" s="323"/>
      <c r="GL106" s="324" t="s">
        <v>58</v>
      </c>
      <c r="GM106" s="325" t="s">
        <v>59</v>
      </c>
      <c r="GN106" s="325"/>
      <c r="GO106" s="325"/>
      <c r="GP106" s="325"/>
      <c r="GQ106" s="327" t="s">
        <v>82</v>
      </c>
      <c r="GR106" s="325"/>
      <c r="GS106" s="326"/>
      <c r="GT106" s="322"/>
      <c r="GU106" s="94"/>
      <c r="GV106" s="89"/>
      <c r="GW106" s="323"/>
      <c r="GX106" s="324" t="s">
        <v>58</v>
      </c>
      <c r="GY106" s="325" t="s">
        <v>59</v>
      </c>
      <c r="GZ106" s="325"/>
      <c r="HA106" s="325"/>
      <c r="HB106" s="325"/>
      <c r="HC106" s="327" t="s">
        <v>82</v>
      </c>
      <c r="HD106" s="325"/>
      <c r="HE106" s="326"/>
      <c r="HF106" s="322"/>
      <c r="HG106" s="94"/>
      <c r="HH106" s="89"/>
      <c r="HI106" s="87"/>
    </row>
    <row r="107" ht="15.75" customHeight="1">
      <c r="A107" s="328"/>
      <c r="B107" s="329" t="s">
        <v>60</v>
      </c>
      <c r="C107" s="330" t="s">
        <v>61</v>
      </c>
      <c r="D107" s="330"/>
      <c r="E107" s="330"/>
      <c r="F107" s="330"/>
      <c r="G107" s="330" t="str">
        <f>"Tahun "&amp;K$6</f>
        <v>Tahun 2010</v>
      </c>
      <c r="H107" s="330"/>
      <c r="I107" s="331"/>
      <c r="J107" s="322"/>
      <c r="K107" s="87"/>
      <c r="L107" s="89"/>
      <c r="M107" s="328"/>
      <c r="N107" s="329" t="s">
        <v>60</v>
      </c>
      <c r="O107" s="330" t="s">
        <v>61</v>
      </c>
      <c r="P107" s="330"/>
      <c r="Q107" s="330"/>
      <c r="R107" s="330"/>
      <c r="S107" s="330" t="str">
        <f>"Tahun "&amp;W$6</f>
        <v>Tahun 2011</v>
      </c>
      <c r="T107" s="330"/>
      <c r="U107" s="331"/>
      <c r="V107" s="322"/>
      <c r="W107" s="87"/>
      <c r="X107" s="89"/>
      <c r="Y107" s="328"/>
      <c r="Z107" s="329" t="s">
        <v>60</v>
      </c>
      <c r="AA107" s="330" t="s">
        <v>61</v>
      </c>
      <c r="AB107" s="330"/>
      <c r="AC107" s="330"/>
      <c r="AD107" s="330"/>
      <c r="AE107" s="330" t="str">
        <f>"Tahun "&amp;AI$6</f>
        <v>Tahun 2012</v>
      </c>
      <c r="AF107" s="330"/>
      <c r="AG107" s="331"/>
      <c r="AH107" s="322"/>
      <c r="AI107" s="87"/>
      <c r="AJ107" s="89"/>
      <c r="AK107" s="328"/>
      <c r="AL107" s="329" t="s">
        <v>60</v>
      </c>
      <c r="AM107" s="330" t="s">
        <v>61</v>
      </c>
      <c r="AN107" s="330"/>
      <c r="AO107" s="330"/>
      <c r="AP107" s="330"/>
      <c r="AQ107" s="330" t="str">
        <f>"Tahun "&amp;AU$6</f>
        <v>Tahun 2013</v>
      </c>
      <c r="AR107" s="330"/>
      <c r="AS107" s="331"/>
      <c r="AT107" s="322"/>
      <c r="AU107" s="87"/>
      <c r="AV107" s="89"/>
      <c r="AW107" s="328"/>
      <c r="AX107" s="329" t="s">
        <v>60</v>
      </c>
      <c r="AY107" s="330" t="s">
        <v>61</v>
      </c>
      <c r="AZ107" s="330"/>
      <c r="BA107" s="330"/>
      <c r="BB107" s="330"/>
      <c r="BC107" s="330" t="str">
        <f>"Tahun "&amp;BG$6</f>
        <v>Tahun 2014</v>
      </c>
      <c r="BD107" s="330"/>
      <c r="BE107" s="331"/>
      <c r="BF107" s="322"/>
      <c r="BG107" s="87"/>
      <c r="BH107" s="89"/>
      <c r="BI107" s="328"/>
      <c r="BJ107" s="329" t="s">
        <v>60</v>
      </c>
      <c r="BK107" s="330" t="s">
        <v>61</v>
      </c>
      <c r="BL107" s="330"/>
      <c r="BM107" s="330"/>
      <c r="BN107" s="330"/>
      <c r="BO107" s="330" t="str">
        <f>"Tahun "&amp;BS$6</f>
        <v>Tahun 2015</v>
      </c>
      <c r="BP107" s="330"/>
      <c r="BQ107" s="331"/>
      <c r="BR107" s="322"/>
      <c r="BS107" s="87"/>
      <c r="BT107" s="89"/>
      <c r="BU107" s="328"/>
      <c r="BV107" s="329" t="s">
        <v>60</v>
      </c>
      <c r="BW107" s="330" t="s">
        <v>61</v>
      </c>
      <c r="BX107" s="330"/>
      <c r="BY107" s="330"/>
      <c r="BZ107" s="330"/>
      <c r="CA107" s="330" t="str">
        <f>"Tahun "&amp;CE$6</f>
        <v>Tahun 2016</v>
      </c>
      <c r="CB107" s="330"/>
      <c r="CC107" s="331"/>
      <c r="CD107" s="322"/>
      <c r="CE107" s="87"/>
      <c r="CF107" s="89"/>
      <c r="CG107" s="328"/>
      <c r="CH107" s="329" t="s">
        <v>60</v>
      </c>
      <c r="CI107" s="330" t="s">
        <v>61</v>
      </c>
      <c r="CJ107" s="330"/>
      <c r="CK107" s="330"/>
      <c r="CL107" s="330"/>
      <c r="CM107" s="330" t="str">
        <f>"Tahun "&amp;CQ$6</f>
        <v>Tahun 2017</v>
      </c>
      <c r="CN107" s="330"/>
      <c r="CO107" s="331"/>
      <c r="CP107" s="322"/>
      <c r="CQ107" s="87"/>
      <c r="CR107" s="89"/>
      <c r="CS107" s="328"/>
      <c r="CT107" s="329" t="s">
        <v>60</v>
      </c>
      <c r="CU107" s="330" t="s">
        <v>61</v>
      </c>
      <c r="CV107" s="330"/>
      <c r="CW107" s="330"/>
      <c r="CX107" s="330"/>
      <c r="CY107" s="330" t="str">
        <f>"Tahun "&amp;DC$6</f>
        <v>Tahun 2018</v>
      </c>
      <c r="CZ107" s="330"/>
      <c r="DA107" s="331"/>
      <c r="DB107" s="322"/>
      <c r="DC107" s="87"/>
      <c r="DD107" s="89"/>
      <c r="DE107" s="328"/>
      <c r="DF107" s="329" t="s">
        <v>60</v>
      </c>
      <c r="DG107" s="330" t="s">
        <v>61</v>
      </c>
      <c r="DH107" s="330"/>
      <c r="DI107" s="330"/>
      <c r="DJ107" s="330"/>
      <c r="DK107" s="330" t="str">
        <f>"Tahun "&amp;DO$6</f>
        <v>Tahun 2019</v>
      </c>
      <c r="DL107" s="330"/>
      <c r="DM107" s="331"/>
      <c r="DN107" s="322"/>
      <c r="DO107" s="87"/>
      <c r="DP107" s="89"/>
      <c r="DQ107" s="328"/>
      <c r="DR107" s="329" t="s">
        <v>60</v>
      </c>
      <c r="DS107" s="330" t="s">
        <v>61</v>
      </c>
      <c r="DT107" s="330"/>
      <c r="DU107" s="330"/>
      <c r="DV107" s="330"/>
      <c r="DW107" s="330" t="str">
        <f>"Tahun "&amp;EA$6</f>
        <v>Tahun 2020</v>
      </c>
      <c r="DX107" s="330"/>
      <c r="DY107" s="331"/>
      <c r="DZ107" s="322"/>
      <c r="EA107" s="87"/>
      <c r="EB107" s="89"/>
      <c r="EC107" s="328"/>
      <c r="ED107" s="329" t="s">
        <v>60</v>
      </c>
      <c r="EE107" s="330" t="s">
        <v>61</v>
      </c>
      <c r="EF107" s="330"/>
      <c r="EG107" s="330"/>
      <c r="EH107" s="330"/>
      <c r="EI107" s="330" t="str">
        <f>"Tahun "&amp;EM$6</f>
        <v>Tahun 2021</v>
      </c>
      <c r="EJ107" s="330"/>
      <c r="EK107" s="331"/>
      <c r="EL107" s="322"/>
      <c r="EM107" s="87"/>
      <c r="EN107" s="89"/>
      <c r="EO107" s="328"/>
      <c r="EP107" s="329" t="s">
        <v>60</v>
      </c>
      <c r="EQ107" s="330" t="s">
        <v>61</v>
      </c>
      <c r="ER107" s="330"/>
      <c r="ES107" s="330"/>
      <c r="ET107" s="330"/>
      <c r="EU107" s="330" t="str">
        <f>"Tahun "&amp;EY$6</f>
        <v>Tahun 2022</v>
      </c>
      <c r="EV107" s="330"/>
      <c r="EW107" s="331"/>
      <c r="EX107" s="322"/>
      <c r="EY107" s="87"/>
      <c r="EZ107" s="89"/>
      <c r="FA107" s="328"/>
      <c r="FB107" s="329" t="s">
        <v>60</v>
      </c>
      <c r="FC107" s="330" t="s">
        <v>61</v>
      </c>
      <c r="FD107" s="330"/>
      <c r="FE107" s="330"/>
      <c r="FF107" s="330"/>
      <c r="FG107" s="330" t="str">
        <f>"Tahun "&amp;FK$6</f>
        <v>Tahun 2023</v>
      </c>
      <c r="FH107" s="330"/>
      <c r="FI107" s="331"/>
      <c r="FJ107" s="322"/>
      <c r="FK107" s="87"/>
      <c r="FL107" s="89"/>
      <c r="FM107" s="328"/>
      <c r="FN107" s="329" t="s">
        <v>60</v>
      </c>
      <c r="FO107" s="330" t="s">
        <v>61</v>
      </c>
      <c r="FP107" s="330"/>
      <c r="FQ107" s="330"/>
      <c r="FR107" s="330"/>
      <c r="FS107" s="330" t="str">
        <f>"Tahun "&amp;FW$6</f>
        <v>Tahun 2024</v>
      </c>
      <c r="FT107" s="330"/>
      <c r="FU107" s="331"/>
      <c r="FV107" s="322"/>
      <c r="FW107" s="87"/>
      <c r="FX107" s="89"/>
      <c r="FY107" s="328"/>
      <c r="FZ107" s="329" t="s">
        <v>60</v>
      </c>
      <c r="GA107" s="330" t="s">
        <v>61</v>
      </c>
      <c r="GB107" s="330"/>
      <c r="GC107" s="330"/>
      <c r="GD107" s="330"/>
      <c r="GE107" s="330" t="str">
        <f>"Tahun "&amp;GI$6</f>
        <v>Tahun 2025</v>
      </c>
      <c r="GF107" s="330"/>
      <c r="GG107" s="331"/>
      <c r="GH107" s="322"/>
      <c r="GI107" s="87"/>
      <c r="GJ107" s="89"/>
      <c r="GK107" s="328"/>
      <c r="GL107" s="329" t="s">
        <v>60</v>
      </c>
      <c r="GM107" s="330" t="s">
        <v>61</v>
      </c>
      <c r="GN107" s="330"/>
      <c r="GO107" s="330"/>
      <c r="GP107" s="330"/>
      <c r="GQ107" s="330" t="str">
        <f>"Tahun "&amp;GU$6</f>
        <v>Tahun 2026</v>
      </c>
      <c r="GR107" s="330"/>
      <c r="GS107" s="331"/>
      <c r="GT107" s="322"/>
      <c r="GU107" s="87"/>
      <c r="GV107" s="89"/>
      <c r="GW107" s="328"/>
      <c r="GX107" s="329" t="s">
        <v>60</v>
      </c>
      <c r="GY107" s="330" t="s">
        <v>61</v>
      </c>
      <c r="GZ107" s="330"/>
      <c r="HA107" s="330"/>
      <c r="HB107" s="330"/>
      <c r="HC107" s="330" t="str">
        <f>"Tahun "&amp;HG$6</f>
        <v>Tahun 2027</v>
      </c>
      <c r="HD107" s="330"/>
      <c r="HE107" s="331"/>
      <c r="HF107" s="322"/>
      <c r="HG107" s="87"/>
      <c r="HH107" s="89"/>
      <c r="HI107" s="87"/>
    </row>
    <row r="108" ht="15.75" customHeight="1">
      <c r="A108" s="332"/>
      <c r="B108" s="333"/>
      <c r="C108" s="333"/>
      <c r="D108" s="333"/>
      <c r="E108" s="333"/>
      <c r="F108" s="333"/>
      <c r="G108" s="333"/>
      <c r="H108" s="333"/>
      <c r="I108" s="333"/>
      <c r="J108" s="333"/>
      <c r="K108" s="75"/>
      <c r="L108" s="81"/>
      <c r="M108" s="332"/>
      <c r="N108" s="333"/>
      <c r="O108" s="333"/>
      <c r="P108" s="333"/>
      <c r="Q108" s="333"/>
      <c r="R108" s="333"/>
      <c r="S108" s="333"/>
      <c r="T108" s="333"/>
      <c r="U108" s="333"/>
      <c r="V108" s="333"/>
      <c r="W108" s="75"/>
      <c r="X108" s="81"/>
      <c r="Y108" s="332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75"/>
      <c r="AJ108" s="81"/>
      <c r="AK108" s="332"/>
      <c r="AL108" s="333"/>
      <c r="AM108" s="333"/>
      <c r="AN108" s="333"/>
      <c r="AO108" s="333"/>
      <c r="AP108" s="333"/>
      <c r="AQ108" s="333"/>
      <c r="AR108" s="333"/>
      <c r="AS108" s="333"/>
      <c r="AT108" s="333"/>
      <c r="AU108" s="75"/>
      <c r="AV108" s="81"/>
      <c r="AW108" s="332"/>
      <c r="AX108" s="333"/>
      <c r="AY108" s="333"/>
      <c r="AZ108" s="333"/>
      <c r="BA108" s="333"/>
      <c r="BB108" s="333"/>
      <c r="BC108" s="333"/>
      <c r="BD108" s="333"/>
      <c r="BE108" s="333"/>
      <c r="BF108" s="333"/>
      <c r="BG108" s="75"/>
      <c r="BH108" s="81"/>
      <c r="BI108" s="332"/>
      <c r="BJ108" s="333"/>
      <c r="BK108" s="333"/>
      <c r="BL108" s="333"/>
      <c r="BM108" s="333"/>
      <c r="BN108" s="333"/>
      <c r="BO108" s="333"/>
      <c r="BP108" s="333"/>
      <c r="BQ108" s="333"/>
      <c r="BR108" s="333"/>
      <c r="BS108" s="75"/>
      <c r="BT108" s="81"/>
      <c r="BU108" s="332"/>
      <c r="BV108" s="333"/>
      <c r="BW108" s="333"/>
      <c r="BX108" s="333"/>
      <c r="BY108" s="333"/>
      <c r="BZ108" s="333"/>
      <c r="CA108" s="333"/>
      <c r="CB108" s="333"/>
      <c r="CC108" s="333"/>
      <c r="CD108" s="333"/>
      <c r="CE108" s="75"/>
      <c r="CF108" s="81"/>
      <c r="CG108" s="332"/>
      <c r="CH108" s="333"/>
      <c r="CI108" s="333"/>
      <c r="CJ108" s="333"/>
      <c r="CK108" s="333"/>
      <c r="CL108" s="333"/>
      <c r="CM108" s="333"/>
      <c r="CN108" s="333"/>
      <c r="CO108" s="333"/>
      <c r="CP108" s="333"/>
      <c r="CQ108" s="75"/>
      <c r="CR108" s="81"/>
      <c r="CS108" s="332"/>
      <c r="CT108" s="333"/>
      <c r="CU108" s="333"/>
      <c r="CV108" s="333"/>
      <c r="CW108" s="333"/>
      <c r="CX108" s="333"/>
      <c r="CY108" s="333"/>
      <c r="CZ108" s="333"/>
      <c r="DA108" s="333"/>
      <c r="DB108" s="333"/>
      <c r="DC108" s="75"/>
      <c r="DD108" s="81"/>
      <c r="DE108" s="332"/>
      <c r="DF108" s="333"/>
      <c r="DG108" s="333"/>
      <c r="DH108" s="333"/>
      <c r="DI108" s="333"/>
      <c r="DJ108" s="333"/>
      <c r="DK108" s="333"/>
      <c r="DL108" s="333"/>
      <c r="DM108" s="333"/>
      <c r="DN108" s="333"/>
      <c r="DO108" s="75"/>
      <c r="DP108" s="81"/>
      <c r="DQ108" s="332"/>
      <c r="DR108" s="333"/>
      <c r="DS108" s="333"/>
      <c r="DT108" s="333"/>
      <c r="DU108" s="333"/>
      <c r="DV108" s="333"/>
      <c r="DW108" s="333"/>
      <c r="DX108" s="333"/>
      <c r="DY108" s="333"/>
      <c r="DZ108" s="333"/>
      <c r="EA108" s="75"/>
      <c r="EB108" s="81"/>
      <c r="EC108" s="332"/>
      <c r="ED108" s="333"/>
      <c r="EE108" s="333"/>
      <c r="EF108" s="333"/>
      <c r="EG108" s="333"/>
      <c r="EH108" s="333"/>
      <c r="EI108" s="333"/>
      <c r="EJ108" s="333"/>
      <c r="EK108" s="333"/>
      <c r="EL108" s="333"/>
      <c r="EM108" s="75"/>
      <c r="EN108" s="81"/>
      <c r="EO108" s="332"/>
      <c r="EP108" s="333"/>
      <c r="EQ108" s="333"/>
      <c r="ER108" s="333"/>
      <c r="ES108" s="333"/>
      <c r="ET108" s="333"/>
      <c r="EU108" s="333"/>
      <c r="EV108" s="333"/>
      <c r="EW108" s="333"/>
      <c r="EX108" s="333"/>
      <c r="EY108" s="75"/>
      <c r="EZ108" s="81"/>
      <c r="FA108" s="332"/>
      <c r="FB108" s="333"/>
      <c r="FC108" s="333"/>
      <c r="FD108" s="333"/>
      <c r="FE108" s="333"/>
      <c r="FF108" s="333"/>
      <c r="FG108" s="333"/>
      <c r="FH108" s="333"/>
      <c r="FI108" s="333"/>
      <c r="FJ108" s="333"/>
      <c r="FK108" s="75"/>
      <c r="FL108" s="81"/>
      <c r="FM108" s="332"/>
      <c r="FN108" s="333"/>
      <c r="FO108" s="333"/>
      <c r="FP108" s="333"/>
      <c r="FQ108" s="333"/>
      <c r="FR108" s="333"/>
      <c r="FS108" s="333"/>
      <c r="FT108" s="333"/>
      <c r="FU108" s="333"/>
      <c r="FV108" s="333"/>
      <c r="FW108" s="75"/>
      <c r="FX108" s="81"/>
      <c r="FY108" s="332"/>
      <c r="FZ108" s="333"/>
      <c r="GA108" s="333"/>
      <c r="GB108" s="333"/>
      <c r="GC108" s="333"/>
      <c r="GD108" s="333"/>
      <c r="GE108" s="333"/>
      <c r="GF108" s="333"/>
      <c r="GG108" s="333"/>
      <c r="GH108" s="333"/>
      <c r="GI108" s="75"/>
      <c r="GJ108" s="81"/>
      <c r="GK108" s="332"/>
      <c r="GL108" s="333"/>
      <c r="GM108" s="333"/>
      <c r="GN108" s="333"/>
      <c r="GO108" s="333"/>
      <c r="GP108" s="333"/>
      <c r="GQ108" s="333"/>
      <c r="GR108" s="333"/>
      <c r="GS108" s="333"/>
      <c r="GT108" s="333"/>
      <c r="GU108" s="75"/>
      <c r="GV108" s="81"/>
      <c r="GW108" s="332"/>
      <c r="GX108" s="333"/>
      <c r="GY108" s="333"/>
      <c r="GZ108" s="333"/>
      <c r="HA108" s="333"/>
      <c r="HB108" s="333"/>
      <c r="HC108" s="333"/>
      <c r="HD108" s="333"/>
      <c r="HE108" s="333"/>
      <c r="HF108" s="333"/>
      <c r="HG108" s="75"/>
      <c r="HH108" s="81"/>
      <c r="HI108" s="75"/>
    </row>
    <row r="109" ht="33.75" customHeight="1">
      <c r="A109" s="334" t="s">
        <v>62</v>
      </c>
      <c r="B109" s="335" t="s">
        <v>63</v>
      </c>
      <c r="C109" s="335" t="s">
        <v>64</v>
      </c>
      <c r="D109" s="335" t="s">
        <v>65</v>
      </c>
      <c r="E109" s="335" t="s">
        <v>66</v>
      </c>
      <c r="F109" s="336" t="s">
        <v>67</v>
      </c>
      <c r="G109" s="104"/>
      <c r="H109" s="337" t="s">
        <v>68</v>
      </c>
      <c r="I109" s="338"/>
      <c r="J109" s="338"/>
      <c r="K109" s="278"/>
      <c r="L109" s="107"/>
      <c r="M109" s="334" t="s">
        <v>62</v>
      </c>
      <c r="N109" s="335" t="s">
        <v>63</v>
      </c>
      <c r="O109" s="335" t="s">
        <v>64</v>
      </c>
      <c r="P109" s="335" t="s">
        <v>65</v>
      </c>
      <c r="Q109" s="335" t="s">
        <v>66</v>
      </c>
      <c r="R109" s="336" t="s">
        <v>67</v>
      </c>
      <c r="S109" s="104"/>
      <c r="T109" s="337" t="s">
        <v>68</v>
      </c>
      <c r="U109" s="338"/>
      <c r="V109" s="338"/>
      <c r="W109" s="278"/>
      <c r="X109" s="107"/>
      <c r="Y109" s="334" t="s">
        <v>62</v>
      </c>
      <c r="Z109" s="335" t="s">
        <v>63</v>
      </c>
      <c r="AA109" s="335" t="s">
        <v>64</v>
      </c>
      <c r="AB109" s="335" t="s">
        <v>65</v>
      </c>
      <c r="AC109" s="335" t="s">
        <v>66</v>
      </c>
      <c r="AD109" s="336" t="s">
        <v>67</v>
      </c>
      <c r="AE109" s="104"/>
      <c r="AF109" s="337" t="s">
        <v>68</v>
      </c>
      <c r="AG109" s="338"/>
      <c r="AH109" s="338"/>
      <c r="AI109" s="278"/>
      <c r="AJ109" s="107"/>
      <c r="AK109" s="334" t="s">
        <v>62</v>
      </c>
      <c r="AL109" s="335" t="s">
        <v>63</v>
      </c>
      <c r="AM109" s="335" t="s">
        <v>64</v>
      </c>
      <c r="AN109" s="335" t="s">
        <v>65</v>
      </c>
      <c r="AO109" s="335" t="s">
        <v>66</v>
      </c>
      <c r="AP109" s="336" t="s">
        <v>67</v>
      </c>
      <c r="AQ109" s="104"/>
      <c r="AR109" s="337" t="s">
        <v>68</v>
      </c>
      <c r="AS109" s="338"/>
      <c r="AT109" s="338"/>
      <c r="AU109" s="278"/>
      <c r="AV109" s="107"/>
      <c r="AW109" s="334" t="s">
        <v>62</v>
      </c>
      <c r="AX109" s="335" t="s">
        <v>63</v>
      </c>
      <c r="AY109" s="335" t="s">
        <v>64</v>
      </c>
      <c r="AZ109" s="335" t="s">
        <v>65</v>
      </c>
      <c r="BA109" s="335" t="s">
        <v>66</v>
      </c>
      <c r="BB109" s="336" t="s">
        <v>67</v>
      </c>
      <c r="BC109" s="104"/>
      <c r="BD109" s="337" t="s">
        <v>68</v>
      </c>
      <c r="BE109" s="338"/>
      <c r="BF109" s="338"/>
      <c r="BG109" s="278"/>
      <c r="BH109" s="107"/>
      <c r="BI109" s="334" t="s">
        <v>62</v>
      </c>
      <c r="BJ109" s="335" t="s">
        <v>63</v>
      </c>
      <c r="BK109" s="335" t="s">
        <v>64</v>
      </c>
      <c r="BL109" s="335" t="s">
        <v>65</v>
      </c>
      <c r="BM109" s="335" t="s">
        <v>66</v>
      </c>
      <c r="BN109" s="336" t="s">
        <v>67</v>
      </c>
      <c r="BO109" s="104"/>
      <c r="BP109" s="337" t="s">
        <v>68</v>
      </c>
      <c r="BQ109" s="338"/>
      <c r="BR109" s="338"/>
      <c r="BS109" s="278"/>
      <c r="BT109" s="107"/>
      <c r="BU109" s="334" t="s">
        <v>62</v>
      </c>
      <c r="BV109" s="335" t="s">
        <v>63</v>
      </c>
      <c r="BW109" s="335" t="s">
        <v>64</v>
      </c>
      <c r="BX109" s="335" t="s">
        <v>65</v>
      </c>
      <c r="BY109" s="335" t="s">
        <v>66</v>
      </c>
      <c r="BZ109" s="336" t="s">
        <v>67</v>
      </c>
      <c r="CA109" s="104"/>
      <c r="CB109" s="337" t="s">
        <v>68</v>
      </c>
      <c r="CC109" s="338"/>
      <c r="CD109" s="338"/>
      <c r="CE109" s="278"/>
      <c r="CF109" s="107"/>
      <c r="CG109" s="334" t="s">
        <v>62</v>
      </c>
      <c r="CH109" s="335" t="s">
        <v>63</v>
      </c>
      <c r="CI109" s="335" t="s">
        <v>64</v>
      </c>
      <c r="CJ109" s="335" t="s">
        <v>65</v>
      </c>
      <c r="CK109" s="335" t="s">
        <v>66</v>
      </c>
      <c r="CL109" s="336" t="s">
        <v>67</v>
      </c>
      <c r="CM109" s="104"/>
      <c r="CN109" s="337" t="s">
        <v>68</v>
      </c>
      <c r="CO109" s="338"/>
      <c r="CP109" s="338"/>
      <c r="CQ109" s="278"/>
      <c r="CR109" s="107"/>
      <c r="CS109" s="334" t="s">
        <v>62</v>
      </c>
      <c r="CT109" s="335" t="s">
        <v>63</v>
      </c>
      <c r="CU109" s="335" t="s">
        <v>64</v>
      </c>
      <c r="CV109" s="335" t="s">
        <v>65</v>
      </c>
      <c r="CW109" s="335" t="s">
        <v>66</v>
      </c>
      <c r="CX109" s="336" t="s">
        <v>67</v>
      </c>
      <c r="CY109" s="104"/>
      <c r="CZ109" s="337" t="s">
        <v>68</v>
      </c>
      <c r="DA109" s="338"/>
      <c r="DB109" s="338"/>
      <c r="DC109" s="278"/>
      <c r="DD109" s="107"/>
      <c r="DE109" s="334" t="s">
        <v>62</v>
      </c>
      <c r="DF109" s="335" t="s">
        <v>63</v>
      </c>
      <c r="DG109" s="335" t="s">
        <v>64</v>
      </c>
      <c r="DH109" s="335" t="s">
        <v>65</v>
      </c>
      <c r="DI109" s="335" t="s">
        <v>66</v>
      </c>
      <c r="DJ109" s="336" t="s">
        <v>67</v>
      </c>
      <c r="DK109" s="104"/>
      <c r="DL109" s="337" t="s">
        <v>68</v>
      </c>
      <c r="DM109" s="338"/>
      <c r="DN109" s="338"/>
      <c r="DO109" s="278"/>
      <c r="DP109" s="107"/>
      <c r="DQ109" s="334" t="s">
        <v>62</v>
      </c>
      <c r="DR109" s="335" t="s">
        <v>63</v>
      </c>
      <c r="DS109" s="335" t="s">
        <v>64</v>
      </c>
      <c r="DT109" s="335" t="s">
        <v>65</v>
      </c>
      <c r="DU109" s="335" t="s">
        <v>66</v>
      </c>
      <c r="DV109" s="336" t="s">
        <v>67</v>
      </c>
      <c r="DW109" s="104"/>
      <c r="DX109" s="337" t="s">
        <v>68</v>
      </c>
      <c r="DY109" s="338"/>
      <c r="DZ109" s="338"/>
      <c r="EA109" s="278"/>
      <c r="EB109" s="107"/>
      <c r="EC109" s="334" t="s">
        <v>62</v>
      </c>
      <c r="ED109" s="335" t="s">
        <v>63</v>
      </c>
      <c r="EE109" s="335" t="s">
        <v>64</v>
      </c>
      <c r="EF109" s="335" t="s">
        <v>65</v>
      </c>
      <c r="EG109" s="335" t="s">
        <v>66</v>
      </c>
      <c r="EH109" s="336" t="s">
        <v>67</v>
      </c>
      <c r="EI109" s="104"/>
      <c r="EJ109" s="337" t="s">
        <v>68</v>
      </c>
      <c r="EK109" s="338"/>
      <c r="EL109" s="338"/>
      <c r="EM109" s="278"/>
      <c r="EN109" s="107"/>
      <c r="EO109" s="334" t="s">
        <v>62</v>
      </c>
      <c r="EP109" s="335" t="s">
        <v>63</v>
      </c>
      <c r="EQ109" s="335" t="s">
        <v>64</v>
      </c>
      <c r="ER109" s="335" t="s">
        <v>65</v>
      </c>
      <c r="ES109" s="335" t="s">
        <v>66</v>
      </c>
      <c r="ET109" s="336" t="s">
        <v>67</v>
      </c>
      <c r="EU109" s="104"/>
      <c r="EV109" s="337" t="s">
        <v>68</v>
      </c>
      <c r="EW109" s="338"/>
      <c r="EX109" s="338"/>
      <c r="EY109" s="278"/>
      <c r="EZ109" s="107"/>
      <c r="FA109" s="334" t="s">
        <v>62</v>
      </c>
      <c r="FB109" s="335" t="s">
        <v>63</v>
      </c>
      <c r="FC109" s="335" t="s">
        <v>64</v>
      </c>
      <c r="FD109" s="335" t="s">
        <v>65</v>
      </c>
      <c r="FE109" s="335" t="s">
        <v>66</v>
      </c>
      <c r="FF109" s="336" t="s">
        <v>67</v>
      </c>
      <c r="FG109" s="104"/>
      <c r="FH109" s="337" t="s">
        <v>68</v>
      </c>
      <c r="FI109" s="338"/>
      <c r="FJ109" s="338"/>
      <c r="FK109" s="278"/>
      <c r="FL109" s="107"/>
      <c r="FM109" s="334" t="s">
        <v>62</v>
      </c>
      <c r="FN109" s="335" t="s">
        <v>63</v>
      </c>
      <c r="FO109" s="335" t="s">
        <v>64</v>
      </c>
      <c r="FP109" s="335" t="s">
        <v>65</v>
      </c>
      <c r="FQ109" s="335" t="s">
        <v>66</v>
      </c>
      <c r="FR109" s="336" t="s">
        <v>67</v>
      </c>
      <c r="FS109" s="104"/>
      <c r="FT109" s="337" t="s">
        <v>68</v>
      </c>
      <c r="FU109" s="338"/>
      <c r="FV109" s="338"/>
      <c r="FW109" s="278"/>
      <c r="FX109" s="107"/>
      <c r="FY109" s="334" t="s">
        <v>62</v>
      </c>
      <c r="FZ109" s="335" t="s">
        <v>63</v>
      </c>
      <c r="GA109" s="335" t="s">
        <v>64</v>
      </c>
      <c r="GB109" s="335" t="s">
        <v>65</v>
      </c>
      <c r="GC109" s="335" t="s">
        <v>66</v>
      </c>
      <c r="GD109" s="336" t="s">
        <v>67</v>
      </c>
      <c r="GE109" s="104"/>
      <c r="GF109" s="337" t="s">
        <v>68</v>
      </c>
      <c r="GG109" s="338"/>
      <c r="GH109" s="338"/>
      <c r="GI109" s="278"/>
      <c r="GJ109" s="107"/>
      <c r="GK109" s="334" t="s">
        <v>62</v>
      </c>
      <c r="GL109" s="335" t="s">
        <v>63</v>
      </c>
      <c r="GM109" s="335" t="s">
        <v>64</v>
      </c>
      <c r="GN109" s="335" t="s">
        <v>65</v>
      </c>
      <c r="GO109" s="335" t="s">
        <v>66</v>
      </c>
      <c r="GP109" s="336" t="s">
        <v>67</v>
      </c>
      <c r="GQ109" s="104"/>
      <c r="GR109" s="337" t="s">
        <v>68</v>
      </c>
      <c r="GS109" s="338"/>
      <c r="GT109" s="338"/>
      <c r="GU109" s="278"/>
      <c r="GV109" s="107"/>
      <c r="GW109" s="334" t="s">
        <v>62</v>
      </c>
      <c r="GX109" s="335" t="s">
        <v>63</v>
      </c>
      <c r="GY109" s="335" t="s">
        <v>64</v>
      </c>
      <c r="GZ109" s="335" t="s">
        <v>65</v>
      </c>
      <c r="HA109" s="335" t="s">
        <v>66</v>
      </c>
      <c r="HB109" s="336" t="s">
        <v>67</v>
      </c>
      <c r="HC109" s="104"/>
      <c r="HD109" s="337" t="s">
        <v>68</v>
      </c>
      <c r="HE109" s="338"/>
      <c r="HF109" s="338"/>
      <c r="HG109" s="278"/>
      <c r="HH109" s="107"/>
      <c r="HI109" s="106"/>
    </row>
    <row r="110" ht="66.0" customHeight="1">
      <c r="A110" s="108"/>
      <c r="B110" s="94"/>
      <c r="C110" s="94"/>
      <c r="D110" s="94"/>
      <c r="E110" s="94"/>
      <c r="F110" s="339" t="s">
        <v>69</v>
      </c>
      <c r="G110" s="339" t="s">
        <v>70</v>
      </c>
      <c r="H110" s="110"/>
      <c r="I110" s="338"/>
      <c r="J110" s="338"/>
      <c r="K110" s="278"/>
      <c r="L110" s="107"/>
      <c r="M110" s="108"/>
      <c r="N110" s="94"/>
      <c r="O110" s="94"/>
      <c r="P110" s="94"/>
      <c r="Q110" s="94"/>
      <c r="R110" s="339" t="s">
        <v>69</v>
      </c>
      <c r="S110" s="339" t="s">
        <v>70</v>
      </c>
      <c r="T110" s="110"/>
      <c r="U110" s="338"/>
      <c r="V110" s="338"/>
      <c r="W110" s="278"/>
      <c r="X110" s="107"/>
      <c r="Y110" s="108"/>
      <c r="Z110" s="94"/>
      <c r="AA110" s="94"/>
      <c r="AB110" s="94"/>
      <c r="AC110" s="94"/>
      <c r="AD110" s="339" t="s">
        <v>69</v>
      </c>
      <c r="AE110" s="339" t="s">
        <v>70</v>
      </c>
      <c r="AF110" s="110"/>
      <c r="AG110" s="338"/>
      <c r="AH110" s="338"/>
      <c r="AI110" s="278"/>
      <c r="AJ110" s="107"/>
      <c r="AK110" s="108"/>
      <c r="AL110" s="94"/>
      <c r="AM110" s="94"/>
      <c r="AN110" s="94"/>
      <c r="AO110" s="94"/>
      <c r="AP110" s="339" t="s">
        <v>69</v>
      </c>
      <c r="AQ110" s="339" t="s">
        <v>70</v>
      </c>
      <c r="AR110" s="110"/>
      <c r="AS110" s="338"/>
      <c r="AT110" s="338"/>
      <c r="AU110" s="278"/>
      <c r="AV110" s="107"/>
      <c r="AW110" s="108"/>
      <c r="AX110" s="94"/>
      <c r="AY110" s="94"/>
      <c r="AZ110" s="94"/>
      <c r="BA110" s="94"/>
      <c r="BB110" s="339" t="s">
        <v>69</v>
      </c>
      <c r="BC110" s="339" t="s">
        <v>70</v>
      </c>
      <c r="BD110" s="110"/>
      <c r="BE110" s="338"/>
      <c r="BF110" s="338"/>
      <c r="BG110" s="278"/>
      <c r="BH110" s="107"/>
      <c r="BI110" s="108"/>
      <c r="BJ110" s="94"/>
      <c r="BK110" s="94"/>
      <c r="BL110" s="94"/>
      <c r="BM110" s="94"/>
      <c r="BN110" s="339" t="s">
        <v>69</v>
      </c>
      <c r="BO110" s="339" t="s">
        <v>70</v>
      </c>
      <c r="BP110" s="110"/>
      <c r="BQ110" s="338"/>
      <c r="BR110" s="338"/>
      <c r="BS110" s="278"/>
      <c r="BT110" s="107"/>
      <c r="BU110" s="108"/>
      <c r="BV110" s="94"/>
      <c r="BW110" s="94"/>
      <c r="BX110" s="94"/>
      <c r="BY110" s="94"/>
      <c r="BZ110" s="339" t="s">
        <v>69</v>
      </c>
      <c r="CA110" s="339" t="s">
        <v>70</v>
      </c>
      <c r="CB110" s="110"/>
      <c r="CC110" s="338"/>
      <c r="CD110" s="338"/>
      <c r="CE110" s="278"/>
      <c r="CF110" s="107"/>
      <c r="CG110" s="108"/>
      <c r="CH110" s="94"/>
      <c r="CI110" s="94"/>
      <c r="CJ110" s="94"/>
      <c r="CK110" s="94"/>
      <c r="CL110" s="339" t="s">
        <v>69</v>
      </c>
      <c r="CM110" s="339" t="s">
        <v>70</v>
      </c>
      <c r="CN110" s="110"/>
      <c r="CO110" s="338"/>
      <c r="CP110" s="338"/>
      <c r="CQ110" s="278"/>
      <c r="CR110" s="107"/>
      <c r="CS110" s="108"/>
      <c r="CT110" s="94"/>
      <c r="CU110" s="94"/>
      <c r="CV110" s="94"/>
      <c r="CW110" s="94"/>
      <c r="CX110" s="339" t="s">
        <v>69</v>
      </c>
      <c r="CY110" s="339" t="s">
        <v>70</v>
      </c>
      <c r="CZ110" s="110"/>
      <c r="DA110" s="338"/>
      <c r="DB110" s="338"/>
      <c r="DC110" s="278"/>
      <c r="DD110" s="107"/>
      <c r="DE110" s="108"/>
      <c r="DF110" s="94"/>
      <c r="DG110" s="94"/>
      <c r="DH110" s="94"/>
      <c r="DI110" s="94"/>
      <c r="DJ110" s="339" t="s">
        <v>69</v>
      </c>
      <c r="DK110" s="339" t="s">
        <v>70</v>
      </c>
      <c r="DL110" s="110"/>
      <c r="DM110" s="338"/>
      <c r="DN110" s="338"/>
      <c r="DO110" s="278"/>
      <c r="DP110" s="107"/>
      <c r="DQ110" s="108"/>
      <c r="DR110" s="94"/>
      <c r="DS110" s="94"/>
      <c r="DT110" s="94"/>
      <c r="DU110" s="94"/>
      <c r="DV110" s="339" t="s">
        <v>69</v>
      </c>
      <c r="DW110" s="339" t="s">
        <v>70</v>
      </c>
      <c r="DX110" s="110"/>
      <c r="DY110" s="338"/>
      <c r="DZ110" s="338"/>
      <c r="EA110" s="278"/>
      <c r="EB110" s="107"/>
      <c r="EC110" s="108"/>
      <c r="ED110" s="94"/>
      <c r="EE110" s="94"/>
      <c r="EF110" s="94"/>
      <c r="EG110" s="94"/>
      <c r="EH110" s="339" t="s">
        <v>69</v>
      </c>
      <c r="EI110" s="339" t="s">
        <v>70</v>
      </c>
      <c r="EJ110" s="110"/>
      <c r="EK110" s="338"/>
      <c r="EL110" s="338"/>
      <c r="EM110" s="278"/>
      <c r="EN110" s="107"/>
      <c r="EO110" s="108"/>
      <c r="EP110" s="94"/>
      <c r="EQ110" s="94"/>
      <c r="ER110" s="94"/>
      <c r="ES110" s="94"/>
      <c r="ET110" s="339" t="s">
        <v>69</v>
      </c>
      <c r="EU110" s="339" t="s">
        <v>70</v>
      </c>
      <c r="EV110" s="110"/>
      <c r="EW110" s="338"/>
      <c r="EX110" s="338"/>
      <c r="EY110" s="278"/>
      <c r="EZ110" s="107"/>
      <c r="FA110" s="108"/>
      <c r="FB110" s="94"/>
      <c r="FC110" s="94"/>
      <c r="FD110" s="94"/>
      <c r="FE110" s="94"/>
      <c r="FF110" s="339" t="s">
        <v>69</v>
      </c>
      <c r="FG110" s="339" t="s">
        <v>70</v>
      </c>
      <c r="FH110" s="110"/>
      <c r="FI110" s="338"/>
      <c r="FJ110" s="338"/>
      <c r="FK110" s="278"/>
      <c r="FL110" s="107"/>
      <c r="FM110" s="108"/>
      <c r="FN110" s="94"/>
      <c r="FO110" s="94"/>
      <c r="FP110" s="94"/>
      <c r="FQ110" s="94"/>
      <c r="FR110" s="339" t="s">
        <v>69</v>
      </c>
      <c r="FS110" s="339" t="s">
        <v>70</v>
      </c>
      <c r="FT110" s="110"/>
      <c r="FU110" s="338"/>
      <c r="FV110" s="338"/>
      <c r="FW110" s="278"/>
      <c r="FX110" s="107"/>
      <c r="FY110" s="108"/>
      <c r="FZ110" s="94"/>
      <c r="GA110" s="94"/>
      <c r="GB110" s="94"/>
      <c r="GC110" s="94"/>
      <c r="GD110" s="339" t="s">
        <v>69</v>
      </c>
      <c r="GE110" s="339" t="s">
        <v>70</v>
      </c>
      <c r="GF110" s="110"/>
      <c r="GG110" s="338"/>
      <c r="GH110" s="338"/>
      <c r="GI110" s="278"/>
      <c r="GJ110" s="107"/>
      <c r="GK110" s="108"/>
      <c r="GL110" s="94"/>
      <c r="GM110" s="94"/>
      <c r="GN110" s="94"/>
      <c r="GO110" s="94"/>
      <c r="GP110" s="339" t="s">
        <v>69</v>
      </c>
      <c r="GQ110" s="339" t="s">
        <v>70</v>
      </c>
      <c r="GR110" s="110"/>
      <c r="GS110" s="338"/>
      <c r="GT110" s="338"/>
      <c r="GU110" s="278"/>
      <c r="GV110" s="107"/>
      <c r="GW110" s="108"/>
      <c r="GX110" s="94"/>
      <c r="GY110" s="94"/>
      <c r="GZ110" s="94"/>
      <c r="HA110" s="94"/>
      <c r="HB110" s="339" t="s">
        <v>69</v>
      </c>
      <c r="HC110" s="339" t="s">
        <v>70</v>
      </c>
      <c r="HD110" s="110"/>
      <c r="HE110" s="338"/>
      <c r="HF110" s="338"/>
      <c r="HG110" s="278"/>
      <c r="HH110" s="107"/>
      <c r="HI110" s="106"/>
    </row>
    <row r="111" ht="15.75" customHeight="1">
      <c r="A111" s="340">
        <v>-1.0</v>
      </c>
      <c r="B111" s="341">
        <v>-2.0</v>
      </c>
      <c r="C111" s="341">
        <v>-3.0</v>
      </c>
      <c r="D111" s="341">
        <v>-4.0</v>
      </c>
      <c r="E111" s="341">
        <v>-5.0</v>
      </c>
      <c r="F111" s="341">
        <v>-6.0</v>
      </c>
      <c r="G111" s="341">
        <v>-7.0</v>
      </c>
      <c r="H111" s="342">
        <v>-8.0</v>
      </c>
      <c r="I111" s="343"/>
      <c r="J111" s="343"/>
      <c r="K111" s="283"/>
      <c r="L111" s="115"/>
      <c r="M111" s="340">
        <v>-1.0</v>
      </c>
      <c r="N111" s="341">
        <v>-2.0</v>
      </c>
      <c r="O111" s="341">
        <v>-3.0</v>
      </c>
      <c r="P111" s="341">
        <v>-4.0</v>
      </c>
      <c r="Q111" s="341">
        <v>-5.0</v>
      </c>
      <c r="R111" s="341">
        <v>-6.0</v>
      </c>
      <c r="S111" s="341">
        <v>-7.0</v>
      </c>
      <c r="T111" s="342">
        <v>-8.0</v>
      </c>
      <c r="U111" s="343"/>
      <c r="V111" s="343"/>
      <c r="W111" s="283"/>
      <c r="X111" s="115"/>
      <c r="Y111" s="340">
        <v>-1.0</v>
      </c>
      <c r="Z111" s="341">
        <v>-2.0</v>
      </c>
      <c r="AA111" s="341">
        <v>-3.0</v>
      </c>
      <c r="AB111" s="341">
        <v>-4.0</v>
      </c>
      <c r="AC111" s="341">
        <v>-5.0</v>
      </c>
      <c r="AD111" s="341">
        <v>-6.0</v>
      </c>
      <c r="AE111" s="341">
        <v>-7.0</v>
      </c>
      <c r="AF111" s="342">
        <v>-8.0</v>
      </c>
      <c r="AG111" s="343"/>
      <c r="AH111" s="343"/>
      <c r="AI111" s="283"/>
      <c r="AJ111" s="115"/>
      <c r="AK111" s="340">
        <v>-1.0</v>
      </c>
      <c r="AL111" s="341">
        <v>-2.0</v>
      </c>
      <c r="AM111" s="341">
        <v>-3.0</v>
      </c>
      <c r="AN111" s="341">
        <v>-4.0</v>
      </c>
      <c r="AO111" s="341">
        <v>-5.0</v>
      </c>
      <c r="AP111" s="341">
        <v>-6.0</v>
      </c>
      <c r="AQ111" s="341">
        <v>-7.0</v>
      </c>
      <c r="AR111" s="342">
        <v>-8.0</v>
      </c>
      <c r="AS111" s="343"/>
      <c r="AT111" s="343"/>
      <c r="AU111" s="283"/>
      <c r="AV111" s="115"/>
      <c r="AW111" s="340">
        <v>-1.0</v>
      </c>
      <c r="AX111" s="341">
        <v>-2.0</v>
      </c>
      <c r="AY111" s="341">
        <v>-3.0</v>
      </c>
      <c r="AZ111" s="341">
        <v>-4.0</v>
      </c>
      <c r="BA111" s="341">
        <v>-5.0</v>
      </c>
      <c r="BB111" s="341">
        <v>-6.0</v>
      </c>
      <c r="BC111" s="341">
        <v>-7.0</v>
      </c>
      <c r="BD111" s="342">
        <v>-8.0</v>
      </c>
      <c r="BE111" s="343"/>
      <c r="BF111" s="343"/>
      <c r="BG111" s="283"/>
      <c r="BH111" s="115"/>
      <c r="BI111" s="340">
        <v>-1.0</v>
      </c>
      <c r="BJ111" s="341">
        <v>-2.0</v>
      </c>
      <c r="BK111" s="341">
        <v>-3.0</v>
      </c>
      <c r="BL111" s="341">
        <v>-4.0</v>
      </c>
      <c r="BM111" s="341">
        <v>-5.0</v>
      </c>
      <c r="BN111" s="341">
        <v>-6.0</v>
      </c>
      <c r="BO111" s="341">
        <v>-7.0</v>
      </c>
      <c r="BP111" s="342">
        <v>-8.0</v>
      </c>
      <c r="BQ111" s="343"/>
      <c r="BR111" s="343"/>
      <c r="BS111" s="283"/>
      <c r="BT111" s="115"/>
      <c r="BU111" s="340">
        <v>-1.0</v>
      </c>
      <c r="BV111" s="341">
        <v>-2.0</v>
      </c>
      <c r="BW111" s="341">
        <v>-3.0</v>
      </c>
      <c r="BX111" s="341">
        <v>-4.0</v>
      </c>
      <c r="BY111" s="341">
        <v>-5.0</v>
      </c>
      <c r="BZ111" s="341">
        <v>-6.0</v>
      </c>
      <c r="CA111" s="341">
        <v>-7.0</v>
      </c>
      <c r="CB111" s="342">
        <v>-8.0</v>
      </c>
      <c r="CC111" s="343"/>
      <c r="CD111" s="343"/>
      <c r="CE111" s="283"/>
      <c r="CF111" s="115"/>
      <c r="CG111" s="340">
        <v>-1.0</v>
      </c>
      <c r="CH111" s="341">
        <v>-2.0</v>
      </c>
      <c r="CI111" s="341">
        <v>-3.0</v>
      </c>
      <c r="CJ111" s="341">
        <v>-4.0</v>
      </c>
      <c r="CK111" s="341">
        <v>-5.0</v>
      </c>
      <c r="CL111" s="341">
        <v>-6.0</v>
      </c>
      <c r="CM111" s="341">
        <v>-7.0</v>
      </c>
      <c r="CN111" s="342">
        <v>-8.0</v>
      </c>
      <c r="CO111" s="343"/>
      <c r="CP111" s="343"/>
      <c r="CQ111" s="283"/>
      <c r="CR111" s="115"/>
      <c r="CS111" s="340">
        <v>-1.0</v>
      </c>
      <c r="CT111" s="341">
        <v>-2.0</v>
      </c>
      <c r="CU111" s="341">
        <v>-3.0</v>
      </c>
      <c r="CV111" s="341">
        <v>-4.0</v>
      </c>
      <c r="CW111" s="341">
        <v>-5.0</v>
      </c>
      <c r="CX111" s="341">
        <v>-6.0</v>
      </c>
      <c r="CY111" s="341">
        <v>-7.0</v>
      </c>
      <c r="CZ111" s="342">
        <v>-8.0</v>
      </c>
      <c r="DA111" s="343"/>
      <c r="DB111" s="343"/>
      <c r="DC111" s="283"/>
      <c r="DD111" s="115"/>
      <c r="DE111" s="340">
        <v>-1.0</v>
      </c>
      <c r="DF111" s="341">
        <v>-2.0</v>
      </c>
      <c r="DG111" s="341">
        <v>-3.0</v>
      </c>
      <c r="DH111" s="341">
        <v>-4.0</v>
      </c>
      <c r="DI111" s="341">
        <v>-5.0</v>
      </c>
      <c r="DJ111" s="341">
        <v>-6.0</v>
      </c>
      <c r="DK111" s="341">
        <v>-7.0</v>
      </c>
      <c r="DL111" s="342">
        <v>-8.0</v>
      </c>
      <c r="DM111" s="343"/>
      <c r="DN111" s="343"/>
      <c r="DO111" s="283"/>
      <c r="DP111" s="115"/>
      <c r="DQ111" s="340">
        <v>-1.0</v>
      </c>
      <c r="DR111" s="341">
        <v>-2.0</v>
      </c>
      <c r="DS111" s="341">
        <v>-3.0</v>
      </c>
      <c r="DT111" s="341">
        <v>-4.0</v>
      </c>
      <c r="DU111" s="341">
        <v>-5.0</v>
      </c>
      <c r="DV111" s="341">
        <v>-6.0</v>
      </c>
      <c r="DW111" s="341">
        <v>-7.0</v>
      </c>
      <c r="DX111" s="342">
        <v>-8.0</v>
      </c>
      <c r="DY111" s="343"/>
      <c r="DZ111" s="343"/>
      <c r="EA111" s="283"/>
      <c r="EB111" s="115"/>
      <c r="EC111" s="340">
        <v>-1.0</v>
      </c>
      <c r="ED111" s="341">
        <v>-2.0</v>
      </c>
      <c r="EE111" s="341">
        <v>-3.0</v>
      </c>
      <c r="EF111" s="341">
        <v>-4.0</v>
      </c>
      <c r="EG111" s="341">
        <v>-5.0</v>
      </c>
      <c r="EH111" s="341">
        <v>-6.0</v>
      </c>
      <c r="EI111" s="341">
        <v>-7.0</v>
      </c>
      <c r="EJ111" s="342">
        <v>-8.0</v>
      </c>
      <c r="EK111" s="343"/>
      <c r="EL111" s="343"/>
      <c r="EM111" s="283"/>
      <c r="EN111" s="115"/>
      <c r="EO111" s="340">
        <v>-1.0</v>
      </c>
      <c r="EP111" s="341">
        <v>-2.0</v>
      </c>
      <c r="EQ111" s="341">
        <v>-3.0</v>
      </c>
      <c r="ER111" s="341">
        <v>-4.0</v>
      </c>
      <c r="ES111" s="341">
        <v>-5.0</v>
      </c>
      <c r="ET111" s="341">
        <v>-6.0</v>
      </c>
      <c r="EU111" s="341">
        <v>-7.0</v>
      </c>
      <c r="EV111" s="342">
        <v>-8.0</v>
      </c>
      <c r="EW111" s="343"/>
      <c r="EX111" s="343"/>
      <c r="EY111" s="283"/>
      <c r="EZ111" s="115"/>
      <c r="FA111" s="340">
        <v>-1.0</v>
      </c>
      <c r="FB111" s="341">
        <v>-2.0</v>
      </c>
      <c r="FC111" s="341">
        <v>-3.0</v>
      </c>
      <c r="FD111" s="341">
        <v>-4.0</v>
      </c>
      <c r="FE111" s="341">
        <v>-5.0</v>
      </c>
      <c r="FF111" s="341">
        <v>-6.0</v>
      </c>
      <c r="FG111" s="341">
        <v>-7.0</v>
      </c>
      <c r="FH111" s="342">
        <v>-8.0</v>
      </c>
      <c r="FI111" s="343"/>
      <c r="FJ111" s="343"/>
      <c r="FK111" s="283"/>
      <c r="FL111" s="115"/>
      <c r="FM111" s="340">
        <v>-1.0</v>
      </c>
      <c r="FN111" s="341">
        <v>-2.0</v>
      </c>
      <c r="FO111" s="341">
        <v>-3.0</v>
      </c>
      <c r="FP111" s="341">
        <v>-4.0</v>
      </c>
      <c r="FQ111" s="341">
        <v>-5.0</v>
      </c>
      <c r="FR111" s="341">
        <v>-6.0</v>
      </c>
      <c r="FS111" s="341">
        <v>-7.0</v>
      </c>
      <c r="FT111" s="342">
        <v>-8.0</v>
      </c>
      <c r="FU111" s="343"/>
      <c r="FV111" s="343"/>
      <c r="FW111" s="283"/>
      <c r="FX111" s="115"/>
      <c r="FY111" s="340">
        <v>-1.0</v>
      </c>
      <c r="FZ111" s="341">
        <v>-2.0</v>
      </c>
      <c r="GA111" s="341">
        <v>-3.0</v>
      </c>
      <c r="GB111" s="341">
        <v>-4.0</v>
      </c>
      <c r="GC111" s="341">
        <v>-5.0</v>
      </c>
      <c r="GD111" s="341">
        <v>-6.0</v>
      </c>
      <c r="GE111" s="341">
        <v>-7.0</v>
      </c>
      <c r="GF111" s="342">
        <v>-8.0</v>
      </c>
      <c r="GG111" s="343"/>
      <c r="GH111" s="343"/>
      <c r="GI111" s="283"/>
      <c r="GJ111" s="115"/>
      <c r="GK111" s="340">
        <v>-1.0</v>
      </c>
      <c r="GL111" s="341">
        <v>-2.0</v>
      </c>
      <c r="GM111" s="341">
        <v>-3.0</v>
      </c>
      <c r="GN111" s="341">
        <v>-4.0</v>
      </c>
      <c r="GO111" s="341">
        <v>-5.0</v>
      </c>
      <c r="GP111" s="341">
        <v>-6.0</v>
      </c>
      <c r="GQ111" s="341">
        <v>-7.0</v>
      </c>
      <c r="GR111" s="342">
        <v>-8.0</v>
      </c>
      <c r="GS111" s="343"/>
      <c r="GT111" s="343"/>
      <c r="GU111" s="283"/>
      <c r="GV111" s="115"/>
      <c r="GW111" s="340">
        <v>-1.0</v>
      </c>
      <c r="GX111" s="341">
        <v>-2.0</v>
      </c>
      <c r="GY111" s="341">
        <v>-3.0</v>
      </c>
      <c r="GZ111" s="341">
        <v>-4.0</v>
      </c>
      <c r="HA111" s="341">
        <v>-5.0</v>
      </c>
      <c r="HB111" s="341">
        <v>-6.0</v>
      </c>
      <c r="HC111" s="341">
        <v>-7.0</v>
      </c>
      <c r="HD111" s="342">
        <v>-8.0</v>
      </c>
      <c r="HE111" s="343"/>
      <c r="HF111" s="343"/>
      <c r="HG111" s="283"/>
      <c r="HH111" s="115"/>
      <c r="HI111" s="114"/>
    </row>
    <row r="112" ht="15.75" customHeight="1">
      <c r="A112" s="344"/>
      <c r="B112" s="345"/>
      <c r="C112" s="346"/>
      <c r="D112" s="346"/>
      <c r="E112" s="346"/>
      <c r="F112" s="346"/>
      <c r="G112" s="346"/>
      <c r="H112" s="347"/>
      <c r="I112" s="333"/>
      <c r="J112" s="333"/>
      <c r="K112" s="288"/>
      <c r="L112" s="81"/>
      <c r="M112" s="344"/>
      <c r="N112" s="345"/>
      <c r="O112" s="346"/>
      <c r="P112" s="346"/>
      <c r="Q112" s="346"/>
      <c r="R112" s="346"/>
      <c r="S112" s="346"/>
      <c r="T112" s="347"/>
      <c r="U112" s="333"/>
      <c r="V112" s="333"/>
      <c r="W112" s="288"/>
      <c r="X112" s="81"/>
      <c r="Y112" s="344"/>
      <c r="Z112" s="345"/>
      <c r="AA112" s="346"/>
      <c r="AB112" s="346"/>
      <c r="AC112" s="346"/>
      <c r="AD112" s="346"/>
      <c r="AE112" s="346"/>
      <c r="AF112" s="347"/>
      <c r="AG112" s="333"/>
      <c r="AH112" s="333"/>
      <c r="AI112" s="288"/>
      <c r="AJ112" s="81"/>
      <c r="AK112" s="344"/>
      <c r="AL112" s="345"/>
      <c r="AM112" s="346"/>
      <c r="AN112" s="346"/>
      <c r="AO112" s="346"/>
      <c r="AP112" s="346"/>
      <c r="AQ112" s="346"/>
      <c r="AR112" s="347"/>
      <c r="AS112" s="333"/>
      <c r="AT112" s="333"/>
      <c r="AU112" s="288"/>
      <c r="AV112" s="81"/>
      <c r="AW112" s="344"/>
      <c r="AX112" s="345"/>
      <c r="AY112" s="346"/>
      <c r="AZ112" s="346"/>
      <c r="BA112" s="346"/>
      <c r="BB112" s="346"/>
      <c r="BC112" s="346"/>
      <c r="BD112" s="347"/>
      <c r="BE112" s="333"/>
      <c r="BF112" s="333"/>
      <c r="BG112" s="288"/>
      <c r="BH112" s="81"/>
      <c r="BI112" s="344"/>
      <c r="BJ112" s="345"/>
      <c r="BK112" s="346"/>
      <c r="BL112" s="346"/>
      <c r="BM112" s="346"/>
      <c r="BN112" s="346"/>
      <c r="BO112" s="346"/>
      <c r="BP112" s="347"/>
      <c r="BQ112" s="333"/>
      <c r="BR112" s="333"/>
      <c r="BS112" s="288"/>
      <c r="BT112" s="81"/>
      <c r="BU112" s="344"/>
      <c r="BV112" s="345"/>
      <c r="BW112" s="346"/>
      <c r="BX112" s="346"/>
      <c r="BY112" s="346"/>
      <c r="BZ112" s="346"/>
      <c r="CA112" s="346"/>
      <c r="CB112" s="347"/>
      <c r="CC112" s="333"/>
      <c r="CD112" s="333"/>
      <c r="CE112" s="288"/>
      <c r="CF112" s="81"/>
      <c r="CG112" s="344"/>
      <c r="CH112" s="345"/>
      <c r="CI112" s="346"/>
      <c r="CJ112" s="346"/>
      <c r="CK112" s="346"/>
      <c r="CL112" s="346"/>
      <c r="CM112" s="346"/>
      <c r="CN112" s="347"/>
      <c r="CO112" s="333"/>
      <c r="CP112" s="333"/>
      <c r="CQ112" s="288"/>
      <c r="CR112" s="81"/>
      <c r="CS112" s="344"/>
      <c r="CT112" s="345"/>
      <c r="CU112" s="346"/>
      <c r="CV112" s="346"/>
      <c r="CW112" s="346"/>
      <c r="CX112" s="346"/>
      <c r="CY112" s="346"/>
      <c r="CZ112" s="347"/>
      <c r="DA112" s="333"/>
      <c r="DB112" s="333"/>
      <c r="DC112" s="288"/>
      <c r="DD112" s="81"/>
      <c r="DE112" s="344"/>
      <c r="DF112" s="345"/>
      <c r="DG112" s="346"/>
      <c r="DH112" s="346"/>
      <c r="DI112" s="346"/>
      <c r="DJ112" s="346"/>
      <c r="DK112" s="346"/>
      <c r="DL112" s="347"/>
      <c r="DM112" s="333"/>
      <c r="DN112" s="333"/>
      <c r="DO112" s="288"/>
      <c r="DP112" s="81"/>
      <c r="DQ112" s="344"/>
      <c r="DR112" s="345"/>
      <c r="DS112" s="346"/>
      <c r="DT112" s="346"/>
      <c r="DU112" s="346"/>
      <c r="DV112" s="346"/>
      <c r="DW112" s="346"/>
      <c r="DX112" s="347"/>
      <c r="DY112" s="333"/>
      <c r="DZ112" s="333"/>
      <c r="EA112" s="288"/>
      <c r="EB112" s="81"/>
      <c r="EC112" s="344"/>
      <c r="ED112" s="345"/>
      <c r="EE112" s="346"/>
      <c r="EF112" s="346"/>
      <c r="EG112" s="346"/>
      <c r="EH112" s="346"/>
      <c r="EI112" s="346"/>
      <c r="EJ112" s="347"/>
      <c r="EK112" s="333"/>
      <c r="EL112" s="333"/>
      <c r="EM112" s="288"/>
      <c r="EN112" s="81"/>
      <c r="EO112" s="344"/>
      <c r="EP112" s="345"/>
      <c r="EQ112" s="346"/>
      <c r="ER112" s="346"/>
      <c r="ES112" s="346"/>
      <c r="ET112" s="346"/>
      <c r="EU112" s="346"/>
      <c r="EV112" s="347"/>
      <c r="EW112" s="333"/>
      <c r="EX112" s="333"/>
      <c r="EY112" s="288"/>
      <c r="EZ112" s="81"/>
      <c r="FA112" s="344"/>
      <c r="FB112" s="345"/>
      <c r="FC112" s="346"/>
      <c r="FD112" s="346"/>
      <c r="FE112" s="346"/>
      <c r="FF112" s="346"/>
      <c r="FG112" s="346"/>
      <c r="FH112" s="347"/>
      <c r="FI112" s="333"/>
      <c r="FJ112" s="333"/>
      <c r="FK112" s="288"/>
      <c r="FL112" s="81"/>
      <c r="FM112" s="344"/>
      <c r="FN112" s="345"/>
      <c r="FO112" s="346"/>
      <c r="FP112" s="346"/>
      <c r="FQ112" s="346"/>
      <c r="FR112" s="346"/>
      <c r="FS112" s="346"/>
      <c r="FT112" s="347"/>
      <c r="FU112" s="333"/>
      <c r="FV112" s="333"/>
      <c r="FW112" s="288"/>
      <c r="FX112" s="81"/>
      <c r="FY112" s="344"/>
      <c r="FZ112" s="345"/>
      <c r="GA112" s="346"/>
      <c r="GB112" s="346"/>
      <c r="GC112" s="346"/>
      <c r="GD112" s="346"/>
      <c r="GE112" s="346"/>
      <c r="GF112" s="347"/>
      <c r="GG112" s="333"/>
      <c r="GH112" s="333"/>
      <c r="GI112" s="288"/>
      <c r="GJ112" s="81"/>
      <c r="GK112" s="344"/>
      <c r="GL112" s="345"/>
      <c r="GM112" s="346"/>
      <c r="GN112" s="346"/>
      <c r="GO112" s="346"/>
      <c r="GP112" s="346"/>
      <c r="GQ112" s="346"/>
      <c r="GR112" s="347"/>
      <c r="GS112" s="333"/>
      <c r="GT112" s="333"/>
      <c r="GU112" s="288"/>
      <c r="GV112" s="81"/>
      <c r="GW112" s="344"/>
      <c r="GX112" s="345"/>
      <c r="GY112" s="346"/>
      <c r="GZ112" s="346"/>
      <c r="HA112" s="346"/>
      <c r="HB112" s="346"/>
      <c r="HC112" s="346"/>
      <c r="HD112" s="347"/>
      <c r="HE112" s="333"/>
      <c r="HF112" s="333"/>
      <c r="HG112" s="288"/>
      <c r="HH112" s="81"/>
      <c r="HI112" s="75"/>
    </row>
    <row r="113" ht="15.75" customHeight="1">
      <c r="A113" s="348">
        <v>1.0</v>
      </c>
      <c r="B113" s="349" t="s">
        <v>71</v>
      </c>
      <c r="C113" s="350"/>
      <c r="D113" s="351">
        <f t="shared" ref="D113:D118" si="505">1.16180660667508/100</f>
        <v>0.01161806607</v>
      </c>
      <c r="E113" s="350">
        <f t="shared" ref="E113:E118" si="506">IFERROR(+D113*C113,"0")</f>
        <v>0</v>
      </c>
      <c r="F113" s="351">
        <v>0.16716266605705102</v>
      </c>
      <c r="G113" s="350">
        <f t="shared" ref="G113:G118" si="507">IFERROR(+E113*F113,"")</f>
        <v>0</v>
      </c>
      <c r="H113" s="352">
        <f t="shared" ref="H113:H118" si="508">IFERROR(+(IF(E113="","0",E113))-(IF(G113="","0",G113)),"")</f>
        <v>0</v>
      </c>
      <c r="I113" s="333"/>
      <c r="J113" s="333"/>
      <c r="K113" s="288"/>
      <c r="L113" s="81"/>
      <c r="M113" s="348">
        <v>1.0</v>
      </c>
      <c r="N113" s="349" t="s">
        <v>71</v>
      </c>
      <c r="O113" s="350"/>
      <c r="P113" s="351">
        <f t="shared" ref="P113:P118" si="509">1.16180660667508/100</f>
        <v>0.01161806607</v>
      </c>
      <c r="Q113" s="350">
        <f t="shared" ref="Q113:Q118" si="510">IFERROR(+P113*O113,"0")</f>
        <v>0</v>
      </c>
      <c r="R113" s="351">
        <v>0.16716266605705102</v>
      </c>
      <c r="S113" s="350">
        <f t="shared" ref="S113:S118" si="511">IFERROR(+Q113*R113,"")</f>
        <v>0</v>
      </c>
      <c r="T113" s="352">
        <f t="shared" ref="T113:T118" si="512">IFERROR(+(IF(Q113="","0",Q113))-(IF(S113="","0",S113)),"")</f>
        <v>0</v>
      </c>
      <c r="U113" s="333"/>
      <c r="V113" s="333"/>
      <c r="W113" s="288"/>
      <c r="X113" s="81"/>
      <c r="Y113" s="348">
        <v>1.0</v>
      </c>
      <c r="Z113" s="349" t="s">
        <v>71</v>
      </c>
      <c r="AA113" s="350"/>
      <c r="AB113" s="351">
        <f t="shared" ref="AB113:AB118" si="513">1.16180660667508/100</f>
        <v>0.01161806607</v>
      </c>
      <c r="AC113" s="350">
        <f t="shared" ref="AC113:AC118" si="514">IFERROR(+AB113*AA113,"0")</f>
        <v>0</v>
      </c>
      <c r="AD113" s="351">
        <v>0.16716266605705102</v>
      </c>
      <c r="AE113" s="350">
        <f t="shared" ref="AE113:AE118" si="515">IFERROR(+AC113*AD113,"")</f>
        <v>0</v>
      </c>
      <c r="AF113" s="352">
        <f t="shared" ref="AF113:AF118" si="516">IFERROR(+(IF(AC113="","0",AC113))-(IF(AE113="","0",AE113)),"")</f>
        <v>0</v>
      </c>
      <c r="AG113" s="333"/>
      <c r="AH113" s="333"/>
      <c r="AI113" s="288"/>
      <c r="AJ113" s="81"/>
      <c r="AK113" s="348">
        <v>1.0</v>
      </c>
      <c r="AL113" s="349" t="s">
        <v>71</v>
      </c>
      <c r="AM113" s="350"/>
      <c r="AN113" s="351">
        <f t="shared" ref="AN113:AN118" si="517">1.16180660667508/100</f>
        <v>0.01161806607</v>
      </c>
      <c r="AO113" s="350">
        <f t="shared" ref="AO113:AO118" si="518">IFERROR(+AN113*AM113,"0")</f>
        <v>0</v>
      </c>
      <c r="AP113" s="351">
        <v>0.16716266605705102</v>
      </c>
      <c r="AQ113" s="350">
        <f t="shared" ref="AQ113:AQ118" si="519">IFERROR(+AO113*AP113,"")</f>
        <v>0</v>
      </c>
      <c r="AR113" s="352">
        <f t="shared" ref="AR113:AR118" si="520">IFERROR(+(IF(AO113="","0",AO113))-(IF(AQ113="","0",AQ113)),"")</f>
        <v>0</v>
      </c>
      <c r="AS113" s="333"/>
      <c r="AT113" s="333"/>
      <c r="AU113" s="288"/>
      <c r="AV113" s="81"/>
      <c r="AW113" s="348">
        <v>1.0</v>
      </c>
      <c r="AX113" s="349" t="s">
        <v>71</v>
      </c>
      <c r="AY113" s="350"/>
      <c r="AZ113" s="351">
        <f t="shared" ref="AZ113:AZ118" si="521">1.16180660667508/100</f>
        <v>0.01161806607</v>
      </c>
      <c r="BA113" s="350">
        <f t="shared" ref="BA113:BA118" si="522">IFERROR(+AZ113*AY113,"0")</f>
        <v>0</v>
      </c>
      <c r="BB113" s="351">
        <v>0.16716266605705102</v>
      </c>
      <c r="BC113" s="350">
        <f t="shared" ref="BC113:BC118" si="523">IFERROR(+BA113*BB113,"")</f>
        <v>0</v>
      </c>
      <c r="BD113" s="352">
        <f t="shared" ref="BD113:BD118" si="524">IFERROR(+(IF(BA113="","0",BA113))-(IF(BC113="","0",BC113)),"")</f>
        <v>0</v>
      </c>
      <c r="BE113" s="333"/>
      <c r="BF113" s="333"/>
      <c r="BG113" s="288"/>
      <c r="BH113" s="81"/>
      <c r="BI113" s="348">
        <v>1.0</v>
      </c>
      <c r="BJ113" s="349" t="s">
        <v>71</v>
      </c>
      <c r="BK113" s="350"/>
      <c r="BL113" s="351">
        <f t="shared" ref="BL113:BL118" si="525">1.16180660667508/100</f>
        <v>0.01161806607</v>
      </c>
      <c r="BM113" s="350">
        <f t="shared" ref="BM113:BM118" si="526">IFERROR(+BL113*BK113,"0")</f>
        <v>0</v>
      </c>
      <c r="BN113" s="351">
        <v>0.16716266605705102</v>
      </c>
      <c r="BO113" s="350">
        <f t="shared" ref="BO113:BO118" si="527">IFERROR(+BM113*BN113,"")</f>
        <v>0</v>
      </c>
      <c r="BP113" s="352">
        <f t="shared" ref="BP113:BP118" si="528">IFERROR(+(IF(BM113="","0",BM113))-(IF(BO113="","0",BO113)),"")</f>
        <v>0</v>
      </c>
      <c r="BQ113" s="333"/>
      <c r="BR113" s="333"/>
      <c r="BS113" s="288"/>
      <c r="BT113" s="81"/>
      <c r="BU113" s="348">
        <v>1.0</v>
      </c>
      <c r="BV113" s="349" t="s">
        <v>71</v>
      </c>
      <c r="BW113" s="350"/>
      <c r="BX113" s="351">
        <f t="shared" ref="BX113:BX118" si="529">1.16180660667508/100</f>
        <v>0.01161806607</v>
      </c>
      <c r="BY113" s="350">
        <f t="shared" ref="BY113:BY118" si="530">IFERROR(+BX113*BW113,"0")</f>
        <v>0</v>
      </c>
      <c r="BZ113" s="351">
        <v>0.16716266605705102</v>
      </c>
      <c r="CA113" s="350">
        <f t="shared" ref="CA113:CA118" si="531">IFERROR(+BY113*BZ113,"")</f>
        <v>0</v>
      </c>
      <c r="CB113" s="352">
        <f t="shared" ref="CB113:CB118" si="532">IFERROR(+(IF(BY113="","0",BY113))-(IF(CA113="","0",CA113)),"")</f>
        <v>0</v>
      </c>
      <c r="CC113" s="333"/>
      <c r="CD113" s="333"/>
      <c r="CE113" s="288"/>
      <c r="CF113" s="81"/>
      <c r="CG113" s="348">
        <v>1.0</v>
      </c>
      <c r="CH113" s="349" t="s">
        <v>71</v>
      </c>
      <c r="CI113" s="350"/>
      <c r="CJ113" s="351">
        <f t="shared" ref="CJ113:CJ118" si="533">1.16180660667508/100</f>
        <v>0.01161806607</v>
      </c>
      <c r="CK113" s="350">
        <f t="shared" ref="CK113:CK118" si="534">IFERROR(+CJ113*CI113,"0")</f>
        <v>0</v>
      </c>
      <c r="CL113" s="351">
        <v>0.16716266605705102</v>
      </c>
      <c r="CM113" s="350">
        <f t="shared" ref="CM113:CM118" si="535">IFERROR(+CK113*CL113,"")</f>
        <v>0</v>
      </c>
      <c r="CN113" s="352">
        <f t="shared" ref="CN113:CN118" si="536">IFERROR(+(IF(CK113="","0",CK113))-(IF(CM113="","0",CM113)),"")</f>
        <v>0</v>
      </c>
      <c r="CO113" s="333"/>
      <c r="CP113" s="333"/>
      <c r="CQ113" s="288"/>
      <c r="CR113" s="81"/>
      <c r="CS113" s="348">
        <v>1.0</v>
      </c>
      <c r="CT113" s="349" t="s">
        <v>71</v>
      </c>
      <c r="CU113" s="350"/>
      <c r="CV113" s="351">
        <f t="shared" ref="CV113:CV118" si="537">1.16180660667508/100</f>
        <v>0.01161806607</v>
      </c>
      <c r="CW113" s="350">
        <f t="shared" ref="CW113:CW118" si="538">IFERROR(+CV113*CU113,"0")</f>
        <v>0</v>
      </c>
      <c r="CX113" s="351">
        <v>0.16716266605705102</v>
      </c>
      <c r="CY113" s="350">
        <f t="shared" ref="CY113:CY118" si="539">IFERROR(+CW113*CX113,"")</f>
        <v>0</v>
      </c>
      <c r="CZ113" s="352">
        <f t="shared" ref="CZ113:CZ118" si="540">IFERROR(+(IF(CW113="","0",CW113))-(IF(CY113="","0",CY113)),"")</f>
        <v>0</v>
      </c>
      <c r="DA113" s="333"/>
      <c r="DB113" s="333"/>
      <c r="DC113" s="288"/>
      <c r="DD113" s="81"/>
      <c r="DE113" s="348">
        <v>1.0</v>
      </c>
      <c r="DF113" s="349" t="s">
        <v>71</v>
      </c>
      <c r="DG113" s="350">
        <f>'Hitung Output'!BJ60</f>
        <v>489585.825</v>
      </c>
      <c r="DH113" s="351">
        <f t="shared" ref="DH113:DH118" si="541">1.16180660667508/100</f>
        <v>0.01161806607</v>
      </c>
      <c r="DI113" s="353">
        <f t="shared" ref="DI113:DI118" si="542">IFERROR(+DH113*DG113,"0")</f>
        <v>5688.04046</v>
      </c>
      <c r="DJ113" s="351">
        <v>0.16716266605705102</v>
      </c>
      <c r="DK113" s="350">
        <f t="shared" ref="DK113:DK118" si="543">IFERROR(+DI113*DJ113,"")</f>
        <v>950.828008</v>
      </c>
      <c r="DL113" s="352">
        <f t="shared" ref="DL113:DL118" si="544">IFERROR(+(IF(DI113="","0",DI113))-(IF(DK113="","0",DK113)),"")</f>
        <v>4737.212452</v>
      </c>
      <c r="DM113" s="333"/>
      <c r="DN113" s="333"/>
      <c r="DO113" s="288"/>
      <c r="DP113" s="81"/>
      <c r="DQ113" s="348">
        <v>1.0</v>
      </c>
      <c r="DR113" s="349" t="s">
        <v>71</v>
      </c>
      <c r="DS113" s="350">
        <f>'Hitung Output'!BO60</f>
        <v>515440.9449</v>
      </c>
      <c r="DT113" s="351">
        <f t="shared" ref="DT113:DT118" si="545">1.16180660667508/100</f>
        <v>0.01161806607</v>
      </c>
      <c r="DU113" s="354">
        <f t="shared" ref="DU113:DU118" si="546">IFERROR(+DT113*DS113,"0")</f>
        <v>5988.426952</v>
      </c>
      <c r="DV113" s="351">
        <v>0.16716266605705102</v>
      </c>
      <c r="DW113" s="350">
        <f t="shared" ref="DW113:DW118" si="547">IFERROR(+DU113*DV113,"")</f>
        <v>1001.041415</v>
      </c>
      <c r="DX113" s="352">
        <f t="shared" ref="DX113:DX118" si="548">IFERROR(+(IF(DU113="","0",DU113))-(IF(DW113="","0",DW113)),"")</f>
        <v>4987.385537</v>
      </c>
      <c r="DY113" s="333"/>
      <c r="DZ113" s="333"/>
      <c r="EA113" s="288"/>
      <c r="EB113" s="81"/>
      <c r="EC113" s="348">
        <v>1.0</v>
      </c>
      <c r="ED113" s="349" t="s">
        <v>71</v>
      </c>
      <c r="EE113" s="350">
        <f>'Hitung Output'!BT60</f>
        <v>513174.3086</v>
      </c>
      <c r="EF113" s="351">
        <f t="shared" ref="EF113:EF118" si="549">1.16180660667508/100</f>
        <v>0.01161806607</v>
      </c>
      <c r="EG113" s="355">
        <f t="shared" ref="EG113:EG118" si="550">IFERROR(+EF113*EE113,"0")</f>
        <v>5962.093021</v>
      </c>
      <c r="EH113" s="351">
        <v>0.16716266605705102</v>
      </c>
      <c r="EI113" s="350">
        <f t="shared" ref="EI113:EI118" si="551">IFERROR(+EG113*EH113,"")</f>
        <v>996.6393647</v>
      </c>
      <c r="EJ113" s="352">
        <f t="shared" ref="EJ113:EJ118" si="552">IFERROR(+(IF(EG113="","0",EG113))-(IF(EI113="","0",EI113)),"")</f>
        <v>4965.453656</v>
      </c>
      <c r="EK113" s="333"/>
      <c r="EL113" s="333"/>
      <c r="EM113" s="288"/>
      <c r="EN113" s="81"/>
      <c r="EO113" s="348">
        <v>1.0</v>
      </c>
      <c r="EP113" s="349" t="s">
        <v>71</v>
      </c>
      <c r="EQ113" s="350">
        <f>'Hitung Output'!BY60</f>
        <v>483121.2673</v>
      </c>
      <c r="ER113" s="351">
        <f t="shared" ref="ER113:ER118" si="553">1.16180660667508/100</f>
        <v>0.01161806607</v>
      </c>
      <c r="ES113" s="356">
        <f t="shared" ref="ES113:ES118" si="554">IFERROR(+ER113*EQ113,"0")</f>
        <v>5612.934801</v>
      </c>
      <c r="ET113" s="351">
        <v>0.16716266605705102</v>
      </c>
      <c r="EU113" s="350">
        <f t="shared" ref="EU113:EU118" si="555">IFERROR(+ES113*ET113,"")</f>
        <v>938.2731458</v>
      </c>
      <c r="EV113" s="352">
        <f t="shared" ref="EV113:EV118" si="556">IFERROR(+(IF(ES113="","0",ES113))-(IF(EU113="","0",EU113)),"")</f>
        <v>4674.661655</v>
      </c>
      <c r="EW113" s="333"/>
      <c r="EX113" s="333"/>
      <c r="EY113" s="288"/>
      <c r="EZ113" s="81"/>
      <c r="FA113" s="348">
        <v>1.0</v>
      </c>
      <c r="FB113" s="349" t="s">
        <v>71</v>
      </c>
      <c r="FC113" s="350">
        <f>'Hitung Output'!CD60</f>
        <v>473395.3289</v>
      </c>
      <c r="FD113" s="351">
        <f t="shared" ref="FD113:FD118" si="557">1.16180660667508/100</f>
        <v>0.01161806607</v>
      </c>
      <c r="FE113" s="350">
        <f t="shared" ref="FE113:FE118" si="558">IFERROR(+FD113*FC113,"0")</f>
        <v>5499.938207</v>
      </c>
      <c r="FF113" s="351">
        <v>0.16716266605705102</v>
      </c>
      <c r="FG113" s="350">
        <f t="shared" ref="FG113:FG118" si="559">IFERROR(+FE113*FF113,"")</f>
        <v>919.3843338</v>
      </c>
      <c r="FH113" s="352">
        <f t="shared" ref="FH113:FH118" si="560">IFERROR(+(IF(FE113="","0",FE113))-(IF(FG113="","0",FG113)),"")</f>
        <v>4580.553873</v>
      </c>
      <c r="FI113" s="333"/>
      <c r="FJ113" s="333"/>
      <c r="FK113" s="288"/>
      <c r="FL113" s="81"/>
      <c r="FM113" s="348">
        <v>1.0</v>
      </c>
      <c r="FN113" s="349" t="s">
        <v>71</v>
      </c>
      <c r="FO113" s="350">
        <f>'Hitung Output'!CI60</f>
        <v>547782.1012</v>
      </c>
      <c r="FP113" s="351">
        <f t="shared" ref="FP113:FP118" si="561">1.16180660667508/100</f>
        <v>0.01161806607</v>
      </c>
      <c r="FQ113" s="350">
        <f t="shared" ref="FQ113:FQ118" si="562">IFERROR(+FP113*FO113,"0")</f>
        <v>6364.168642</v>
      </c>
      <c r="FR113" s="351">
        <v>0.16716266605705102</v>
      </c>
      <c r="FS113" s="350">
        <f t="shared" ref="FS113:FS118" si="563">IFERROR(+FQ113*FR113,"")</f>
        <v>1063.851397</v>
      </c>
      <c r="FT113" s="352">
        <f t="shared" ref="FT113:FT118" si="564">IFERROR(+(IF(FQ113="","0",FQ113))-(IF(FS113="","0",FS113)),"")</f>
        <v>5300.317244</v>
      </c>
      <c r="FU113" s="333"/>
      <c r="FV113" s="333"/>
      <c r="FW113" s="288"/>
      <c r="FX113" s="81"/>
      <c r="FY113" s="348">
        <v>1.0</v>
      </c>
      <c r="FZ113" s="349" t="s">
        <v>71</v>
      </c>
      <c r="GA113" s="350">
        <f>'Hitung Output'!CN60</f>
        <v>580182.8803</v>
      </c>
      <c r="GB113" s="351">
        <f t="shared" ref="GB113:GB118" si="565">1.16180660667508/100</f>
        <v>0.01161806607</v>
      </c>
      <c r="GC113" s="350">
        <f t="shared" ref="GC113:GC118" si="566">IFERROR(+GB113*GA113,"0")</f>
        <v>6740.603034</v>
      </c>
      <c r="GD113" s="351">
        <v>0.16716266605705102</v>
      </c>
      <c r="GE113" s="350">
        <f t="shared" ref="GE113:GE118" si="567">IFERROR(+GC113*GD113,"")</f>
        <v>1126.777174</v>
      </c>
      <c r="GF113" s="352">
        <f t="shared" ref="GF113:GF118" si="568">IFERROR(+(IF(GC113="","0",GC113))-(IF(GE113="","0",GE113)),"")</f>
        <v>5613.82586</v>
      </c>
      <c r="GG113" s="333"/>
      <c r="GH113" s="333"/>
      <c r="GI113" s="288"/>
      <c r="GJ113" s="81"/>
      <c r="GK113" s="348">
        <v>1.0</v>
      </c>
      <c r="GL113" s="349" t="s">
        <v>71</v>
      </c>
      <c r="GM113" s="350"/>
      <c r="GN113" s="351">
        <f t="shared" ref="GN113:GN118" si="569">1.16180660667508/100</f>
        <v>0.01161806607</v>
      </c>
      <c r="GO113" s="350">
        <f t="shared" ref="GO113:GO118" si="570">IFERROR(+GN113*GM113,"0")</f>
        <v>0</v>
      </c>
      <c r="GP113" s="351">
        <v>0.16716266605705102</v>
      </c>
      <c r="GQ113" s="350">
        <f t="shared" ref="GQ113:GQ118" si="571">IFERROR(+GO113*GP113,"")</f>
        <v>0</v>
      </c>
      <c r="GR113" s="352">
        <f t="shared" ref="GR113:GR118" si="572">IFERROR(+(IF(GO113="","0",GO113))-(IF(GQ113="","0",GQ113)),"")</f>
        <v>0</v>
      </c>
      <c r="GS113" s="333"/>
      <c r="GT113" s="333"/>
      <c r="GU113" s="288"/>
      <c r="GV113" s="81"/>
      <c r="GW113" s="348">
        <v>1.0</v>
      </c>
      <c r="GX113" s="349" t="s">
        <v>71</v>
      </c>
      <c r="GY113" s="350"/>
      <c r="GZ113" s="351">
        <f t="shared" ref="GZ113:GZ118" si="573">1.16180660667508/100</f>
        <v>0.01161806607</v>
      </c>
      <c r="HA113" s="350">
        <f t="shared" ref="HA113:HA118" si="574">IFERROR(+GZ113*GY113,"0")</f>
        <v>0</v>
      </c>
      <c r="HB113" s="351">
        <v>0.16716266605705102</v>
      </c>
      <c r="HC113" s="350">
        <f t="shared" ref="HC113:HC118" si="575">IFERROR(+HA113*HB113,"")</f>
        <v>0</v>
      </c>
      <c r="HD113" s="352">
        <f t="shared" ref="HD113:HD118" si="576">IFERROR(+(IF(HA113="","0",HA113))-(IF(HC113="","0",HC113)),"")</f>
        <v>0</v>
      </c>
      <c r="HE113" s="333"/>
      <c r="HF113" s="333"/>
      <c r="HG113" s="288"/>
      <c r="HH113" s="81"/>
      <c r="HI113" s="75"/>
    </row>
    <row r="114" ht="15.75" customHeight="1">
      <c r="A114" s="348">
        <f t="shared" ref="A114:A118" si="577">A113+1</f>
        <v>2</v>
      </c>
      <c r="B114" s="349" t="s">
        <v>72</v>
      </c>
      <c r="C114" s="350"/>
      <c r="D114" s="351">
        <f t="shared" si="505"/>
        <v>0.01161806607</v>
      </c>
      <c r="E114" s="350">
        <f t="shared" si="506"/>
        <v>0</v>
      </c>
      <c r="F114" s="351">
        <v>0.16716266605705102</v>
      </c>
      <c r="G114" s="350">
        <f t="shared" si="507"/>
        <v>0</v>
      </c>
      <c r="H114" s="352">
        <f t="shared" si="508"/>
        <v>0</v>
      </c>
      <c r="I114" s="333"/>
      <c r="J114" s="333"/>
      <c r="K114" s="288"/>
      <c r="L114" s="81"/>
      <c r="M114" s="348">
        <f t="shared" ref="M114:M118" si="578">M113+1</f>
        <v>2</v>
      </c>
      <c r="N114" s="349" t="s">
        <v>72</v>
      </c>
      <c r="O114" s="350"/>
      <c r="P114" s="351">
        <f t="shared" si="509"/>
        <v>0.01161806607</v>
      </c>
      <c r="Q114" s="350">
        <f t="shared" si="510"/>
        <v>0</v>
      </c>
      <c r="R114" s="351">
        <v>0.16716266605705102</v>
      </c>
      <c r="S114" s="350">
        <f t="shared" si="511"/>
        <v>0</v>
      </c>
      <c r="T114" s="352">
        <f t="shared" si="512"/>
        <v>0</v>
      </c>
      <c r="U114" s="333"/>
      <c r="V114" s="333"/>
      <c r="W114" s="288"/>
      <c r="X114" s="81"/>
      <c r="Y114" s="348">
        <f t="shared" ref="Y114:Y118" si="579">Y113+1</f>
        <v>2</v>
      </c>
      <c r="Z114" s="349" t="s">
        <v>72</v>
      </c>
      <c r="AA114" s="350"/>
      <c r="AB114" s="351">
        <f t="shared" si="513"/>
        <v>0.01161806607</v>
      </c>
      <c r="AC114" s="350">
        <f t="shared" si="514"/>
        <v>0</v>
      </c>
      <c r="AD114" s="351">
        <v>0.16716266605705102</v>
      </c>
      <c r="AE114" s="350">
        <f t="shared" si="515"/>
        <v>0</v>
      </c>
      <c r="AF114" s="352">
        <f t="shared" si="516"/>
        <v>0</v>
      </c>
      <c r="AG114" s="333"/>
      <c r="AH114" s="333"/>
      <c r="AI114" s="288"/>
      <c r="AJ114" s="81"/>
      <c r="AK114" s="348">
        <f t="shared" ref="AK114:AK118" si="580">AK113+1</f>
        <v>2</v>
      </c>
      <c r="AL114" s="349" t="s">
        <v>72</v>
      </c>
      <c r="AM114" s="350"/>
      <c r="AN114" s="351">
        <f t="shared" si="517"/>
        <v>0.01161806607</v>
      </c>
      <c r="AO114" s="350">
        <f t="shared" si="518"/>
        <v>0</v>
      </c>
      <c r="AP114" s="351">
        <v>0.16716266605705102</v>
      </c>
      <c r="AQ114" s="350">
        <f t="shared" si="519"/>
        <v>0</v>
      </c>
      <c r="AR114" s="352">
        <f t="shared" si="520"/>
        <v>0</v>
      </c>
      <c r="AS114" s="333"/>
      <c r="AT114" s="333"/>
      <c r="AU114" s="288"/>
      <c r="AV114" s="81"/>
      <c r="AW114" s="348">
        <f t="shared" ref="AW114:AW118" si="581">AW113+1</f>
        <v>2</v>
      </c>
      <c r="AX114" s="349" t="s">
        <v>72</v>
      </c>
      <c r="AY114" s="350"/>
      <c r="AZ114" s="351">
        <f t="shared" si="521"/>
        <v>0.01161806607</v>
      </c>
      <c r="BA114" s="350">
        <f t="shared" si="522"/>
        <v>0</v>
      </c>
      <c r="BB114" s="351">
        <v>0.16716266605705102</v>
      </c>
      <c r="BC114" s="350">
        <f t="shared" si="523"/>
        <v>0</v>
      </c>
      <c r="BD114" s="352">
        <f t="shared" si="524"/>
        <v>0</v>
      </c>
      <c r="BE114" s="333"/>
      <c r="BF114" s="333"/>
      <c r="BG114" s="288"/>
      <c r="BH114" s="81"/>
      <c r="BI114" s="348">
        <f t="shared" ref="BI114:BI118" si="582">BI113+1</f>
        <v>2</v>
      </c>
      <c r="BJ114" s="349" t="s">
        <v>72</v>
      </c>
      <c r="BK114" s="350"/>
      <c r="BL114" s="351">
        <f t="shared" si="525"/>
        <v>0.01161806607</v>
      </c>
      <c r="BM114" s="350">
        <f t="shared" si="526"/>
        <v>0</v>
      </c>
      <c r="BN114" s="351">
        <v>0.16716266605705102</v>
      </c>
      <c r="BO114" s="350">
        <f t="shared" si="527"/>
        <v>0</v>
      </c>
      <c r="BP114" s="352">
        <f t="shared" si="528"/>
        <v>0</v>
      </c>
      <c r="BQ114" s="333"/>
      <c r="BR114" s="333"/>
      <c r="BS114" s="288"/>
      <c r="BT114" s="81"/>
      <c r="BU114" s="348">
        <f t="shared" ref="BU114:BU118" si="583">BU113+1</f>
        <v>2</v>
      </c>
      <c r="BV114" s="349" t="s">
        <v>72</v>
      </c>
      <c r="BW114" s="350"/>
      <c r="BX114" s="351">
        <f t="shared" si="529"/>
        <v>0.01161806607</v>
      </c>
      <c r="BY114" s="350">
        <f t="shared" si="530"/>
        <v>0</v>
      </c>
      <c r="BZ114" s="351">
        <v>0.16716266605705102</v>
      </c>
      <c r="CA114" s="350">
        <f t="shared" si="531"/>
        <v>0</v>
      </c>
      <c r="CB114" s="352">
        <f t="shared" si="532"/>
        <v>0</v>
      </c>
      <c r="CC114" s="333"/>
      <c r="CD114" s="333"/>
      <c r="CE114" s="288"/>
      <c r="CF114" s="81"/>
      <c r="CG114" s="348">
        <f t="shared" ref="CG114:CG118" si="584">CG113+1</f>
        <v>2</v>
      </c>
      <c r="CH114" s="349" t="s">
        <v>72</v>
      </c>
      <c r="CI114" s="350"/>
      <c r="CJ114" s="351">
        <f t="shared" si="533"/>
        <v>0.01161806607</v>
      </c>
      <c r="CK114" s="350">
        <f t="shared" si="534"/>
        <v>0</v>
      </c>
      <c r="CL114" s="351">
        <v>0.16716266605705102</v>
      </c>
      <c r="CM114" s="350">
        <f t="shared" si="535"/>
        <v>0</v>
      </c>
      <c r="CN114" s="352">
        <f t="shared" si="536"/>
        <v>0</v>
      </c>
      <c r="CO114" s="333"/>
      <c r="CP114" s="333"/>
      <c r="CQ114" s="288"/>
      <c r="CR114" s="81"/>
      <c r="CS114" s="348">
        <f t="shared" ref="CS114:CS118" si="585">CS113+1</f>
        <v>2</v>
      </c>
      <c r="CT114" s="349" t="s">
        <v>72</v>
      </c>
      <c r="CU114" s="350"/>
      <c r="CV114" s="351">
        <f t="shared" si="537"/>
        <v>0.01161806607</v>
      </c>
      <c r="CW114" s="350">
        <f t="shared" si="538"/>
        <v>0</v>
      </c>
      <c r="CX114" s="351">
        <v>0.16716266605705102</v>
      </c>
      <c r="CY114" s="350">
        <f t="shared" si="539"/>
        <v>0</v>
      </c>
      <c r="CZ114" s="352">
        <f t="shared" si="540"/>
        <v>0</v>
      </c>
      <c r="DA114" s="333"/>
      <c r="DB114" s="333"/>
      <c r="DC114" s="288"/>
      <c r="DD114" s="81"/>
      <c r="DE114" s="348">
        <f t="shared" ref="DE114:DE118" si="586">DE113+1</f>
        <v>2</v>
      </c>
      <c r="DF114" s="349" t="s">
        <v>72</v>
      </c>
      <c r="DG114" s="350">
        <f>'Hitung Output'!BJ61</f>
        <v>85568.25672</v>
      </c>
      <c r="DH114" s="351">
        <f t="shared" si="541"/>
        <v>0.01161806607</v>
      </c>
      <c r="DI114" s="353">
        <f t="shared" si="542"/>
        <v>994.1376598</v>
      </c>
      <c r="DJ114" s="351">
        <v>0.16716266605705102</v>
      </c>
      <c r="DK114" s="350">
        <f t="shared" si="543"/>
        <v>166.1827016</v>
      </c>
      <c r="DL114" s="352">
        <f t="shared" si="544"/>
        <v>827.9549582</v>
      </c>
      <c r="DM114" s="333"/>
      <c r="DN114" s="333"/>
      <c r="DO114" s="288"/>
      <c r="DP114" s="81"/>
      <c r="DQ114" s="348">
        <f t="shared" ref="DQ114:DQ118" si="587">DQ113+1</f>
        <v>2</v>
      </c>
      <c r="DR114" s="349" t="s">
        <v>72</v>
      </c>
      <c r="DS114" s="350">
        <f>'Hitung Output'!BO61</f>
        <v>83111.48536</v>
      </c>
      <c r="DT114" s="351">
        <f t="shared" si="545"/>
        <v>0.01161806607</v>
      </c>
      <c r="DU114" s="354">
        <f t="shared" si="546"/>
        <v>965.5947278</v>
      </c>
      <c r="DV114" s="351">
        <v>0.16716266605705102</v>
      </c>
      <c r="DW114" s="350">
        <f t="shared" si="547"/>
        <v>161.411389</v>
      </c>
      <c r="DX114" s="352">
        <f t="shared" si="548"/>
        <v>804.1833388</v>
      </c>
      <c r="DY114" s="333"/>
      <c r="DZ114" s="333"/>
      <c r="EA114" s="288"/>
      <c r="EB114" s="81"/>
      <c r="EC114" s="348">
        <f t="shared" ref="EC114:EC118" si="588">EC113+1</f>
        <v>2</v>
      </c>
      <c r="ED114" s="349" t="s">
        <v>72</v>
      </c>
      <c r="EE114" s="350">
        <f>'Hitung Output'!BT61</f>
        <v>81948.62709</v>
      </c>
      <c r="EF114" s="351">
        <f t="shared" si="549"/>
        <v>0.01161806607</v>
      </c>
      <c r="EG114" s="355">
        <f t="shared" si="550"/>
        <v>952.0845636</v>
      </c>
      <c r="EH114" s="351">
        <v>0.16716266605705102</v>
      </c>
      <c r="EI114" s="350">
        <f t="shared" si="551"/>
        <v>159.152994</v>
      </c>
      <c r="EJ114" s="352">
        <f t="shared" si="552"/>
        <v>792.9315697</v>
      </c>
      <c r="EK114" s="333"/>
      <c r="EL114" s="333"/>
      <c r="EM114" s="288"/>
      <c r="EN114" s="81"/>
      <c r="EO114" s="348">
        <f t="shared" ref="EO114:EO118" si="589">EO113+1</f>
        <v>2</v>
      </c>
      <c r="EP114" s="349" t="s">
        <v>72</v>
      </c>
      <c r="EQ114" s="350">
        <f>'Hitung Output'!BY61</f>
        <v>89196.67986</v>
      </c>
      <c r="ER114" s="351">
        <f t="shared" si="553"/>
        <v>0.01161806607</v>
      </c>
      <c r="ES114" s="356">
        <f t="shared" si="554"/>
        <v>1036.29292</v>
      </c>
      <c r="ET114" s="351">
        <v>0.16716266605705102</v>
      </c>
      <c r="EU114" s="350">
        <f t="shared" si="555"/>
        <v>173.2294872</v>
      </c>
      <c r="EV114" s="352">
        <f t="shared" si="556"/>
        <v>863.0634323</v>
      </c>
      <c r="EW114" s="333"/>
      <c r="EX114" s="333"/>
      <c r="EY114" s="288"/>
      <c r="EZ114" s="81"/>
      <c r="FA114" s="348">
        <f t="shared" ref="FA114:FA118" si="590">FA113+1</f>
        <v>2</v>
      </c>
      <c r="FB114" s="349" t="s">
        <v>72</v>
      </c>
      <c r="FC114" s="350">
        <f>'Hitung Output'!CD61</f>
        <v>85668.89021</v>
      </c>
      <c r="FD114" s="351">
        <f t="shared" si="557"/>
        <v>0.01161806607</v>
      </c>
      <c r="FE114" s="350">
        <f t="shared" si="558"/>
        <v>995.3068263</v>
      </c>
      <c r="FF114" s="351">
        <v>0.16716266605705102</v>
      </c>
      <c r="FG114" s="350">
        <f t="shared" si="559"/>
        <v>166.3781426</v>
      </c>
      <c r="FH114" s="352">
        <f t="shared" si="560"/>
        <v>828.9286837</v>
      </c>
      <c r="FI114" s="333"/>
      <c r="FJ114" s="333"/>
      <c r="FK114" s="288"/>
      <c r="FL114" s="81"/>
      <c r="FM114" s="348">
        <f t="shared" ref="FM114:FM118" si="591">FM113+1</f>
        <v>2</v>
      </c>
      <c r="FN114" s="349" t="s">
        <v>72</v>
      </c>
      <c r="FO114" s="350">
        <f>'Hitung Output'!CI61</f>
        <v>90986.52894</v>
      </c>
      <c r="FP114" s="351">
        <f t="shared" si="561"/>
        <v>0.01161806607</v>
      </c>
      <c r="FQ114" s="350">
        <f t="shared" si="562"/>
        <v>1057.087504</v>
      </c>
      <c r="FR114" s="351">
        <v>0.16716266605705102</v>
      </c>
      <c r="FS114" s="350">
        <f t="shared" si="563"/>
        <v>176.7055655</v>
      </c>
      <c r="FT114" s="352">
        <f t="shared" si="564"/>
        <v>880.3819389</v>
      </c>
      <c r="FU114" s="333"/>
      <c r="FV114" s="333"/>
      <c r="FW114" s="288"/>
      <c r="FX114" s="81"/>
      <c r="FY114" s="348">
        <f t="shared" ref="FY114:FY118" si="592">FY113+1</f>
        <v>2</v>
      </c>
      <c r="FZ114" s="349" t="s">
        <v>72</v>
      </c>
      <c r="GA114" s="350">
        <f>'Hitung Output'!CN61</f>
        <v>91312.15849</v>
      </c>
      <c r="GB114" s="351">
        <f t="shared" si="565"/>
        <v>0.01161806607</v>
      </c>
      <c r="GC114" s="350">
        <f t="shared" si="566"/>
        <v>1060.87069</v>
      </c>
      <c r="GD114" s="351">
        <v>0.16716266605705102</v>
      </c>
      <c r="GE114" s="350">
        <f t="shared" si="567"/>
        <v>177.3379729</v>
      </c>
      <c r="GF114" s="352">
        <f t="shared" si="568"/>
        <v>883.5327171</v>
      </c>
      <c r="GG114" s="333"/>
      <c r="GH114" s="333"/>
      <c r="GI114" s="288"/>
      <c r="GJ114" s="81"/>
      <c r="GK114" s="348">
        <f t="shared" ref="GK114:GK118" si="593">GK113+1</f>
        <v>2</v>
      </c>
      <c r="GL114" s="349" t="s">
        <v>72</v>
      </c>
      <c r="GM114" s="350"/>
      <c r="GN114" s="351">
        <f t="shared" si="569"/>
        <v>0.01161806607</v>
      </c>
      <c r="GO114" s="350">
        <f t="shared" si="570"/>
        <v>0</v>
      </c>
      <c r="GP114" s="351">
        <v>0.16716266605705102</v>
      </c>
      <c r="GQ114" s="350">
        <f t="shared" si="571"/>
        <v>0</v>
      </c>
      <c r="GR114" s="352">
        <f t="shared" si="572"/>
        <v>0</v>
      </c>
      <c r="GS114" s="333"/>
      <c r="GT114" s="333"/>
      <c r="GU114" s="288"/>
      <c r="GV114" s="81"/>
      <c r="GW114" s="348">
        <f t="shared" ref="GW114:GW118" si="594">GW113+1</f>
        <v>2</v>
      </c>
      <c r="GX114" s="349" t="s">
        <v>72</v>
      </c>
      <c r="GY114" s="350"/>
      <c r="GZ114" s="351">
        <f t="shared" si="573"/>
        <v>0.01161806607</v>
      </c>
      <c r="HA114" s="350">
        <f t="shared" si="574"/>
        <v>0</v>
      </c>
      <c r="HB114" s="351">
        <v>0.16716266605705102</v>
      </c>
      <c r="HC114" s="350">
        <f t="shared" si="575"/>
        <v>0</v>
      </c>
      <c r="HD114" s="352">
        <f t="shared" si="576"/>
        <v>0</v>
      </c>
      <c r="HE114" s="333"/>
      <c r="HF114" s="333"/>
      <c r="HG114" s="288"/>
      <c r="HH114" s="81"/>
      <c r="HI114" s="75"/>
    </row>
    <row r="115" ht="15.75" customHeight="1">
      <c r="A115" s="348">
        <f t="shared" si="577"/>
        <v>3</v>
      </c>
      <c r="B115" s="349" t="s">
        <v>73</v>
      </c>
      <c r="C115" s="350"/>
      <c r="D115" s="351">
        <f t="shared" si="505"/>
        <v>0.01161806607</v>
      </c>
      <c r="E115" s="350">
        <f t="shared" si="506"/>
        <v>0</v>
      </c>
      <c r="F115" s="351">
        <v>0.16716266605705102</v>
      </c>
      <c r="G115" s="350">
        <f t="shared" si="507"/>
        <v>0</v>
      </c>
      <c r="H115" s="352">
        <f t="shared" si="508"/>
        <v>0</v>
      </c>
      <c r="I115" s="333"/>
      <c r="J115" s="333"/>
      <c r="K115" s="288"/>
      <c r="L115" s="81"/>
      <c r="M115" s="348">
        <f t="shared" si="578"/>
        <v>3</v>
      </c>
      <c r="N115" s="349" t="s">
        <v>73</v>
      </c>
      <c r="O115" s="350"/>
      <c r="P115" s="351">
        <f t="shared" si="509"/>
        <v>0.01161806607</v>
      </c>
      <c r="Q115" s="350">
        <f t="shared" si="510"/>
        <v>0</v>
      </c>
      <c r="R115" s="351">
        <v>0.16716266605705102</v>
      </c>
      <c r="S115" s="350">
        <f t="shared" si="511"/>
        <v>0</v>
      </c>
      <c r="T115" s="352">
        <f t="shared" si="512"/>
        <v>0</v>
      </c>
      <c r="U115" s="333"/>
      <c r="V115" s="333"/>
      <c r="W115" s="288"/>
      <c r="X115" s="81"/>
      <c r="Y115" s="348">
        <f t="shared" si="579"/>
        <v>3</v>
      </c>
      <c r="Z115" s="349" t="s">
        <v>73</v>
      </c>
      <c r="AA115" s="350"/>
      <c r="AB115" s="351">
        <f t="shared" si="513"/>
        <v>0.01161806607</v>
      </c>
      <c r="AC115" s="350">
        <f t="shared" si="514"/>
        <v>0</v>
      </c>
      <c r="AD115" s="351">
        <v>0.16716266605705102</v>
      </c>
      <c r="AE115" s="350">
        <f t="shared" si="515"/>
        <v>0</v>
      </c>
      <c r="AF115" s="352">
        <f t="shared" si="516"/>
        <v>0</v>
      </c>
      <c r="AG115" s="333"/>
      <c r="AH115" s="333"/>
      <c r="AI115" s="288"/>
      <c r="AJ115" s="81"/>
      <c r="AK115" s="348">
        <f t="shared" si="580"/>
        <v>3</v>
      </c>
      <c r="AL115" s="349" t="s">
        <v>73</v>
      </c>
      <c r="AM115" s="350"/>
      <c r="AN115" s="351">
        <f t="shared" si="517"/>
        <v>0.01161806607</v>
      </c>
      <c r="AO115" s="350">
        <f t="shared" si="518"/>
        <v>0</v>
      </c>
      <c r="AP115" s="351">
        <v>0.16716266605705102</v>
      </c>
      <c r="AQ115" s="350">
        <f t="shared" si="519"/>
        <v>0</v>
      </c>
      <c r="AR115" s="352">
        <f t="shared" si="520"/>
        <v>0</v>
      </c>
      <c r="AS115" s="333"/>
      <c r="AT115" s="333"/>
      <c r="AU115" s="288"/>
      <c r="AV115" s="81"/>
      <c r="AW115" s="348">
        <f t="shared" si="581"/>
        <v>3</v>
      </c>
      <c r="AX115" s="349" t="s">
        <v>73</v>
      </c>
      <c r="AY115" s="350"/>
      <c r="AZ115" s="351">
        <f t="shared" si="521"/>
        <v>0.01161806607</v>
      </c>
      <c r="BA115" s="350">
        <f t="shared" si="522"/>
        <v>0</v>
      </c>
      <c r="BB115" s="351">
        <v>0.16716266605705102</v>
      </c>
      <c r="BC115" s="350">
        <f t="shared" si="523"/>
        <v>0</v>
      </c>
      <c r="BD115" s="352">
        <f t="shared" si="524"/>
        <v>0</v>
      </c>
      <c r="BE115" s="333"/>
      <c r="BF115" s="333"/>
      <c r="BG115" s="288"/>
      <c r="BH115" s="81"/>
      <c r="BI115" s="348">
        <f t="shared" si="582"/>
        <v>3</v>
      </c>
      <c r="BJ115" s="349" t="s">
        <v>73</v>
      </c>
      <c r="BK115" s="350"/>
      <c r="BL115" s="351">
        <f t="shared" si="525"/>
        <v>0.01161806607</v>
      </c>
      <c r="BM115" s="350">
        <f t="shared" si="526"/>
        <v>0</v>
      </c>
      <c r="BN115" s="351">
        <v>0.16716266605705102</v>
      </c>
      <c r="BO115" s="350">
        <f t="shared" si="527"/>
        <v>0</v>
      </c>
      <c r="BP115" s="352">
        <f t="shared" si="528"/>
        <v>0</v>
      </c>
      <c r="BQ115" s="333"/>
      <c r="BR115" s="333"/>
      <c r="BS115" s="288"/>
      <c r="BT115" s="81"/>
      <c r="BU115" s="348">
        <f t="shared" si="583"/>
        <v>3</v>
      </c>
      <c r="BV115" s="349" t="s">
        <v>73</v>
      </c>
      <c r="BW115" s="350"/>
      <c r="BX115" s="351">
        <f t="shared" si="529"/>
        <v>0.01161806607</v>
      </c>
      <c r="BY115" s="350">
        <f t="shared" si="530"/>
        <v>0</v>
      </c>
      <c r="BZ115" s="351">
        <v>0.16716266605705102</v>
      </c>
      <c r="CA115" s="350">
        <f t="shared" si="531"/>
        <v>0</v>
      </c>
      <c r="CB115" s="352">
        <f t="shared" si="532"/>
        <v>0</v>
      </c>
      <c r="CC115" s="333"/>
      <c r="CD115" s="333"/>
      <c r="CE115" s="288"/>
      <c r="CF115" s="81"/>
      <c r="CG115" s="348">
        <f t="shared" si="584"/>
        <v>3</v>
      </c>
      <c r="CH115" s="349" t="s">
        <v>73</v>
      </c>
      <c r="CI115" s="350"/>
      <c r="CJ115" s="351">
        <f t="shared" si="533"/>
        <v>0.01161806607</v>
      </c>
      <c r="CK115" s="350">
        <f t="shared" si="534"/>
        <v>0</v>
      </c>
      <c r="CL115" s="351">
        <v>0.16716266605705102</v>
      </c>
      <c r="CM115" s="350">
        <f t="shared" si="535"/>
        <v>0</v>
      </c>
      <c r="CN115" s="352">
        <f t="shared" si="536"/>
        <v>0</v>
      </c>
      <c r="CO115" s="333"/>
      <c r="CP115" s="333"/>
      <c r="CQ115" s="288"/>
      <c r="CR115" s="81"/>
      <c r="CS115" s="348">
        <f t="shared" si="585"/>
        <v>3</v>
      </c>
      <c r="CT115" s="349" t="s">
        <v>73</v>
      </c>
      <c r="CU115" s="350"/>
      <c r="CV115" s="351">
        <f t="shared" si="537"/>
        <v>0.01161806607</v>
      </c>
      <c r="CW115" s="350">
        <f t="shared" si="538"/>
        <v>0</v>
      </c>
      <c r="CX115" s="351">
        <v>0.16716266605705102</v>
      </c>
      <c r="CY115" s="350">
        <f t="shared" si="539"/>
        <v>0</v>
      </c>
      <c r="CZ115" s="352">
        <f t="shared" si="540"/>
        <v>0</v>
      </c>
      <c r="DA115" s="333"/>
      <c r="DB115" s="333"/>
      <c r="DC115" s="288"/>
      <c r="DD115" s="81"/>
      <c r="DE115" s="348">
        <f t="shared" si="586"/>
        <v>3</v>
      </c>
      <c r="DF115" s="349" t="s">
        <v>73</v>
      </c>
      <c r="DG115" s="350">
        <f>'Hitung Output'!BJ62</f>
        <v>22819.86958</v>
      </c>
      <c r="DH115" s="351">
        <f t="shared" si="541"/>
        <v>0.01161806607</v>
      </c>
      <c r="DI115" s="353">
        <f t="shared" si="542"/>
        <v>265.1227524</v>
      </c>
      <c r="DJ115" s="351">
        <v>0.16716266605705102</v>
      </c>
      <c r="DK115" s="350">
        <f t="shared" si="543"/>
        <v>44.31862612</v>
      </c>
      <c r="DL115" s="352">
        <f t="shared" si="544"/>
        <v>220.8041262</v>
      </c>
      <c r="DM115" s="333"/>
      <c r="DN115" s="333"/>
      <c r="DO115" s="288"/>
      <c r="DP115" s="81"/>
      <c r="DQ115" s="348">
        <f t="shared" si="587"/>
        <v>3</v>
      </c>
      <c r="DR115" s="349" t="s">
        <v>73</v>
      </c>
      <c r="DS115" s="350">
        <f>'Hitung Output'!BO62</f>
        <v>23473.34583</v>
      </c>
      <c r="DT115" s="351">
        <f t="shared" si="545"/>
        <v>0.01161806607</v>
      </c>
      <c r="DU115" s="354">
        <f t="shared" si="546"/>
        <v>272.7148827</v>
      </c>
      <c r="DV115" s="351">
        <v>0.16716266605705102</v>
      </c>
      <c r="DW115" s="350">
        <f t="shared" si="547"/>
        <v>45.58774686</v>
      </c>
      <c r="DX115" s="352">
        <f t="shared" si="548"/>
        <v>227.1271358</v>
      </c>
      <c r="DY115" s="333"/>
      <c r="DZ115" s="333"/>
      <c r="EA115" s="288"/>
      <c r="EB115" s="81"/>
      <c r="EC115" s="348">
        <f t="shared" si="588"/>
        <v>3</v>
      </c>
      <c r="ED115" s="349" t="s">
        <v>73</v>
      </c>
      <c r="EE115" s="350">
        <f>'Hitung Output'!BT62</f>
        <v>41902.16693</v>
      </c>
      <c r="EF115" s="351">
        <f t="shared" si="549"/>
        <v>0.01161806607</v>
      </c>
      <c r="EG115" s="355">
        <f t="shared" si="550"/>
        <v>486.8221438</v>
      </c>
      <c r="EH115" s="351">
        <v>0.16716266605705102</v>
      </c>
      <c r="EI115" s="350">
        <f t="shared" si="551"/>
        <v>81.37848745</v>
      </c>
      <c r="EJ115" s="352">
        <f t="shared" si="552"/>
        <v>405.4436563</v>
      </c>
      <c r="EK115" s="333"/>
      <c r="EL115" s="333"/>
      <c r="EM115" s="288"/>
      <c r="EN115" s="81"/>
      <c r="EO115" s="348">
        <f t="shared" si="589"/>
        <v>3</v>
      </c>
      <c r="EP115" s="349" t="s">
        <v>73</v>
      </c>
      <c r="EQ115" s="350">
        <f>'Hitung Output'!BY62</f>
        <v>41842.55671</v>
      </c>
      <c r="ER115" s="351">
        <f t="shared" si="553"/>
        <v>0.01161806607</v>
      </c>
      <c r="ES115" s="356">
        <f t="shared" si="554"/>
        <v>486.1295883</v>
      </c>
      <c r="ET115" s="351">
        <v>0.16716266605705102</v>
      </c>
      <c r="EU115" s="350">
        <f t="shared" si="555"/>
        <v>81.26271803</v>
      </c>
      <c r="EV115" s="352">
        <f t="shared" si="556"/>
        <v>404.8668703</v>
      </c>
      <c r="EW115" s="333"/>
      <c r="EX115" s="333"/>
      <c r="EY115" s="288"/>
      <c r="EZ115" s="81"/>
      <c r="FA115" s="348">
        <f t="shared" si="590"/>
        <v>3</v>
      </c>
      <c r="FB115" s="349" t="s">
        <v>73</v>
      </c>
      <c r="FC115" s="350">
        <f>'Hitung Output'!CD62</f>
        <v>47034.34918</v>
      </c>
      <c r="FD115" s="351">
        <f t="shared" si="557"/>
        <v>0.01161806607</v>
      </c>
      <c r="FE115" s="350">
        <f t="shared" si="558"/>
        <v>546.4481762</v>
      </c>
      <c r="FF115" s="351">
        <v>0.16716266605705102</v>
      </c>
      <c r="FG115" s="350">
        <f t="shared" si="559"/>
        <v>91.345734</v>
      </c>
      <c r="FH115" s="352">
        <f t="shared" si="560"/>
        <v>455.1024422</v>
      </c>
      <c r="FI115" s="333"/>
      <c r="FJ115" s="333"/>
      <c r="FK115" s="288"/>
      <c r="FL115" s="81"/>
      <c r="FM115" s="348">
        <f t="shared" si="591"/>
        <v>3</v>
      </c>
      <c r="FN115" s="349" t="s">
        <v>73</v>
      </c>
      <c r="FO115" s="350">
        <f>'Hitung Output'!CI62</f>
        <v>107937.866</v>
      </c>
      <c r="FP115" s="351">
        <f t="shared" si="561"/>
        <v>0.01161806607</v>
      </c>
      <c r="FQ115" s="350">
        <f t="shared" si="562"/>
        <v>1254.029258</v>
      </c>
      <c r="FR115" s="351">
        <v>0.16716266605705102</v>
      </c>
      <c r="FS115" s="350">
        <f t="shared" si="563"/>
        <v>209.6268741</v>
      </c>
      <c r="FT115" s="352">
        <f t="shared" si="564"/>
        <v>1044.402384</v>
      </c>
      <c r="FU115" s="333"/>
      <c r="FV115" s="333"/>
      <c r="FW115" s="288"/>
      <c r="FX115" s="81"/>
      <c r="FY115" s="348">
        <f t="shared" si="592"/>
        <v>3</v>
      </c>
      <c r="FZ115" s="349" t="s">
        <v>73</v>
      </c>
      <c r="GA115" s="350">
        <f>'Hitung Output'!CN62</f>
        <v>102401.8668</v>
      </c>
      <c r="GB115" s="351">
        <f t="shared" si="565"/>
        <v>0.01161806607</v>
      </c>
      <c r="GC115" s="350">
        <f t="shared" si="566"/>
        <v>1189.711654</v>
      </c>
      <c r="GD115" s="351">
        <v>0.16716266605705102</v>
      </c>
      <c r="GE115" s="350">
        <f t="shared" si="567"/>
        <v>198.875372</v>
      </c>
      <c r="GF115" s="352">
        <f t="shared" si="568"/>
        <v>990.8362823</v>
      </c>
      <c r="GG115" s="333"/>
      <c r="GH115" s="333"/>
      <c r="GI115" s="288"/>
      <c r="GJ115" s="81"/>
      <c r="GK115" s="348">
        <f t="shared" si="593"/>
        <v>3</v>
      </c>
      <c r="GL115" s="349" t="s">
        <v>73</v>
      </c>
      <c r="GM115" s="350"/>
      <c r="GN115" s="351">
        <f t="shared" si="569"/>
        <v>0.01161806607</v>
      </c>
      <c r="GO115" s="350">
        <f t="shared" si="570"/>
        <v>0</v>
      </c>
      <c r="GP115" s="351">
        <v>0.16716266605705102</v>
      </c>
      <c r="GQ115" s="350">
        <f t="shared" si="571"/>
        <v>0</v>
      </c>
      <c r="GR115" s="352">
        <f t="shared" si="572"/>
        <v>0</v>
      </c>
      <c r="GS115" s="333"/>
      <c r="GT115" s="333"/>
      <c r="GU115" s="288"/>
      <c r="GV115" s="81"/>
      <c r="GW115" s="348">
        <f t="shared" si="594"/>
        <v>3</v>
      </c>
      <c r="GX115" s="349" t="s">
        <v>73</v>
      </c>
      <c r="GY115" s="350"/>
      <c r="GZ115" s="351">
        <f t="shared" si="573"/>
        <v>0.01161806607</v>
      </c>
      <c r="HA115" s="350">
        <f t="shared" si="574"/>
        <v>0</v>
      </c>
      <c r="HB115" s="351">
        <v>0.16716266605705102</v>
      </c>
      <c r="HC115" s="350">
        <f t="shared" si="575"/>
        <v>0</v>
      </c>
      <c r="HD115" s="352">
        <f t="shared" si="576"/>
        <v>0</v>
      </c>
      <c r="HE115" s="333"/>
      <c r="HF115" s="333"/>
      <c r="HG115" s="288"/>
      <c r="HH115" s="81"/>
      <c r="HI115" s="75"/>
    </row>
    <row r="116" ht="15.75" customHeight="1">
      <c r="A116" s="348">
        <f t="shared" si="577"/>
        <v>4</v>
      </c>
      <c r="B116" s="349" t="s">
        <v>74</v>
      </c>
      <c r="C116" s="350"/>
      <c r="D116" s="351">
        <f t="shared" si="505"/>
        <v>0.01161806607</v>
      </c>
      <c r="E116" s="350">
        <f t="shared" si="506"/>
        <v>0</v>
      </c>
      <c r="F116" s="351">
        <v>0.16716266605705102</v>
      </c>
      <c r="G116" s="350">
        <f t="shared" si="507"/>
        <v>0</v>
      </c>
      <c r="H116" s="352">
        <f t="shared" si="508"/>
        <v>0</v>
      </c>
      <c r="I116" s="333"/>
      <c r="J116" s="333"/>
      <c r="K116" s="288"/>
      <c r="L116" s="81"/>
      <c r="M116" s="348">
        <f t="shared" si="578"/>
        <v>4</v>
      </c>
      <c r="N116" s="349" t="s">
        <v>74</v>
      </c>
      <c r="O116" s="350"/>
      <c r="P116" s="351">
        <f t="shared" si="509"/>
        <v>0.01161806607</v>
      </c>
      <c r="Q116" s="350">
        <f t="shared" si="510"/>
        <v>0</v>
      </c>
      <c r="R116" s="351">
        <v>0.16716266605705102</v>
      </c>
      <c r="S116" s="350">
        <f t="shared" si="511"/>
        <v>0</v>
      </c>
      <c r="T116" s="352">
        <f t="shared" si="512"/>
        <v>0</v>
      </c>
      <c r="U116" s="333"/>
      <c r="V116" s="333"/>
      <c r="W116" s="288"/>
      <c r="X116" s="81"/>
      <c r="Y116" s="348">
        <f t="shared" si="579"/>
        <v>4</v>
      </c>
      <c r="Z116" s="349" t="s">
        <v>74</v>
      </c>
      <c r="AA116" s="350"/>
      <c r="AB116" s="351">
        <f t="shared" si="513"/>
        <v>0.01161806607</v>
      </c>
      <c r="AC116" s="350">
        <f t="shared" si="514"/>
        <v>0</v>
      </c>
      <c r="AD116" s="351">
        <v>0.16716266605705102</v>
      </c>
      <c r="AE116" s="350">
        <f t="shared" si="515"/>
        <v>0</v>
      </c>
      <c r="AF116" s="352">
        <f t="shared" si="516"/>
        <v>0</v>
      </c>
      <c r="AG116" s="333"/>
      <c r="AH116" s="333"/>
      <c r="AI116" s="288"/>
      <c r="AJ116" s="81"/>
      <c r="AK116" s="348">
        <f t="shared" si="580"/>
        <v>4</v>
      </c>
      <c r="AL116" s="349" t="s">
        <v>74</v>
      </c>
      <c r="AM116" s="350"/>
      <c r="AN116" s="351">
        <f t="shared" si="517"/>
        <v>0.01161806607</v>
      </c>
      <c r="AO116" s="350">
        <f t="shared" si="518"/>
        <v>0</v>
      </c>
      <c r="AP116" s="351">
        <v>0.16716266605705102</v>
      </c>
      <c r="AQ116" s="350">
        <f t="shared" si="519"/>
        <v>0</v>
      </c>
      <c r="AR116" s="352">
        <f t="shared" si="520"/>
        <v>0</v>
      </c>
      <c r="AS116" s="333"/>
      <c r="AT116" s="333"/>
      <c r="AU116" s="288"/>
      <c r="AV116" s="81"/>
      <c r="AW116" s="348">
        <f t="shared" si="581"/>
        <v>4</v>
      </c>
      <c r="AX116" s="349" t="s">
        <v>74</v>
      </c>
      <c r="AY116" s="350"/>
      <c r="AZ116" s="351">
        <f t="shared" si="521"/>
        <v>0.01161806607</v>
      </c>
      <c r="BA116" s="350">
        <f t="shared" si="522"/>
        <v>0</v>
      </c>
      <c r="BB116" s="351">
        <v>0.16716266605705102</v>
      </c>
      <c r="BC116" s="350">
        <f t="shared" si="523"/>
        <v>0</v>
      </c>
      <c r="BD116" s="352">
        <f t="shared" si="524"/>
        <v>0</v>
      </c>
      <c r="BE116" s="333"/>
      <c r="BF116" s="333"/>
      <c r="BG116" s="288"/>
      <c r="BH116" s="81"/>
      <c r="BI116" s="348">
        <f t="shared" si="582"/>
        <v>4</v>
      </c>
      <c r="BJ116" s="349" t="s">
        <v>74</v>
      </c>
      <c r="BK116" s="350"/>
      <c r="BL116" s="351">
        <f t="shared" si="525"/>
        <v>0.01161806607</v>
      </c>
      <c r="BM116" s="350">
        <f t="shared" si="526"/>
        <v>0</v>
      </c>
      <c r="BN116" s="351">
        <v>0.16716266605705102</v>
      </c>
      <c r="BO116" s="350">
        <f t="shared" si="527"/>
        <v>0</v>
      </c>
      <c r="BP116" s="352">
        <f t="shared" si="528"/>
        <v>0</v>
      </c>
      <c r="BQ116" s="333"/>
      <c r="BR116" s="333"/>
      <c r="BS116" s="288"/>
      <c r="BT116" s="81"/>
      <c r="BU116" s="348">
        <f t="shared" si="583"/>
        <v>4</v>
      </c>
      <c r="BV116" s="349" t="s">
        <v>74</v>
      </c>
      <c r="BW116" s="350"/>
      <c r="BX116" s="351">
        <f t="shared" si="529"/>
        <v>0.01161806607</v>
      </c>
      <c r="BY116" s="350">
        <f t="shared" si="530"/>
        <v>0</v>
      </c>
      <c r="BZ116" s="351">
        <v>0.16716266605705102</v>
      </c>
      <c r="CA116" s="350">
        <f t="shared" si="531"/>
        <v>0</v>
      </c>
      <c r="CB116" s="352">
        <f t="shared" si="532"/>
        <v>0</v>
      </c>
      <c r="CC116" s="333"/>
      <c r="CD116" s="333"/>
      <c r="CE116" s="288"/>
      <c r="CF116" s="81"/>
      <c r="CG116" s="348">
        <f t="shared" si="584"/>
        <v>4</v>
      </c>
      <c r="CH116" s="349" t="s">
        <v>74</v>
      </c>
      <c r="CI116" s="350"/>
      <c r="CJ116" s="351">
        <f t="shared" si="533"/>
        <v>0.01161806607</v>
      </c>
      <c r="CK116" s="350">
        <f t="shared" si="534"/>
        <v>0</v>
      </c>
      <c r="CL116" s="351">
        <v>0.16716266605705102</v>
      </c>
      <c r="CM116" s="350">
        <f t="shared" si="535"/>
        <v>0</v>
      </c>
      <c r="CN116" s="352">
        <f t="shared" si="536"/>
        <v>0</v>
      </c>
      <c r="CO116" s="333"/>
      <c r="CP116" s="333"/>
      <c r="CQ116" s="288"/>
      <c r="CR116" s="81"/>
      <c r="CS116" s="348">
        <f t="shared" si="585"/>
        <v>4</v>
      </c>
      <c r="CT116" s="349" t="s">
        <v>74</v>
      </c>
      <c r="CU116" s="350"/>
      <c r="CV116" s="351">
        <f t="shared" si="537"/>
        <v>0.01161806607</v>
      </c>
      <c r="CW116" s="350">
        <f t="shared" si="538"/>
        <v>0</v>
      </c>
      <c r="CX116" s="351">
        <v>0.16716266605705102</v>
      </c>
      <c r="CY116" s="350">
        <f t="shared" si="539"/>
        <v>0</v>
      </c>
      <c r="CZ116" s="352">
        <f t="shared" si="540"/>
        <v>0</v>
      </c>
      <c r="DA116" s="333"/>
      <c r="DB116" s="333"/>
      <c r="DC116" s="288"/>
      <c r="DD116" s="81"/>
      <c r="DE116" s="348">
        <f t="shared" si="586"/>
        <v>4</v>
      </c>
      <c r="DF116" s="349" t="s">
        <v>74</v>
      </c>
      <c r="DG116" s="350">
        <f>'Hitung Output'!BJ63</f>
        <v>186431.4657</v>
      </c>
      <c r="DH116" s="351">
        <f t="shared" si="541"/>
        <v>0.01161806607</v>
      </c>
      <c r="DI116" s="353">
        <f t="shared" si="542"/>
        <v>2165.973085</v>
      </c>
      <c r="DJ116" s="351">
        <v>0.16716266605705102</v>
      </c>
      <c r="DK116" s="350">
        <f t="shared" si="543"/>
        <v>362.0698355</v>
      </c>
      <c r="DL116" s="352">
        <f t="shared" si="544"/>
        <v>1803.90325</v>
      </c>
      <c r="DM116" s="333"/>
      <c r="DN116" s="333"/>
      <c r="DO116" s="288"/>
      <c r="DP116" s="81"/>
      <c r="DQ116" s="348">
        <f t="shared" si="587"/>
        <v>4</v>
      </c>
      <c r="DR116" s="349" t="s">
        <v>74</v>
      </c>
      <c r="DS116" s="350">
        <f>'Hitung Output'!BO63</f>
        <v>178142.6143</v>
      </c>
      <c r="DT116" s="351">
        <f t="shared" si="545"/>
        <v>0.01161806607</v>
      </c>
      <c r="DU116" s="354">
        <f t="shared" si="546"/>
        <v>2069.672663</v>
      </c>
      <c r="DV116" s="351">
        <v>0.16716266605705102</v>
      </c>
      <c r="DW116" s="350">
        <f t="shared" si="547"/>
        <v>345.9720002</v>
      </c>
      <c r="DX116" s="352">
        <f t="shared" si="548"/>
        <v>1723.700663</v>
      </c>
      <c r="DY116" s="333"/>
      <c r="DZ116" s="333"/>
      <c r="EA116" s="288"/>
      <c r="EB116" s="81"/>
      <c r="EC116" s="348">
        <f t="shared" si="588"/>
        <v>4</v>
      </c>
      <c r="ED116" s="349" t="s">
        <v>74</v>
      </c>
      <c r="EE116" s="350">
        <f>'Hitung Output'!BT63</f>
        <v>194480.1302</v>
      </c>
      <c r="EF116" s="351">
        <f t="shared" si="549"/>
        <v>0.01161806607</v>
      </c>
      <c r="EG116" s="355">
        <f t="shared" si="550"/>
        <v>2259.483001</v>
      </c>
      <c r="EH116" s="351">
        <v>0.16716266605705102</v>
      </c>
      <c r="EI116" s="350">
        <f t="shared" si="551"/>
        <v>377.7012024</v>
      </c>
      <c r="EJ116" s="352">
        <f t="shared" si="552"/>
        <v>1881.781799</v>
      </c>
      <c r="EK116" s="333"/>
      <c r="EL116" s="333"/>
      <c r="EM116" s="288"/>
      <c r="EN116" s="81"/>
      <c r="EO116" s="348">
        <f t="shared" si="589"/>
        <v>4</v>
      </c>
      <c r="EP116" s="349" t="s">
        <v>74</v>
      </c>
      <c r="EQ116" s="350">
        <f>'Hitung Output'!BY63</f>
        <v>195302.0334</v>
      </c>
      <c r="ER116" s="351">
        <f t="shared" si="553"/>
        <v>0.01161806607</v>
      </c>
      <c r="ES116" s="356">
        <f t="shared" si="554"/>
        <v>2269.031927</v>
      </c>
      <c r="ET116" s="351">
        <v>0.16716266605705102</v>
      </c>
      <c r="EU116" s="350">
        <f t="shared" si="555"/>
        <v>379.2974264</v>
      </c>
      <c r="EV116" s="352">
        <f t="shared" si="556"/>
        <v>1889.734501</v>
      </c>
      <c r="EW116" s="333"/>
      <c r="EX116" s="333"/>
      <c r="EY116" s="288"/>
      <c r="EZ116" s="81"/>
      <c r="FA116" s="348">
        <f t="shared" si="590"/>
        <v>4</v>
      </c>
      <c r="FB116" s="349" t="s">
        <v>74</v>
      </c>
      <c r="FC116" s="350">
        <f>'Hitung Output'!CD63</f>
        <v>194452.4661</v>
      </c>
      <c r="FD116" s="351">
        <f t="shared" si="557"/>
        <v>0.01161806607</v>
      </c>
      <c r="FE116" s="350">
        <f t="shared" si="558"/>
        <v>2259.161598</v>
      </c>
      <c r="FF116" s="351">
        <v>0.16716266605705102</v>
      </c>
      <c r="FG116" s="350">
        <f t="shared" si="559"/>
        <v>377.6474758</v>
      </c>
      <c r="FH116" s="352">
        <f t="shared" si="560"/>
        <v>1881.514122</v>
      </c>
      <c r="FI116" s="333"/>
      <c r="FJ116" s="333"/>
      <c r="FK116" s="288"/>
      <c r="FL116" s="81"/>
      <c r="FM116" s="348">
        <f t="shared" si="591"/>
        <v>4</v>
      </c>
      <c r="FN116" s="349" t="s">
        <v>74</v>
      </c>
      <c r="FO116" s="350">
        <f>'Hitung Output'!CI63</f>
        <v>188857.8375</v>
      </c>
      <c r="FP116" s="351">
        <f t="shared" si="561"/>
        <v>0.01161806607</v>
      </c>
      <c r="FQ116" s="350">
        <f t="shared" si="562"/>
        <v>2194.162833</v>
      </c>
      <c r="FR116" s="351">
        <v>0.16716266605705102</v>
      </c>
      <c r="FS116" s="350">
        <f t="shared" si="563"/>
        <v>366.782109</v>
      </c>
      <c r="FT116" s="352">
        <f t="shared" si="564"/>
        <v>1827.380724</v>
      </c>
      <c r="FU116" s="333"/>
      <c r="FV116" s="333"/>
      <c r="FW116" s="288"/>
      <c r="FX116" s="81"/>
      <c r="FY116" s="348">
        <f t="shared" si="592"/>
        <v>4</v>
      </c>
      <c r="FZ116" s="349" t="s">
        <v>74</v>
      </c>
      <c r="GA116" s="350">
        <f>'Hitung Output'!CN63</f>
        <v>216625.2321</v>
      </c>
      <c r="GB116" s="351">
        <f t="shared" si="565"/>
        <v>0.01161806607</v>
      </c>
      <c r="GC116" s="350">
        <f t="shared" si="566"/>
        <v>2516.766259</v>
      </c>
      <c r="GD116" s="351">
        <v>0.16716266605705102</v>
      </c>
      <c r="GE116" s="350">
        <f t="shared" si="567"/>
        <v>420.7093577</v>
      </c>
      <c r="GF116" s="352">
        <f t="shared" si="568"/>
        <v>2096.056901</v>
      </c>
      <c r="GG116" s="333"/>
      <c r="GH116" s="333"/>
      <c r="GI116" s="288"/>
      <c r="GJ116" s="81"/>
      <c r="GK116" s="348">
        <f t="shared" si="593"/>
        <v>4</v>
      </c>
      <c r="GL116" s="349" t="s">
        <v>74</v>
      </c>
      <c r="GM116" s="350"/>
      <c r="GN116" s="351">
        <f t="shared" si="569"/>
        <v>0.01161806607</v>
      </c>
      <c r="GO116" s="350">
        <f t="shared" si="570"/>
        <v>0</v>
      </c>
      <c r="GP116" s="351">
        <v>0.16716266605705102</v>
      </c>
      <c r="GQ116" s="350">
        <f t="shared" si="571"/>
        <v>0</v>
      </c>
      <c r="GR116" s="352">
        <f t="shared" si="572"/>
        <v>0</v>
      </c>
      <c r="GS116" s="333"/>
      <c r="GT116" s="333"/>
      <c r="GU116" s="288"/>
      <c r="GV116" s="81"/>
      <c r="GW116" s="348">
        <f t="shared" si="594"/>
        <v>4</v>
      </c>
      <c r="GX116" s="349" t="s">
        <v>74</v>
      </c>
      <c r="GY116" s="350"/>
      <c r="GZ116" s="351">
        <f t="shared" si="573"/>
        <v>0.01161806607</v>
      </c>
      <c r="HA116" s="350">
        <f t="shared" si="574"/>
        <v>0</v>
      </c>
      <c r="HB116" s="351">
        <v>0.16716266605705102</v>
      </c>
      <c r="HC116" s="350">
        <f t="shared" si="575"/>
        <v>0</v>
      </c>
      <c r="HD116" s="352">
        <f t="shared" si="576"/>
        <v>0</v>
      </c>
      <c r="HE116" s="333"/>
      <c r="HF116" s="333"/>
      <c r="HG116" s="288"/>
      <c r="HH116" s="81"/>
      <c r="HI116" s="75"/>
    </row>
    <row r="117" ht="15.75" customHeight="1">
      <c r="A117" s="348">
        <f t="shared" si="577"/>
        <v>5</v>
      </c>
      <c r="B117" s="349" t="s">
        <v>75</v>
      </c>
      <c r="C117" s="350"/>
      <c r="D117" s="351">
        <f t="shared" si="505"/>
        <v>0.01161806607</v>
      </c>
      <c r="E117" s="350">
        <f t="shared" si="506"/>
        <v>0</v>
      </c>
      <c r="F117" s="351">
        <v>0.16716266605705102</v>
      </c>
      <c r="G117" s="350">
        <f t="shared" si="507"/>
        <v>0</v>
      </c>
      <c r="H117" s="352">
        <f t="shared" si="508"/>
        <v>0</v>
      </c>
      <c r="I117" s="333"/>
      <c r="J117" s="333"/>
      <c r="K117" s="288"/>
      <c r="L117" s="81"/>
      <c r="M117" s="348">
        <f t="shared" si="578"/>
        <v>5</v>
      </c>
      <c r="N117" s="349" t="s">
        <v>75</v>
      </c>
      <c r="O117" s="350"/>
      <c r="P117" s="351">
        <f t="shared" si="509"/>
        <v>0.01161806607</v>
      </c>
      <c r="Q117" s="350">
        <f t="shared" si="510"/>
        <v>0</v>
      </c>
      <c r="R117" s="351">
        <v>0.16716266605705102</v>
      </c>
      <c r="S117" s="350">
        <f t="shared" si="511"/>
        <v>0</v>
      </c>
      <c r="T117" s="352">
        <f t="shared" si="512"/>
        <v>0</v>
      </c>
      <c r="U117" s="333"/>
      <c r="V117" s="333"/>
      <c r="W117" s="288"/>
      <c r="X117" s="81"/>
      <c r="Y117" s="348">
        <f t="shared" si="579"/>
        <v>5</v>
      </c>
      <c r="Z117" s="349" t="s">
        <v>75</v>
      </c>
      <c r="AA117" s="350"/>
      <c r="AB117" s="351">
        <f t="shared" si="513"/>
        <v>0.01161806607</v>
      </c>
      <c r="AC117" s="350">
        <f t="shared" si="514"/>
        <v>0</v>
      </c>
      <c r="AD117" s="351">
        <v>0.16716266605705102</v>
      </c>
      <c r="AE117" s="350">
        <f t="shared" si="515"/>
        <v>0</v>
      </c>
      <c r="AF117" s="352">
        <f t="shared" si="516"/>
        <v>0</v>
      </c>
      <c r="AG117" s="333"/>
      <c r="AH117" s="333"/>
      <c r="AI117" s="288"/>
      <c r="AJ117" s="81"/>
      <c r="AK117" s="348">
        <f t="shared" si="580"/>
        <v>5</v>
      </c>
      <c r="AL117" s="349" t="s">
        <v>75</v>
      </c>
      <c r="AM117" s="350"/>
      <c r="AN117" s="351">
        <f t="shared" si="517"/>
        <v>0.01161806607</v>
      </c>
      <c r="AO117" s="350">
        <f t="shared" si="518"/>
        <v>0</v>
      </c>
      <c r="AP117" s="351">
        <v>0.16716266605705102</v>
      </c>
      <c r="AQ117" s="350">
        <f t="shared" si="519"/>
        <v>0</v>
      </c>
      <c r="AR117" s="352">
        <f t="shared" si="520"/>
        <v>0</v>
      </c>
      <c r="AS117" s="333"/>
      <c r="AT117" s="333"/>
      <c r="AU117" s="288"/>
      <c r="AV117" s="81"/>
      <c r="AW117" s="348">
        <f t="shared" si="581"/>
        <v>5</v>
      </c>
      <c r="AX117" s="349" t="s">
        <v>75</v>
      </c>
      <c r="AY117" s="350"/>
      <c r="AZ117" s="351">
        <f t="shared" si="521"/>
        <v>0.01161806607</v>
      </c>
      <c r="BA117" s="350">
        <f t="shared" si="522"/>
        <v>0</v>
      </c>
      <c r="BB117" s="351">
        <v>0.16716266605705102</v>
      </c>
      <c r="BC117" s="350">
        <f t="shared" si="523"/>
        <v>0</v>
      </c>
      <c r="BD117" s="352">
        <f t="shared" si="524"/>
        <v>0</v>
      </c>
      <c r="BE117" s="333"/>
      <c r="BF117" s="333"/>
      <c r="BG117" s="288"/>
      <c r="BH117" s="81"/>
      <c r="BI117" s="348">
        <f t="shared" si="582"/>
        <v>5</v>
      </c>
      <c r="BJ117" s="349" t="s">
        <v>75</v>
      </c>
      <c r="BK117" s="350"/>
      <c r="BL117" s="351">
        <f t="shared" si="525"/>
        <v>0.01161806607</v>
      </c>
      <c r="BM117" s="350">
        <f t="shared" si="526"/>
        <v>0</v>
      </c>
      <c r="BN117" s="351">
        <v>0.16716266605705102</v>
      </c>
      <c r="BO117" s="350">
        <f t="shared" si="527"/>
        <v>0</v>
      </c>
      <c r="BP117" s="352">
        <f t="shared" si="528"/>
        <v>0</v>
      </c>
      <c r="BQ117" s="333"/>
      <c r="BR117" s="333"/>
      <c r="BS117" s="288"/>
      <c r="BT117" s="81"/>
      <c r="BU117" s="348">
        <f t="shared" si="583"/>
        <v>5</v>
      </c>
      <c r="BV117" s="349" t="s">
        <v>75</v>
      </c>
      <c r="BW117" s="350"/>
      <c r="BX117" s="351">
        <f t="shared" si="529"/>
        <v>0.01161806607</v>
      </c>
      <c r="BY117" s="350">
        <f t="shared" si="530"/>
        <v>0</v>
      </c>
      <c r="BZ117" s="351">
        <v>0.16716266605705102</v>
      </c>
      <c r="CA117" s="350">
        <f t="shared" si="531"/>
        <v>0</v>
      </c>
      <c r="CB117" s="352">
        <f t="shared" si="532"/>
        <v>0</v>
      </c>
      <c r="CC117" s="333"/>
      <c r="CD117" s="333"/>
      <c r="CE117" s="288"/>
      <c r="CF117" s="81"/>
      <c r="CG117" s="348">
        <f t="shared" si="584"/>
        <v>5</v>
      </c>
      <c r="CH117" s="349" t="s">
        <v>75</v>
      </c>
      <c r="CI117" s="350"/>
      <c r="CJ117" s="351">
        <f t="shared" si="533"/>
        <v>0.01161806607</v>
      </c>
      <c r="CK117" s="350">
        <f t="shared" si="534"/>
        <v>0</v>
      </c>
      <c r="CL117" s="351">
        <v>0.16716266605705102</v>
      </c>
      <c r="CM117" s="350">
        <f t="shared" si="535"/>
        <v>0</v>
      </c>
      <c r="CN117" s="352">
        <f t="shared" si="536"/>
        <v>0</v>
      </c>
      <c r="CO117" s="333"/>
      <c r="CP117" s="333"/>
      <c r="CQ117" s="288"/>
      <c r="CR117" s="81"/>
      <c r="CS117" s="348">
        <f t="shared" si="585"/>
        <v>5</v>
      </c>
      <c r="CT117" s="349" t="s">
        <v>75</v>
      </c>
      <c r="CU117" s="350"/>
      <c r="CV117" s="351">
        <f t="shared" si="537"/>
        <v>0.01161806607</v>
      </c>
      <c r="CW117" s="350">
        <f t="shared" si="538"/>
        <v>0</v>
      </c>
      <c r="CX117" s="351">
        <v>0.16716266605705102</v>
      </c>
      <c r="CY117" s="350">
        <f t="shared" si="539"/>
        <v>0</v>
      </c>
      <c r="CZ117" s="352">
        <f t="shared" si="540"/>
        <v>0</v>
      </c>
      <c r="DA117" s="333"/>
      <c r="DB117" s="333"/>
      <c r="DC117" s="288"/>
      <c r="DD117" s="81"/>
      <c r="DE117" s="348">
        <f t="shared" si="586"/>
        <v>5</v>
      </c>
      <c r="DF117" s="349" t="s">
        <v>75</v>
      </c>
      <c r="DG117" s="350">
        <f>'Hitung Output'!BJ64</f>
        <v>2030285.344</v>
      </c>
      <c r="DH117" s="351">
        <f t="shared" si="541"/>
        <v>0.01161806607</v>
      </c>
      <c r="DI117" s="353">
        <f t="shared" si="542"/>
        <v>23587.98926</v>
      </c>
      <c r="DJ117" s="351">
        <v>0.16716266605705102</v>
      </c>
      <c r="DK117" s="350">
        <f t="shared" si="543"/>
        <v>3943.031171</v>
      </c>
      <c r="DL117" s="352">
        <f t="shared" si="544"/>
        <v>19644.95809</v>
      </c>
      <c r="DM117" s="333"/>
      <c r="DN117" s="333"/>
      <c r="DO117" s="288"/>
      <c r="DP117" s="81"/>
      <c r="DQ117" s="348">
        <f t="shared" si="587"/>
        <v>5</v>
      </c>
      <c r="DR117" s="349" t="s">
        <v>75</v>
      </c>
      <c r="DS117" s="350">
        <f>'Hitung Output'!BO64</f>
        <v>1851744.513</v>
      </c>
      <c r="DT117" s="351">
        <f t="shared" si="545"/>
        <v>0.01161806607</v>
      </c>
      <c r="DU117" s="354">
        <f t="shared" si="546"/>
        <v>21513.69009</v>
      </c>
      <c r="DV117" s="351">
        <v>0.16716266605705102</v>
      </c>
      <c r="DW117" s="350">
        <f t="shared" si="547"/>
        <v>3596.285793</v>
      </c>
      <c r="DX117" s="352">
        <f t="shared" si="548"/>
        <v>17917.4043</v>
      </c>
      <c r="DY117" s="333"/>
      <c r="DZ117" s="333"/>
      <c r="EA117" s="288"/>
      <c r="EB117" s="81"/>
      <c r="EC117" s="348">
        <f t="shared" si="588"/>
        <v>5</v>
      </c>
      <c r="ED117" s="349" t="s">
        <v>75</v>
      </c>
      <c r="EE117" s="350">
        <f>'Hitung Output'!BT64</f>
        <v>1868814.277</v>
      </c>
      <c r="EF117" s="351">
        <f t="shared" si="549"/>
        <v>0.01161806607</v>
      </c>
      <c r="EG117" s="355">
        <f t="shared" si="550"/>
        <v>21712.00774</v>
      </c>
      <c r="EH117" s="351">
        <v>0.16716266605705102</v>
      </c>
      <c r="EI117" s="350">
        <f t="shared" si="551"/>
        <v>3629.437098</v>
      </c>
      <c r="EJ117" s="352">
        <f t="shared" si="552"/>
        <v>18082.57064</v>
      </c>
      <c r="EK117" s="333"/>
      <c r="EL117" s="333"/>
      <c r="EM117" s="288"/>
      <c r="EN117" s="81"/>
      <c r="EO117" s="348">
        <f t="shared" si="589"/>
        <v>5</v>
      </c>
      <c r="EP117" s="349" t="s">
        <v>75</v>
      </c>
      <c r="EQ117" s="350">
        <f>'Hitung Output'!BY64</f>
        <v>2056285.74</v>
      </c>
      <c r="ER117" s="351">
        <f t="shared" si="553"/>
        <v>0.01161806607</v>
      </c>
      <c r="ES117" s="356">
        <f t="shared" si="554"/>
        <v>23890.06358</v>
      </c>
      <c r="ET117" s="351">
        <v>0.16716266605705102</v>
      </c>
      <c r="EU117" s="350">
        <f t="shared" si="555"/>
        <v>3993.52672</v>
      </c>
      <c r="EV117" s="352">
        <f t="shared" si="556"/>
        <v>19896.53686</v>
      </c>
      <c r="EW117" s="333"/>
      <c r="EX117" s="333"/>
      <c r="EY117" s="288"/>
      <c r="EZ117" s="81"/>
      <c r="FA117" s="348">
        <f t="shared" si="590"/>
        <v>5</v>
      </c>
      <c r="FB117" s="349" t="s">
        <v>75</v>
      </c>
      <c r="FC117" s="350">
        <f>'Hitung Output'!CD64</f>
        <v>2062501.83</v>
      </c>
      <c r="FD117" s="351">
        <f t="shared" si="557"/>
        <v>0.01161806607</v>
      </c>
      <c r="FE117" s="350">
        <f t="shared" si="558"/>
        <v>23962.28252</v>
      </c>
      <c r="FF117" s="351">
        <v>0.16716266605705102</v>
      </c>
      <c r="FG117" s="350">
        <f t="shared" si="559"/>
        <v>4005.599031</v>
      </c>
      <c r="FH117" s="352">
        <f t="shared" si="560"/>
        <v>19956.68349</v>
      </c>
      <c r="FI117" s="333"/>
      <c r="FJ117" s="333"/>
      <c r="FK117" s="288"/>
      <c r="FL117" s="81"/>
      <c r="FM117" s="348">
        <f t="shared" si="591"/>
        <v>5</v>
      </c>
      <c r="FN117" s="349" t="s">
        <v>75</v>
      </c>
      <c r="FO117" s="350">
        <f>'Hitung Output'!CI64</f>
        <v>2303601.227</v>
      </c>
      <c r="FP117" s="351">
        <f t="shared" si="561"/>
        <v>0.01161806607</v>
      </c>
      <c r="FQ117" s="350">
        <f t="shared" si="562"/>
        <v>26763.39125</v>
      </c>
      <c r="FR117" s="351">
        <v>0.16716266605705102</v>
      </c>
      <c r="FS117" s="350">
        <f t="shared" si="563"/>
        <v>4473.839834</v>
      </c>
      <c r="FT117" s="352">
        <f t="shared" si="564"/>
        <v>22289.55142</v>
      </c>
      <c r="FU117" s="333"/>
      <c r="FV117" s="333"/>
      <c r="FW117" s="288"/>
      <c r="FX117" s="81"/>
      <c r="FY117" s="348">
        <f t="shared" si="592"/>
        <v>5</v>
      </c>
      <c r="FZ117" s="349" t="s">
        <v>75</v>
      </c>
      <c r="GA117" s="350">
        <f>'Hitung Output'!CN64</f>
        <v>2408206.03</v>
      </c>
      <c r="GB117" s="351">
        <f t="shared" si="565"/>
        <v>0.01161806607</v>
      </c>
      <c r="GC117" s="350">
        <f t="shared" si="566"/>
        <v>27978.69676</v>
      </c>
      <c r="GD117" s="351">
        <v>0.16716266605705102</v>
      </c>
      <c r="GE117" s="350">
        <f t="shared" si="567"/>
        <v>4676.993544</v>
      </c>
      <c r="GF117" s="352">
        <f t="shared" si="568"/>
        <v>23301.70322</v>
      </c>
      <c r="GG117" s="333"/>
      <c r="GH117" s="333"/>
      <c r="GI117" s="288"/>
      <c r="GJ117" s="81"/>
      <c r="GK117" s="348">
        <f t="shared" si="593"/>
        <v>5</v>
      </c>
      <c r="GL117" s="349" t="s">
        <v>75</v>
      </c>
      <c r="GM117" s="350"/>
      <c r="GN117" s="351">
        <f t="shared" si="569"/>
        <v>0.01161806607</v>
      </c>
      <c r="GO117" s="350">
        <f t="shared" si="570"/>
        <v>0</v>
      </c>
      <c r="GP117" s="351">
        <v>0.16716266605705102</v>
      </c>
      <c r="GQ117" s="350">
        <f t="shared" si="571"/>
        <v>0</v>
      </c>
      <c r="GR117" s="352">
        <f t="shared" si="572"/>
        <v>0</v>
      </c>
      <c r="GS117" s="333"/>
      <c r="GT117" s="333"/>
      <c r="GU117" s="288"/>
      <c r="GV117" s="81"/>
      <c r="GW117" s="348">
        <f t="shared" si="594"/>
        <v>5</v>
      </c>
      <c r="GX117" s="349" t="s">
        <v>75</v>
      </c>
      <c r="GY117" s="350"/>
      <c r="GZ117" s="351">
        <f t="shared" si="573"/>
        <v>0.01161806607</v>
      </c>
      <c r="HA117" s="350">
        <f t="shared" si="574"/>
        <v>0</v>
      </c>
      <c r="HB117" s="351">
        <v>0.16716266605705102</v>
      </c>
      <c r="HC117" s="350">
        <f t="shared" si="575"/>
        <v>0</v>
      </c>
      <c r="HD117" s="352">
        <f t="shared" si="576"/>
        <v>0</v>
      </c>
      <c r="HE117" s="333"/>
      <c r="HF117" s="333"/>
      <c r="HG117" s="288"/>
      <c r="HH117" s="81"/>
      <c r="HI117" s="75"/>
    </row>
    <row r="118" ht="15.75" customHeight="1">
      <c r="A118" s="348">
        <f t="shared" si="577"/>
        <v>6</v>
      </c>
      <c r="B118" s="349" t="s">
        <v>76</v>
      </c>
      <c r="C118" s="350"/>
      <c r="D118" s="351">
        <f t="shared" si="505"/>
        <v>0.01161806607</v>
      </c>
      <c r="E118" s="350">
        <f t="shared" si="506"/>
        <v>0</v>
      </c>
      <c r="F118" s="351">
        <v>0.16716266605705102</v>
      </c>
      <c r="G118" s="350">
        <f t="shared" si="507"/>
        <v>0</v>
      </c>
      <c r="H118" s="352">
        <f t="shared" si="508"/>
        <v>0</v>
      </c>
      <c r="I118" s="333"/>
      <c r="J118" s="333"/>
      <c r="K118" s="288"/>
      <c r="L118" s="81"/>
      <c r="M118" s="348">
        <f t="shared" si="578"/>
        <v>6</v>
      </c>
      <c r="N118" s="349" t="s">
        <v>76</v>
      </c>
      <c r="O118" s="350"/>
      <c r="P118" s="351">
        <f t="shared" si="509"/>
        <v>0.01161806607</v>
      </c>
      <c r="Q118" s="350">
        <f t="shared" si="510"/>
        <v>0</v>
      </c>
      <c r="R118" s="351">
        <v>0.16716266605705102</v>
      </c>
      <c r="S118" s="350">
        <f t="shared" si="511"/>
        <v>0</v>
      </c>
      <c r="T118" s="352">
        <f t="shared" si="512"/>
        <v>0</v>
      </c>
      <c r="U118" s="333"/>
      <c r="V118" s="333"/>
      <c r="W118" s="288"/>
      <c r="X118" s="81"/>
      <c r="Y118" s="348">
        <f t="shared" si="579"/>
        <v>6</v>
      </c>
      <c r="Z118" s="349" t="s">
        <v>76</v>
      </c>
      <c r="AA118" s="350"/>
      <c r="AB118" s="351">
        <f t="shared" si="513"/>
        <v>0.01161806607</v>
      </c>
      <c r="AC118" s="350">
        <f t="shared" si="514"/>
        <v>0</v>
      </c>
      <c r="AD118" s="351">
        <v>0.16716266605705102</v>
      </c>
      <c r="AE118" s="350">
        <f t="shared" si="515"/>
        <v>0</v>
      </c>
      <c r="AF118" s="352">
        <f t="shared" si="516"/>
        <v>0</v>
      </c>
      <c r="AG118" s="333"/>
      <c r="AH118" s="333"/>
      <c r="AI118" s="288"/>
      <c r="AJ118" s="81"/>
      <c r="AK118" s="348">
        <f t="shared" si="580"/>
        <v>6</v>
      </c>
      <c r="AL118" s="349" t="s">
        <v>76</v>
      </c>
      <c r="AM118" s="350"/>
      <c r="AN118" s="351">
        <f t="shared" si="517"/>
        <v>0.01161806607</v>
      </c>
      <c r="AO118" s="350">
        <f t="shared" si="518"/>
        <v>0</v>
      </c>
      <c r="AP118" s="351">
        <v>0.16716266605705102</v>
      </c>
      <c r="AQ118" s="350">
        <f t="shared" si="519"/>
        <v>0</v>
      </c>
      <c r="AR118" s="352">
        <f t="shared" si="520"/>
        <v>0</v>
      </c>
      <c r="AS118" s="333"/>
      <c r="AT118" s="333"/>
      <c r="AU118" s="288"/>
      <c r="AV118" s="81"/>
      <c r="AW118" s="348">
        <f t="shared" si="581"/>
        <v>6</v>
      </c>
      <c r="AX118" s="349" t="s">
        <v>76</v>
      </c>
      <c r="AY118" s="350"/>
      <c r="AZ118" s="351">
        <f t="shared" si="521"/>
        <v>0.01161806607</v>
      </c>
      <c r="BA118" s="350">
        <f t="shared" si="522"/>
        <v>0</v>
      </c>
      <c r="BB118" s="351">
        <v>0.16716266605705102</v>
      </c>
      <c r="BC118" s="350">
        <f t="shared" si="523"/>
        <v>0</v>
      </c>
      <c r="BD118" s="352">
        <f t="shared" si="524"/>
        <v>0</v>
      </c>
      <c r="BE118" s="333"/>
      <c r="BF118" s="333"/>
      <c r="BG118" s="288"/>
      <c r="BH118" s="81"/>
      <c r="BI118" s="348">
        <f t="shared" si="582"/>
        <v>6</v>
      </c>
      <c r="BJ118" s="349" t="s">
        <v>76</v>
      </c>
      <c r="BK118" s="350"/>
      <c r="BL118" s="351">
        <f t="shared" si="525"/>
        <v>0.01161806607</v>
      </c>
      <c r="BM118" s="350">
        <f t="shared" si="526"/>
        <v>0</v>
      </c>
      <c r="BN118" s="351">
        <v>0.16716266605705102</v>
      </c>
      <c r="BO118" s="350">
        <f t="shared" si="527"/>
        <v>0</v>
      </c>
      <c r="BP118" s="352">
        <f t="shared" si="528"/>
        <v>0</v>
      </c>
      <c r="BQ118" s="333"/>
      <c r="BR118" s="333"/>
      <c r="BS118" s="288"/>
      <c r="BT118" s="81"/>
      <c r="BU118" s="348">
        <f t="shared" si="583"/>
        <v>6</v>
      </c>
      <c r="BV118" s="349" t="s">
        <v>76</v>
      </c>
      <c r="BW118" s="350"/>
      <c r="BX118" s="351">
        <f t="shared" si="529"/>
        <v>0.01161806607</v>
      </c>
      <c r="BY118" s="350">
        <f t="shared" si="530"/>
        <v>0</v>
      </c>
      <c r="BZ118" s="351">
        <v>0.16716266605705102</v>
      </c>
      <c r="CA118" s="350">
        <f t="shared" si="531"/>
        <v>0</v>
      </c>
      <c r="CB118" s="352">
        <f t="shared" si="532"/>
        <v>0</v>
      </c>
      <c r="CC118" s="333"/>
      <c r="CD118" s="333"/>
      <c r="CE118" s="288"/>
      <c r="CF118" s="81"/>
      <c r="CG118" s="348">
        <f t="shared" si="584"/>
        <v>6</v>
      </c>
      <c r="CH118" s="349" t="s">
        <v>76</v>
      </c>
      <c r="CI118" s="350"/>
      <c r="CJ118" s="351">
        <f t="shared" si="533"/>
        <v>0.01161806607</v>
      </c>
      <c r="CK118" s="350">
        <f t="shared" si="534"/>
        <v>0</v>
      </c>
      <c r="CL118" s="351">
        <v>0.16716266605705102</v>
      </c>
      <c r="CM118" s="350">
        <f t="shared" si="535"/>
        <v>0</v>
      </c>
      <c r="CN118" s="352">
        <f t="shared" si="536"/>
        <v>0</v>
      </c>
      <c r="CO118" s="333"/>
      <c r="CP118" s="333"/>
      <c r="CQ118" s="288"/>
      <c r="CR118" s="81"/>
      <c r="CS118" s="348">
        <f t="shared" si="585"/>
        <v>6</v>
      </c>
      <c r="CT118" s="349" t="s">
        <v>76</v>
      </c>
      <c r="CU118" s="350"/>
      <c r="CV118" s="351">
        <f t="shared" si="537"/>
        <v>0.01161806607</v>
      </c>
      <c r="CW118" s="350">
        <f t="shared" si="538"/>
        <v>0</v>
      </c>
      <c r="CX118" s="351">
        <v>0.16716266605705102</v>
      </c>
      <c r="CY118" s="350">
        <f t="shared" si="539"/>
        <v>0</v>
      </c>
      <c r="CZ118" s="352">
        <f t="shared" si="540"/>
        <v>0</v>
      </c>
      <c r="DA118" s="333"/>
      <c r="DB118" s="333"/>
      <c r="DC118" s="288"/>
      <c r="DD118" s="81"/>
      <c r="DE118" s="348">
        <f t="shared" si="586"/>
        <v>6</v>
      </c>
      <c r="DF118" s="349" t="s">
        <v>76</v>
      </c>
      <c r="DG118" s="350">
        <f>'Hitung Output'!BJ65</f>
        <v>799777.4184</v>
      </c>
      <c r="DH118" s="351">
        <f t="shared" si="541"/>
        <v>0.01161806607</v>
      </c>
      <c r="DI118" s="353">
        <f t="shared" si="542"/>
        <v>9291.866886</v>
      </c>
      <c r="DJ118" s="351">
        <v>0.16716266605705102</v>
      </c>
      <c r="DK118" s="350">
        <f t="shared" si="543"/>
        <v>1553.253241</v>
      </c>
      <c r="DL118" s="352">
        <f t="shared" si="544"/>
        <v>7738.613645</v>
      </c>
      <c r="DM118" s="333"/>
      <c r="DN118" s="333"/>
      <c r="DO118" s="288"/>
      <c r="DP118" s="81"/>
      <c r="DQ118" s="348">
        <f t="shared" si="587"/>
        <v>6</v>
      </c>
      <c r="DR118" s="349" t="s">
        <v>76</v>
      </c>
      <c r="DS118" s="350">
        <f>'Hitung Output'!BO65</f>
        <v>798263.7608</v>
      </c>
      <c r="DT118" s="351">
        <f t="shared" si="545"/>
        <v>0.01161806607</v>
      </c>
      <c r="DU118" s="354">
        <f t="shared" si="546"/>
        <v>9274.281112</v>
      </c>
      <c r="DV118" s="351">
        <v>0.16716266605705102</v>
      </c>
      <c r="DW118" s="350">
        <f t="shared" si="547"/>
        <v>1550.313556</v>
      </c>
      <c r="DX118" s="352">
        <f t="shared" si="548"/>
        <v>7723.967556</v>
      </c>
      <c r="DY118" s="333"/>
      <c r="DZ118" s="333"/>
      <c r="EA118" s="288"/>
      <c r="EB118" s="81"/>
      <c r="EC118" s="348">
        <f t="shared" si="588"/>
        <v>6</v>
      </c>
      <c r="ED118" s="349" t="s">
        <v>76</v>
      </c>
      <c r="EE118" s="350">
        <f>'Hitung Output'!BT65</f>
        <v>837472.8332</v>
      </c>
      <c r="EF118" s="351">
        <f t="shared" si="549"/>
        <v>0.01161806607</v>
      </c>
      <c r="EG118" s="355">
        <f t="shared" si="550"/>
        <v>9729.814706</v>
      </c>
      <c r="EH118" s="351">
        <v>0.16716266605705102</v>
      </c>
      <c r="EI118" s="350">
        <f t="shared" si="551"/>
        <v>1626.461766</v>
      </c>
      <c r="EJ118" s="352">
        <f t="shared" si="552"/>
        <v>8103.352939</v>
      </c>
      <c r="EK118" s="333"/>
      <c r="EL118" s="333"/>
      <c r="EM118" s="288"/>
      <c r="EN118" s="81"/>
      <c r="EO118" s="348">
        <f t="shared" si="589"/>
        <v>6</v>
      </c>
      <c r="EP118" s="349" t="s">
        <v>76</v>
      </c>
      <c r="EQ118" s="350">
        <f>'Hitung Output'!BY65</f>
        <v>832858.445</v>
      </c>
      <c r="ER118" s="351">
        <f t="shared" si="553"/>
        <v>0.01161806607</v>
      </c>
      <c r="ES118" s="356">
        <f t="shared" si="554"/>
        <v>9676.204438</v>
      </c>
      <c r="ET118" s="351">
        <v>0.16716266605705102</v>
      </c>
      <c r="EU118" s="350">
        <f t="shared" si="555"/>
        <v>1617.500131</v>
      </c>
      <c r="EV118" s="352">
        <f t="shared" si="556"/>
        <v>8058.704307</v>
      </c>
      <c r="EW118" s="333"/>
      <c r="EX118" s="333"/>
      <c r="EY118" s="288"/>
      <c r="EZ118" s="81"/>
      <c r="FA118" s="348">
        <f t="shared" si="590"/>
        <v>6</v>
      </c>
      <c r="FB118" s="349" t="s">
        <v>76</v>
      </c>
      <c r="FC118" s="350">
        <f>'Hitung Output'!CD65</f>
        <v>890904.509</v>
      </c>
      <c r="FD118" s="351">
        <f t="shared" si="557"/>
        <v>0.01161806607</v>
      </c>
      <c r="FE118" s="350">
        <f t="shared" si="558"/>
        <v>10350.58744</v>
      </c>
      <c r="FF118" s="351">
        <v>0.16716266605705102</v>
      </c>
      <c r="FG118" s="350">
        <f t="shared" si="559"/>
        <v>1730.231793</v>
      </c>
      <c r="FH118" s="352">
        <f t="shared" si="560"/>
        <v>8620.355652</v>
      </c>
      <c r="FI118" s="333"/>
      <c r="FJ118" s="333"/>
      <c r="FK118" s="288"/>
      <c r="FL118" s="81"/>
      <c r="FM118" s="348">
        <f t="shared" si="591"/>
        <v>6</v>
      </c>
      <c r="FN118" s="349" t="s">
        <v>76</v>
      </c>
      <c r="FO118" s="350">
        <f>'Hitung Output'!CI65</f>
        <v>913929.9889</v>
      </c>
      <c r="FP118" s="351">
        <f t="shared" si="561"/>
        <v>0.01161806607</v>
      </c>
      <c r="FQ118" s="350">
        <f t="shared" si="562"/>
        <v>10618.09899</v>
      </c>
      <c r="FR118" s="351">
        <v>0.16716266605705102</v>
      </c>
      <c r="FS118" s="350">
        <f t="shared" si="563"/>
        <v>1774.949736</v>
      </c>
      <c r="FT118" s="352">
        <f t="shared" si="564"/>
        <v>8843.149256</v>
      </c>
      <c r="FU118" s="333"/>
      <c r="FV118" s="333"/>
      <c r="FW118" s="288"/>
      <c r="FX118" s="81"/>
      <c r="FY118" s="348">
        <f t="shared" si="592"/>
        <v>6</v>
      </c>
      <c r="FZ118" s="349" t="s">
        <v>76</v>
      </c>
      <c r="GA118" s="350">
        <f>'Hitung Output'!CN65</f>
        <v>1003304.867</v>
      </c>
      <c r="GB118" s="351">
        <f t="shared" si="565"/>
        <v>0.01161806607</v>
      </c>
      <c r="GC118" s="350">
        <f t="shared" si="566"/>
        <v>11656.46223</v>
      </c>
      <c r="GD118" s="351">
        <v>0.16716266605705102</v>
      </c>
      <c r="GE118" s="350">
        <f t="shared" si="567"/>
        <v>1948.525304</v>
      </c>
      <c r="GF118" s="352">
        <f t="shared" si="568"/>
        <v>9707.93693</v>
      </c>
      <c r="GG118" s="333"/>
      <c r="GH118" s="333"/>
      <c r="GI118" s="288"/>
      <c r="GJ118" s="81"/>
      <c r="GK118" s="348">
        <f t="shared" si="593"/>
        <v>6</v>
      </c>
      <c r="GL118" s="349" t="s">
        <v>76</v>
      </c>
      <c r="GM118" s="350"/>
      <c r="GN118" s="351">
        <f t="shared" si="569"/>
        <v>0.01161806607</v>
      </c>
      <c r="GO118" s="350">
        <f t="shared" si="570"/>
        <v>0</v>
      </c>
      <c r="GP118" s="351">
        <v>0.16716266605705102</v>
      </c>
      <c r="GQ118" s="350">
        <f t="shared" si="571"/>
        <v>0</v>
      </c>
      <c r="GR118" s="352">
        <f t="shared" si="572"/>
        <v>0</v>
      </c>
      <c r="GS118" s="333"/>
      <c r="GT118" s="333"/>
      <c r="GU118" s="288"/>
      <c r="GV118" s="81"/>
      <c r="GW118" s="348">
        <f t="shared" si="594"/>
        <v>6</v>
      </c>
      <c r="GX118" s="349" t="s">
        <v>76</v>
      </c>
      <c r="GY118" s="350"/>
      <c r="GZ118" s="351">
        <f t="shared" si="573"/>
        <v>0.01161806607</v>
      </c>
      <c r="HA118" s="350">
        <f t="shared" si="574"/>
        <v>0</v>
      </c>
      <c r="HB118" s="351">
        <v>0.16716266605705102</v>
      </c>
      <c r="HC118" s="350">
        <f t="shared" si="575"/>
        <v>0</v>
      </c>
      <c r="HD118" s="352">
        <f t="shared" si="576"/>
        <v>0</v>
      </c>
      <c r="HE118" s="333"/>
      <c r="HF118" s="333"/>
      <c r="HG118" s="288"/>
      <c r="HH118" s="81"/>
      <c r="HI118" s="75"/>
    </row>
    <row r="119" ht="15.75" customHeight="1">
      <c r="A119" s="348"/>
      <c r="B119" s="357"/>
      <c r="C119" s="350"/>
      <c r="D119" s="350"/>
      <c r="E119" s="350"/>
      <c r="F119" s="350"/>
      <c r="G119" s="350"/>
      <c r="H119" s="352"/>
      <c r="I119" s="333"/>
      <c r="J119" s="333"/>
      <c r="K119" s="288"/>
      <c r="L119" s="81"/>
      <c r="M119" s="348"/>
      <c r="N119" s="357"/>
      <c r="O119" s="350"/>
      <c r="P119" s="350"/>
      <c r="Q119" s="350"/>
      <c r="R119" s="350"/>
      <c r="S119" s="350"/>
      <c r="T119" s="352"/>
      <c r="U119" s="333"/>
      <c r="V119" s="333"/>
      <c r="W119" s="288"/>
      <c r="X119" s="81"/>
      <c r="Y119" s="348"/>
      <c r="Z119" s="357"/>
      <c r="AA119" s="350"/>
      <c r="AB119" s="350"/>
      <c r="AC119" s="350"/>
      <c r="AD119" s="350"/>
      <c r="AE119" s="350"/>
      <c r="AF119" s="352"/>
      <c r="AG119" s="333"/>
      <c r="AH119" s="333"/>
      <c r="AI119" s="288"/>
      <c r="AJ119" s="81"/>
      <c r="AK119" s="348"/>
      <c r="AL119" s="357"/>
      <c r="AM119" s="350"/>
      <c r="AN119" s="350"/>
      <c r="AO119" s="350"/>
      <c r="AP119" s="350"/>
      <c r="AQ119" s="350"/>
      <c r="AR119" s="352"/>
      <c r="AS119" s="333"/>
      <c r="AT119" s="333"/>
      <c r="AU119" s="288"/>
      <c r="AV119" s="81"/>
      <c r="AW119" s="348"/>
      <c r="AX119" s="357"/>
      <c r="AY119" s="350"/>
      <c r="AZ119" s="350"/>
      <c r="BA119" s="350"/>
      <c r="BB119" s="350"/>
      <c r="BC119" s="350"/>
      <c r="BD119" s="352"/>
      <c r="BE119" s="333"/>
      <c r="BF119" s="333"/>
      <c r="BG119" s="288"/>
      <c r="BH119" s="81"/>
      <c r="BI119" s="348"/>
      <c r="BJ119" s="357"/>
      <c r="BK119" s="350"/>
      <c r="BL119" s="350"/>
      <c r="BM119" s="350"/>
      <c r="BN119" s="350"/>
      <c r="BO119" s="350"/>
      <c r="BP119" s="352"/>
      <c r="BQ119" s="333"/>
      <c r="BR119" s="333"/>
      <c r="BS119" s="288"/>
      <c r="BT119" s="81"/>
      <c r="BU119" s="348"/>
      <c r="BV119" s="357"/>
      <c r="BW119" s="350"/>
      <c r="BX119" s="350"/>
      <c r="BY119" s="350"/>
      <c r="BZ119" s="350"/>
      <c r="CA119" s="350"/>
      <c r="CB119" s="352"/>
      <c r="CC119" s="333"/>
      <c r="CD119" s="333"/>
      <c r="CE119" s="288"/>
      <c r="CF119" s="81"/>
      <c r="CG119" s="348"/>
      <c r="CH119" s="357"/>
      <c r="CI119" s="350"/>
      <c r="CJ119" s="350"/>
      <c r="CK119" s="350"/>
      <c r="CL119" s="350"/>
      <c r="CM119" s="350"/>
      <c r="CN119" s="352"/>
      <c r="CO119" s="333"/>
      <c r="CP119" s="333"/>
      <c r="CQ119" s="288"/>
      <c r="CR119" s="81"/>
      <c r="CS119" s="348"/>
      <c r="CT119" s="357"/>
      <c r="CU119" s="350"/>
      <c r="CV119" s="350"/>
      <c r="CW119" s="350"/>
      <c r="CX119" s="350"/>
      <c r="CY119" s="350"/>
      <c r="CZ119" s="352"/>
      <c r="DA119" s="333"/>
      <c r="DB119" s="333"/>
      <c r="DC119" s="288"/>
      <c r="DD119" s="81"/>
      <c r="DE119" s="348"/>
      <c r="DF119" s="357"/>
      <c r="DG119" s="350"/>
      <c r="DH119" s="350"/>
      <c r="DI119" s="350"/>
      <c r="DJ119" s="350"/>
      <c r="DK119" s="350"/>
      <c r="DL119" s="352"/>
      <c r="DM119" s="333"/>
      <c r="DN119" s="333"/>
      <c r="DO119" s="288"/>
      <c r="DP119" s="81"/>
      <c r="DQ119" s="348"/>
      <c r="DR119" s="357"/>
      <c r="DS119" s="350"/>
      <c r="DT119" s="350"/>
      <c r="DU119" s="350"/>
      <c r="DV119" s="350"/>
      <c r="DW119" s="350"/>
      <c r="DX119" s="352"/>
      <c r="DY119" s="333"/>
      <c r="DZ119" s="333"/>
      <c r="EA119" s="288"/>
      <c r="EB119" s="81"/>
      <c r="EC119" s="348"/>
      <c r="ED119" s="357"/>
      <c r="EE119" s="350"/>
      <c r="EF119" s="350"/>
      <c r="EG119" s="350"/>
      <c r="EH119" s="350"/>
      <c r="EI119" s="350"/>
      <c r="EJ119" s="352"/>
      <c r="EK119" s="333"/>
      <c r="EL119" s="333"/>
      <c r="EM119" s="288"/>
      <c r="EN119" s="81"/>
      <c r="EO119" s="348"/>
      <c r="EP119" s="357"/>
      <c r="EQ119" s="350"/>
      <c r="ER119" s="350"/>
      <c r="ES119" s="350"/>
      <c r="ET119" s="350"/>
      <c r="EU119" s="350"/>
      <c r="EV119" s="352"/>
      <c r="EW119" s="333"/>
      <c r="EX119" s="333"/>
      <c r="EY119" s="288"/>
      <c r="EZ119" s="81"/>
      <c r="FA119" s="348"/>
      <c r="FB119" s="357"/>
      <c r="FC119" s="350"/>
      <c r="FD119" s="350"/>
      <c r="FE119" s="350"/>
      <c r="FF119" s="350"/>
      <c r="FG119" s="350"/>
      <c r="FH119" s="352"/>
      <c r="FI119" s="333"/>
      <c r="FJ119" s="333"/>
      <c r="FK119" s="288"/>
      <c r="FL119" s="81"/>
      <c r="FM119" s="348"/>
      <c r="FN119" s="357"/>
      <c r="FO119" s="350"/>
      <c r="FP119" s="350"/>
      <c r="FQ119" s="350"/>
      <c r="FR119" s="350"/>
      <c r="FS119" s="350"/>
      <c r="FT119" s="352"/>
      <c r="FU119" s="333"/>
      <c r="FV119" s="333"/>
      <c r="FW119" s="288"/>
      <c r="FX119" s="81"/>
      <c r="FY119" s="348"/>
      <c r="FZ119" s="357"/>
      <c r="GA119" s="350"/>
      <c r="GB119" s="350"/>
      <c r="GC119" s="350"/>
      <c r="GD119" s="350"/>
      <c r="GE119" s="350"/>
      <c r="GF119" s="352"/>
      <c r="GG119" s="333"/>
      <c r="GH119" s="333"/>
      <c r="GI119" s="288"/>
      <c r="GJ119" s="81"/>
      <c r="GK119" s="348"/>
      <c r="GL119" s="357"/>
      <c r="GM119" s="350"/>
      <c r="GN119" s="350"/>
      <c r="GO119" s="350"/>
      <c r="GP119" s="350"/>
      <c r="GQ119" s="350"/>
      <c r="GR119" s="352"/>
      <c r="GS119" s="333"/>
      <c r="GT119" s="333"/>
      <c r="GU119" s="288"/>
      <c r="GV119" s="81"/>
      <c r="GW119" s="348"/>
      <c r="GX119" s="357"/>
      <c r="GY119" s="350"/>
      <c r="GZ119" s="350"/>
      <c r="HA119" s="350"/>
      <c r="HB119" s="350"/>
      <c r="HC119" s="350"/>
      <c r="HD119" s="352"/>
      <c r="HE119" s="333"/>
      <c r="HF119" s="333"/>
      <c r="HG119" s="288"/>
      <c r="HH119" s="81"/>
      <c r="HI119" s="75"/>
    </row>
    <row r="120" ht="15.75" customHeight="1">
      <c r="A120" s="358" t="s">
        <v>77</v>
      </c>
      <c r="B120" s="127"/>
      <c r="C120" s="359">
        <f>SUM(C113:C119)</f>
        <v>0</v>
      </c>
      <c r="D120" s="360"/>
      <c r="E120" s="359">
        <f>SUM(E113:E119)</f>
        <v>0</v>
      </c>
      <c r="F120" s="361"/>
      <c r="G120" s="359">
        <f t="shared" ref="G120:H120" si="595">SUM(G113:G119)</f>
        <v>0</v>
      </c>
      <c r="H120" s="362">
        <f t="shared" si="595"/>
        <v>0</v>
      </c>
      <c r="I120" s="363"/>
      <c r="J120" s="363"/>
      <c r="K120" s="304"/>
      <c r="L120" s="133"/>
      <c r="M120" s="358" t="s">
        <v>77</v>
      </c>
      <c r="N120" s="127"/>
      <c r="O120" s="359">
        <f>SUM(O113:O119)</f>
        <v>0</v>
      </c>
      <c r="P120" s="360"/>
      <c r="Q120" s="359">
        <f>SUM(Q113:Q119)</f>
        <v>0</v>
      </c>
      <c r="R120" s="361"/>
      <c r="S120" s="359">
        <f t="shared" ref="S120:T120" si="596">SUM(S113:S119)</f>
        <v>0</v>
      </c>
      <c r="T120" s="362">
        <f t="shared" si="596"/>
        <v>0</v>
      </c>
      <c r="U120" s="363"/>
      <c r="V120" s="363"/>
      <c r="W120" s="304"/>
      <c r="X120" s="133"/>
      <c r="Y120" s="358" t="s">
        <v>77</v>
      </c>
      <c r="Z120" s="127"/>
      <c r="AA120" s="359">
        <f>SUM(AA113:AA119)</f>
        <v>0</v>
      </c>
      <c r="AB120" s="360"/>
      <c r="AC120" s="359">
        <f>SUM(AC113:AC119)</f>
        <v>0</v>
      </c>
      <c r="AD120" s="361"/>
      <c r="AE120" s="359">
        <f t="shared" ref="AE120:AF120" si="597">SUM(AE113:AE119)</f>
        <v>0</v>
      </c>
      <c r="AF120" s="362">
        <f t="shared" si="597"/>
        <v>0</v>
      </c>
      <c r="AG120" s="363"/>
      <c r="AH120" s="363"/>
      <c r="AI120" s="304"/>
      <c r="AJ120" s="133"/>
      <c r="AK120" s="358" t="s">
        <v>77</v>
      </c>
      <c r="AL120" s="127"/>
      <c r="AM120" s="359">
        <f>SUM(AM113:AM119)</f>
        <v>0</v>
      </c>
      <c r="AN120" s="360"/>
      <c r="AO120" s="359">
        <f>SUM(AO113:AO119)</f>
        <v>0</v>
      </c>
      <c r="AP120" s="361"/>
      <c r="AQ120" s="359">
        <f t="shared" ref="AQ120:AR120" si="598">SUM(AQ113:AQ119)</f>
        <v>0</v>
      </c>
      <c r="AR120" s="362">
        <f t="shared" si="598"/>
        <v>0</v>
      </c>
      <c r="AS120" s="363"/>
      <c r="AT120" s="363"/>
      <c r="AU120" s="304"/>
      <c r="AV120" s="133"/>
      <c r="AW120" s="358" t="s">
        <v>77</v>
      </c>
      <c r="AX120" s="127"/>
      <c r="AY120" s="359">
        <f>SUM(AY113:AY119)</f>
        <v>0</v>
      </c>
      <c r="AZ120" s="360"/>
      <c r="BA120" s="359">
        <f>SUM(BA113:BA119)</f>
        <v>0</v>
      </c>
      <c r="BB120" s="361"/>
      <c r="BC120" s="359">
        <f t="shared" ref="BC120:BD120" si="599">SUM(BC113:BC119)</f>
        <v>0</v>
      </c>
      <c r="BD120" s="362">
        <f t="shared" si="599"/>
        <v>0</v>
      </c>
      <c r="BE120" s="363"/>
      <c r="BF120" s="363"/>
      <c r="BG120" s="304"/>
      <c r="BH120" s="133"/>
      <c r="BI120" s="358" t="s">
        <v>77</v>
      </c>
      <c r="BJ120" s="127"/>
      <c r="BK120" s="359">
        <f>SUM(BK113:BK119)</f>
        <v>0</v>
      </c>
      <c r="BL120" s="360"/>
      <c r="BM120" s="359">
        <f>SUM(BM113:BM119)</f>
        <v>0</v>
      </c>
      <c r="BN120" s="361"/>
      <c r="BO120" s="359">
        <f t="shared" ref="BO120:BP120" si="600">SUM(BO113:BO119)</f>
        <v>0</v>
      </c>
      <c r="BP120" s="362">
        <f t="shared" si="600"/>
        <v>0</v>
      </c>
      <c r="BQ120" s="363"/>
      <c r="BR120" s="363"/>
      <c r="BS120" s="304"/>
      <c r="BT120" s="133"/>
      <c r="BU120" s="358" t="s">
        <v>77</v>
      </c>
      <c r="BV120" s="127"/>
      <c r="BW120" s="359">
        <f>SUM(BW113:BW119)</f>
        <v>0</v>
      </c>
      <c r="BX120" s="360"/>
      <c r="BY120" s="359">
        <f>SUM(BY113:BY119)</f>
        <v>0</v>
      </c>
      <c r="BZ120" s="361"/>
      <c r="CA120" s="359">
        <f t="shared" ref="CA120:CB120" si="601">SUM(CA113:CA119)</f>
        <v>0</v>
      </c>
      <c r="CB120" s="362">
        <f t="shared" si="601"/>
        <v>0</v>
      </c>
      <c r="CC120" s="363"/>
      <c r="CD120" s="363"/>
      <c r="CE120" s="304"/>
      <c r="CF120" s="133"/>
      <c r="CG120" s="358" t="s">
        <v>77</v>
      </c>
      <c r="CH120" s="127"/>
      <c r="CI120" s="359">
        <f>SUM(CI113:CI119)</f>
        <v>0</v>
      </c>
      <c r="CJ120" s="360"/>
      <c r="CK120" s="359">
        <f>SUM(CK113:CK119)</f>
        <v>0</v>
      </c>
      <c r="CL120" s="361"/>
      <c r="CM120" s="359">
        <f t="shared" ref="CM120:CN120" si="602">SUM(CM113:CM119)</f>
        <v>0</v>
      </c>
      <c r="CN120" s="362">
        <f t="shared" si="602"/>
        <v>0</v>
      </c>
      <c r="CO120" s="363"/>
      <c r="CP120" s="363"/>
      <c r="CQ120" s="304"/>
      <c r="CR120" s="133"/>
      <c r="CS120" s="358" t="s">
        <v>77</v>
      </c>
      <c r="CT120" s="127"/>
      <c r="CU120" s="359">
        <f>SUM(CU113:CU119)</f>
        <v>0</v>
      </c>
      <c r="CV120" s="360"/>
      <c r="CW120" s="359">
        <f>SUM(CW113:CW119)</f>
        <v>0</v>
      </c>
      <c r="CX120" s="361"/>
      <c r="CY120" s="359">
        <f t="shared" ref="CY120:CZ120" si="603">SUM(CY113:CY119)</f>
        <v>0</v>
      </c>
      <c r="CZ120" s="362">
        <f t="shared" si="603"/>
        <v>0</v>
      </c>
      <c r="DA120" s="363"/>
      <c r="DB120" s="363"/>
      <c r="DC120" s="304"/>
      <c r="DD120" s="133"/>
      <c r="DE120" s="358" t="s">
        <v>77</v>
      </c>
      <c r="DF120" s="127"/>
      <c r="DG120" s="359">
        <f>SUM(DG113:DG119)</f>
        <v>3614468.179</v>
      </c>
      <c r="DH120" s="360"/>
      <c r="DI120" s="359">
        <f>SUM(DI113:DI119)</f>
        <v>41993.1301</v>
      </c>
      <c r="DJ120" s="361"/>
      <c r="DK120" s="359">
        <f t="shared" ref="DK120:DL120" si="604">SUM(DK113:DK119)</f>
        <v>7019.683584</v>
      </c>
      <c r="DL120" s="362">
        <f t="shared" si="604"/>
        <v>34973.44652</v>
      </c>
      <c r="DM120" s="363"/>
      <c r="DN120" s="363"/>
      <c r="DO120" s="304"/>
      <c r="DP120" s="133"/>
      <c r="DQ120" s="358" t="s">
        <v>77</v>
      </c>
      <c r="DR120" s="127"/>
      <c r="DS120" s="359">
        <f>SUM(DS113:DS119)</f>
        <v>3450176.664</v>
      </c>
      <c r="DT120" s="360"/>
      <c r="DU120" s="359">
        <f>SUM(DU113:DU119)</f>
        <v>40084.38043</v>
      </c>
      <c r="DV120" s="361"/>
      <c r="DW120" s="359">
        <f t="shared" ref="DW120:DX120" si="605">SUM(DW113:DW119)</f>
        <v>6700.6119</v>
      </c>
      <c r="DX120" s="362">
        <f t="shared" si="605"/>
        <v>33383.76853</v>
      </c>
      <c r="DY120" s="363"/>
      <c r="DZ120" s="363"/>
      <c r="EA120" s="304"/>
      <c r="EB120" s="133"/>
      <c r="EC120" s="358" t="s">
        <v>77</v>
      </c>
      <c r="ED120" s="127"/>
      <c r="EE120" s="359">
        <f>SUM(EE113:EE119)</f>
        <v>3537792.343</v>
      </c>
      <c r="EF120" s="360"/>
      <c r="EG120" s="359">
        <f>SUM(EG113:EG119)</f>
        <v>41102.30517</v>
      </c>
      <c r="EH120" s="361"/>
      <c r="EI120" s="359">
        <f t="shared" ref="EI120:EJ120" si="606">SUM(EI113:EI119)</f>
        <v>6870.770913</v>
      </c>
      <c r="EJ120" s="362">
        <f t="shared" si="606"/>
        <v>34231.53426</v>
      </c>
      <c r="EK120" s="363"/>
      <c r="EL120" s="363"/>
      <c r="EM120" s="304"/>
      <c r="EN120" s="133"/>
      <c r="EO120" s="358" t="s">
        <v>77</v>
      </c>
      <c r="EP120" s="127"/>
      <c r="EQ120" s="359">
        <f>SUM(EQ113:EQ119)</f>
        <v>3698606.722</v>
      </c>
      <c r="ER120" s="360"/>
      <c r="ES120" s="359">
        <f>SUM(ES113:ES119)</f>
        <v>42970.65725</v>
      </c>
      <c r="ET120" s="361"/>
      <c r="EU120" s="359">
        <f t="shared" ref="EU120:EV120" si="607">SUM(EU113:EU119)</f>
        <v>7183.089629</v>
      </c>
      <c r="EV120" s="362">
        <f t="shared" si="607"/>
        <v>35787.56763</v>
      </c>
      <c r="EW120" s="363"/>
      <c r="EX120" s="363"/>
      <c r="EY120" s="304"/>
      <c r="EZ120" s="133"/>
      <c r="FA120" s="358" t="s">
        <v>77</v>
      </c>
      <c r="FB120" s="127"/>
      <c r="FC120" s="359">
        <f>SUM(FC113:FC119)</f>
        <v>3753957.373</v>
      </c>
      <c r="FD120" s="360"/>
      <c r="FE120" s="359">
        <f>SUM(FE113:FE119)</f>
        <v>43613.72477</v>
      </c>
      <c r="FF120" s="361"/>
      <c r="FG120" s="359">
        <f t="shared" ref="FG120:FH120" si="608">SUM(FG113:FG119)</f>
        <v>7290.58651</v>
      </c>
      <c r="FH120" s="362">
        <f t="shared" si="608"/>
        <v>36323.13826</v>
      </c>
      <c r="FI120" s="363"/>
      <c r="FJ120" s="363"/>
      <c r="FK120" s="304"/>
      <c r="FL120" s="133"/>
      <c r="FM120" s="358" t="s">
        <v>77</v>
      </c>
      <c r="FN120" s="127"/>
      <c r="FO120" s="359">
        <f>SUM(FO113:FO119)</f>
        <v>4153095.55</v>
      </c>
      <c r="FP120" s="360"/>
      <c r="FQ120" s="359">
        <f>SUM(FQ113:FQ119)</f>
        <v>48250.93848</v>
      </c>
      <c r="FR120" s="361"/>
      <c r="FS120" s="359">
        <f t="shared" ref="FS120:FT120" si="609">SUM(FS113:FS119)</f>
        <v>8065.755516</v>
      </c>
      <c r="FT120" s="362">
        <f t="shared" si="609"/>
        <v>40185.18296</v>
      </c>
      <c r="FU120" s="363"/>
      <c r="FV120" s="363"/>
      <c r="FW120" s="304"/>
      <c r="FX120" s="133"/>
      <c r="FY120" s="358" t="s">
        <v>77</v>
      </c>
      <c r="FZ120" s="127"/>
      <c r="GA120" s="359">
        <f>SUM(GA113:GA119)</f>
        <v>4402033.035</v>
      </c>
      <c r="GB120" s="360"/>
      <c r="GC120" s="359">
        <f>SUM(GC113:GC119)</f>
        <v>51143.11063</v>
      </c>
      <c r="GD120" s="361"/>
      <c r="GE120" s="359">
        <f t="shared" ref="GE120:GF120" si="610">SUM(GE113:GE119)</f>
        <v>8549.218724</v>
      </c>
      <c r="GF120" s="362">
        <f t="shared" si="610"/>
        <v>42593.89191</v>
      </c>
      <c r="GG120" s="363"/>
      <c r="GH120" s="363"/>
      <c r="GI120" s="304"/>
      <c r="GJ120" s="133"/>
      <c r="GK120" s="358" t="s">
        <v>77</v>
      </c>
      <c r="GL120" s="127"/>
      <c r="GM120" s="359">
        <f>SUM(GM113:GM119)</f>
        <v>0</v>
      </c>
      <c r="GN120" s="360"/>
      <c r="GO120" s="359">
        <f>SUM(GO113:GO119)</f>
        <v>0</v>
      </c>
      <c r="GP120" s="361"/>
      <c r="GQ120" s="359">
        <f t="shared" ref="GQ120:GR120" si="611">SUM(GQ113:GQ119)</f>
        <v>0</v>
      </c>
      <c r="GR120" s="362">
        <f t="shared" si="611"/>
        <v>0</v>
      </c>
      <c r="GS120" s="363"/>
      <c r="GT120" s="363"/>
      <c r="GU120" s="304"/>
      <c r="GV120" s="133"/>
      <c r="GW120" s="358" t="s">
        <v>77</v>
      </c>
      <c r="GX120" s="127"/>
      <c r="GY120" s="359">
        <f>SUM(GY113:GY119)</f>
        <v>0</v>
      </c>
      <c r="GZ120" s="360"/>
      <c r="HA120" s="359">
        <f>SUM(HA113:HA119)</f>
        <v>0</v>
      </c>
      <c r="HB120" s="361"/>
      <c r="HC120" s="359">
        <f t="shared" ref="HC120:HD120" si="612">SUM(HC113:HC119)</f>
        <v>0</v>
      </c>
      <c r="HD120" s="362">
        <f t="shared" si="612"/>
        <v>0</v>
      </c>
      <c r="HE120" s="363"/>
      <c r="HF120" s="363"/>
      <c r="HG120" s="304"/>
      <c r="HH120" s="133"/>
      <c r="HI120" s="132"/>
    </row>
    <row r="121" ht="15.75" customHeight="1">
      <c r="A121" s="348"/>
      <c r="B121" s="349"/>
      <c r="C121" s="349"/>
      <c r="D121" s="349"/>
      <c r="E121" s="350"/>
      <c r="F121" s="350"/>
      <c r="G121" s="350"/>
      <c r="H121" s="364"/>
      <c r="I121" s="365"/>
      <c r="J121" s="365"/>
      <c r="K121" s="306"/>
      <c r="L121" s="136"/>
      <c r="M121" s="348"/>
      <c r="N121" s="349"/>
      <c r="O121" s="349"/>
      <c r="P121" s="349"/>
      <c r="Q121" s="350"/>
      <c r="R121" s="350"/>
      <c r="S121" s="350"/>
      <c r="T121" s="364"/>
      <c r="U121" s="365"/>
      <c r="V121" s="365"/>
      <c r="W121" s="306"/>
      <c r="X121" s="136"/>
      <c r="Y121" s="348"/>
      <c r="Z121" s="349"/>
      <c r="AA121" s="349"/>
      <c r="AB121" s="349"/>
      <c r="AC121" s="350"/>
      <c r="AD121" s="350"/>
      <c r="AE121" s="350"/>
      <c r="AF121" s="364"/>
      <c r="AG121" s="365"/>
      <c r="AH121" s="365"/>
      <c r="AI121" s="306"/>
      <c r="AJ121" s="136"/>
      <c r="AK121" s="348"/>
      <c r="AL121" s="349"/>
      <c r="AM121" s="349"/>
      <c r="AN121" s="349"/>
      <c r="AO121" s="350"/>
      <c r="AP121" s="350"/>
      <c r="AQ121" s="350"/>
      <c r="AR121" s="364"/>
      <c r="AS121" s="365"/>
      <c r="AT121" s="365"/>
      <c r="AU121" s="306"/>
      <c r="AV121" s="136"/>
      <c r="AW121" s="348"/>
      <c r="AX121" s="349"/>
      <c r="AY121" s="349"/>
      <c r="AZ121" s="349"/>
      <c r="BA121" s="350"/>
      <c r="BB121" s="350"/>
      <c r="BC121" s="350"/>
      <c r="BD121" s="364"/>
      <c r="BE121" s="365"/>
      <c r="BF121" s="365"/>
      <c r="BG121" s="306"/>
      <c r="BH121" s="136"/>
      <c r="BI121" s="348"/>
      <c r="BJ121" s="349"/>
      <c r="BK121" s="349"/>
      <c r="BL121" s="349"/>
      <c r="BM121" s="350"/>
      <c r="BN121" s="350"/>
      <c r="BO121" s="350"/>
      <c r="BP121" s="364"/>
      <c r="BQ121" s="365"/>
      <c r="BR121" s="365"/>
      <c r="BS121" s="306"/>
      <c r="BT121" s="136"/>
      <c r="BU121" s="348"/>
      <c r="BV121" s="349"/>
      <c r="BW121" s="349"/>
      <c r="BX121" s="349"/>
      <c r="BY121" s="350"/>
      <c r="BZ121" s="350"/>
      <c r="CA121" s="350"/>
      <c r="CB121" s="364"/>
      <c r="CC121" s="365"/>
      <c r="CD121" s="365"/>
      <c r="CE121" s="306"/>
      <c r="CF121" s="136"/>
      <c r="CG121" s="348"/>
      <c r="CH121" s="349"/>
      <c r="CI121" s="349"/>
      <c r="CJ121" s="349"/>
      <c r="CK121" s="350"/>
      <c r="CL121" s="350"/>
      <c r="CM121" s="350"/>
      <c r="CN121" s="364"/>
      <c r="CO121" s="365"/>
      <c r="CP121" s="365"/>
      <c r="CQ121" s="306"/>
      <c r="CR121" s="136"/>
      <c r="CS121" s="348"/>
      <c r="CT121" s="349"/>
      <c r="CU121" s="349"/>
      <c r="CV121" s="349"/>
      <c r="CW121" s="350"/>
      <c r="CX121" s="350"/>
      <c r="CY121" s="350"/>
      <c r="CZ121" s="364"/>
      <c r="DA121" s="365"/>
      <c r="DB121" s="365"/>
      <c r="DC121" s="306"/>
      <c r="DD121" s="136"/>
      <c r="DE121" s="348"/>
      <c r="DF121" s="349"/>
      <c r="DG121" s="349"/>
      <c r="DH121" s="349"/>
      <c r="DI121" s="350"/>
      <c r="DJ121" s="350"/>
      <c r="DK121" s="350"/>
      <c r="DL121" s="364"/>
      <c r="DM121" s="365"/>
      <c r="DN121" s="365"/>
      <c r="DO121" s="306"/>
      <c r="DP121" s="136"/>
      <c r="DQ121" s="348"/>
      <c r="DR121" s="349"/>
      <c r="DS121" s="349"/>
      <c r="DT121" s="349"/>
      <c r="DU121" s="350"/>
      <c r="DV121" s="350"/>
      <c r="DW121" s="350"/>
      <c r="DX121" s="364"/>
      <c r="DY121" s="365"/>
      <c r="DZ121" s="365"/>
      <c r="EA121" s="306"/>
      <c r="EB121" s="136"/>
      <c r="EC121" s="348"/>
      <c r="ED121" s="349"/>
      <c r="EE121" s="349"/>
      <c r="EF121" s="349"/>
      <c r="EG121" s="350"/>
      <c r="EH121" s="350"/>
      <c r="EI121" s="350"/>
      <c r="EJ121" s="364"/>
      <c r="EK121" s="365"/>
      <c r="EL121" s="365"/>
      <c r="EM121" s="306"/>
      <c r="EN121" s="136"/>
      <c r="EO121" s="348"/>
      <c r="EP121" s="349"/>
      <c r="EQ121" s="349"/>
      <c r="ER121" s="349"/>
      <c r="ES121" s="350"/>
      <c r="ET121" s="350"/>
      <c r="EU121" s="350"/>
      <c r="EV121" s="364"/>
      <c r="EW121" s="365"/>
      <c r="EX121" s="365"/>
      <c r="EY121" s="306"/>
      <c r="EZ121" s="136"/>
      <c r="FA121" s="348"/>
      <c r="FB121" s="349"/>
      <c r="FC121" s="349"/>
      <c r="FD121" s="349"/>
      <c r="FE121" s="350"/>
      <c r="FF121" s="350"/>
      <c r="FG121" s="350"/>
      <c r="FH121" s="364"/>
      <c r="FI121" s="365"/>
      <c r="FJ121" s="365"/>
      <c r="FK121" s="306"/>
      <c r="FL121" s="136"/>
      <c r="FM121" s="348"/>
      <c r="FN121" s="349"/>
      <c r="FO121" s="349"/>
      <c r="FP121" s="349"/>
      <c r="FQ121" s="350"/>
      <c r="FR121" s="350"/>
      <c r="FS121" s="350"/>
      <c r="FT121" s="364"/>
      <c r="FU121" s="365"/>
      <c r="FV121" s="365"/>
      <c r="FW121" s="306"/>
      <c r="FX121" s="136"/>
      <c r="FY121" s="348"/>
      <c r="FZ121" s="349"/>
      <c r="GA121" s="349"/>
      <c r="GB121" s="349"/>
      <c r="GC121" s="350"/>
      <c r="GD121" s="350"/>
      <c r="GE121" s="350"/>
      <c r="GF121" s="364"/>
      <c r="GG121" s="365"/>
      <c r="GH121" s="365"/>
      <c r="GI121" s="306"/>
      <c r="GJ121" s="136"/>
      <c r="GK121" s="348"/>
      <c r="GL121" s="349"/>
      <c r="GM121" s="349"/>
      <c r="GN121" s="349"/>
      <c r="GO121" s="350"/>
      <c r="GP121" s="350"/>
      <c r="GQ121" s="350"/>
      <c r="GR121" s="364"/>
      <c r="GS121" s="365"/>
      <c r="GT121" s="365"/>
      <c r="GU121" s="306"/>
      <c r="GV121" s="136"/>
      <c r="GW121" s="348"/>
      <c r="GX121" s="349"/>
      <c r="GY121" s="349"/>
      <c r="GZ121" s="349"/>
      <c r="HA121" s="350"/>
      <c r="HB121" s="350"/>
      <c r="HC121" s="350"/>
      <c r="HD121" s="364"/>
      <c r="HE121" s="365"/>
      <c r="HF121" s="365"/>
      <c r="HG121" s="306"/>
      <c r="HH121" s="136"/>
      <c r="HI121" s="135"/>
    </row>
    <row r="122" ht="15.75" customHeight="1">
      <c r="A122" s="348"/>
      <c r="B122" s="366" t="str">
        <f>"Adjusment "&amp;" %"</f>
        <v>Adjusment  %</v>
      </c>
      <c r="C122" s="367"/>
      <c r="D122" s="368"/>
      <c r="E122" s="369">
        <f>C122/100*E120</f>
        <v>0</v>
      </c>
      <c r="F122" s="370"/>
      <c r="G122" s="350">
        <f>IFERROR(+E122-H122,"")</f>
        <v>0</v>
      </c>
      <c r="H122" s="371">
        <f>C122/100*H120</f>
        <v>0</v>
      </c>
      <c r="I122" s="333"/>
      <c r="J122" s="333"/>
      <c r="K122" s="288"/>
      <c r="L122" s="81"/>
      <c r="M122" s="348"/>
      <c r="N122" s="366" t="str">
        <f>"Adjusment "&amp;" %"</f>
        <v>Adjusment  %</v>
      </c>
      <c r="O122" s="367"/>
      <c r="P122" s="368"/>
      <c r="Q122" s="369">
        <f>O122/100*Q120</f>
        <v>0</v>
      </c>
      <c r="R122" s="370"/>
      <c r="S122" s="350">
        <f>IFERROR(+Q122-T122,"")</f>
        <v>0</v>
      </c>
      <c r="T122" s="371">
        <f>O122/100*T120</f>
        <v>0</v>
      </c>
      <c r="U122" s="333"/>
      <c r="V122" s="333"/>
      <c r="W122" s="288"/>
      <c r="X122" s="81"/>
      <c r="Y122" s="348"/>
      <c r="Z122" s="366" t="str">
        <f>"Adjusment "&amp;" %"</f>
        <v>Adjusment  %</v>
      </c>
      <c r="AA122" s="367"/>
      <c r="AB122" s="368"/>
      <c r="AC122" s="369">
        <f>AA122/100*AC120</f>
        <v>0</v>
      </c>
      <c r="AD122" s="370"/>
      <c r="AE122" s="350">
        <f>IFERROR(+AC122-AF122,"")</f>
        <v>0</v>
      </c>
      <c r="AF122" s="371">
        <f>AA122/100*AF120</f>
        <v>0</v>
      </c>
      <c r="AG122" s="333"/>
      <c r="AH122" s="333"/>
      <c r="AI122" s="288"/>
      <c r="AJ122" s="81"/>
      <c r="AK122" s="348"/>
      <c r="AL122" s="366" t="str">
        <f>"Adjusment "&amp;" %"</f>
        <v>Adjusment  %</v>
      </c>
      <c r="AM122" s="367"/>
      <c r="AN122" s="368"/>
      <c r="AO122" s="369">
        <f>AM122/100*AO120</f>
        <v>0</v>
      </c>
      <c r="AP122" s="370"/>
      <c r="AQ122" s="350">
        <f>IFERROR(+AO122-AR122,"")</f>
        <v>0</v>
      </c>
      <c r="AR122" s="371">
        <f>AM122/100*AR120</f>
        <v>0</v>
      </c>
      <c r="AS122" s="333"/>
      <c r="AT122" s="333"/>
      <c r="AU122" s="288"/>
      <c r="AV122" s="81"/>
      <c r="AW122" s="348"/>
      <c r="AX122" s="366" t="str">
        <f>"Adjusment "&amp;" %"</f>
        <v>Adjusment  %</v>
      </c>
      <c r="AY122" s="367"/>
      <c r="AZ122" s="368"/>
      <c r="BA122" s="369">
        <f>AY122/100*BA120</f>
        <v>0</v>
      </c>
      <c r="BB122" s="370"/>
      <c r="BC122" s="350">
        <f>IFERROR(+BA122-BD122,"")</f>
        <v>0</v>
      </c>
      <c r="BD122" s="371">
        <f>AY122/100*BD120</f>
        <v>0</v>
      </c>
      <c r="BE122" s="333"/>
      <c r="BF122" s="333"/>
      <c r="BG122" s="288"/>
      <c r="BH122" s="81"/>
      <c r="BI122" s="348"/>
      <c r="BJ122" s="366" t="str">
        <f>"Adjusment "&amp;" %"</f>
        <v>Adjusment  %</v>
      </c>
      <c r="BK122" s="367"/>
      <c r="BL122" s="368"/>
      <c r="BM122" s="369">
        <f>BK122/100*BM120</f>
        <v>0</v>
      </c>
      <c r="BN122" s="370"/>
      <c r="BO122" s="350">
        <f>IFERROR(+BM122-BP122,"")</f>
        <v>0</v>
      </c>
      <c r="BP122" s="371">
        <f>BK122/100*BP120</f>
        <v>0</v>
      </c>
      <c r="BQ122" s="333"/>
      <c r="BR122" s="333"/>
      <c r="BS122" s="288"/>
      <c r="BT122" s="81"/>
      <c r="BU122" s="348"/>
      <c r="BV122" s="366" t="str">
        <f>"Adjusment "&amp;" %"</f>
        <v>Adjusment  %</v>
      </c>
      <c r="BW122" s="367"/>
      <c r="BX122" s="368"/>
      <c r="BY122" s="369">
        <f>BW122/100*BY120</f>
        <v>0</v>
      </c>
      <c r="BZ122" s="370"/>
      <c r="CA122" s="350">
        <f>IFERROR(+BY122-CB122,"")</f>
        <v>0</v>
      </c>
      <c r="CB122" s="371">
        <f>BW122/100*CB120</f>
        <v>0</v>
      </c>
      <c r="CC122" s="333"/>
      <c r="CD122" s="333"/>
      <c r="CE122" s="288"/>
      <c r="CF122" s="81"/>
      <c r="CG122" s="348"/>
      <c r="CH122" s="366" t="str">
        <f>"Adjusment "&amp;" %"</f>
        <v>Adjusment  %</v>
      </c>
      <c r="CI122" s="367"/>
      <c r="CJ122" s="368"/>
      <c r="CK122" s="369">
        <f>CI122/100*CK120</f>
        <v>0</v>
      </c>
      <c r="CL122" s="370"/>
      <c r="CM122" s="350">
        <f>IFERROR(+CK122-CN122,"")</f>
        <v>0</v>
      </c>
      <c r="CN122" s="371">
        <f>CI122/100*CN120</f>
        <v>0</v>
      </c>
      <c r="CO122" s="333"/>
      <c r="CP122" s="333"/>
      <c r="CQ122" s="288"/>
      <c r="CR122" s="81"/>
      <c r="CS122" s="348"/>
      <c r="CT122" s="366" t="str">
        <f>"Adjusment "&amp;" %"</f>
        <v>Adjusment  %</v>
      </c>
      <c r="CU122" s="367"/>
      <c r="CV122" s="368"/>
      <c r="CW122" s="369">
        <f>CU122/100*CW120</f>
        <v>0</v>
      </c>
      <c r="CX122" s="370"/>
      <c r="CY122" s="350">
        <f>IFERROR(+CW122-CZ122,"")</f>
        <v>0</v>
      </c>
      <c r="CZ122" s="371">
        <f>CU122/100*CZ120</f>
        <v>0</v>
      </c>
      <c r="DA122" s="333"/>
      <c r="DB122" s="333"/>
      <c r="DC122" s="288"/>
      <c r="DD122" s="81"/>
      <c r="DE122" s="348"/>
      <c r="DF122" s="366" t="str">
        <f>"Adjusment "&amp;" %"</f>
        <v>Adjusment  %</v>
      </c>
      <c r="DG122" s="367"/>
      <c r="DH122" s="368"/>
      <c r="DI122" s="369">
        <f>DG122/100*DI120</f>
        <v>0</v>
      </c>
      <c r="DJ122" s="370"/>
      <c r="DK122" s="350">
        <f>IFERROR(+DI122-DL122,"")</f>
        <v>0</v>
      </c>
      <c r="DL122" s="371">
        <f>DG122/100*DL120</f>
        <v>0</v>
      </c>
      <c r="DM122" s="333"/>
      <c r="DN122" s="333"/>
      <c r="DO122" s="288"/>
      <c r="DP122" s="81"/>
      <c r="DQ122" s="348"/>
      <c r="DR122" s="366" t="str">
        <f>"Adjusment "&amp;" %"</f>
        <v>Adjusment  %</v>
      </c>
      <c r="DS122" s="367"/>
      <c r="DT122" s="368"/>
      <c r="DU122" s="369">
        <f>DS122/100*DU120</f>
        <v>0</v>
      </c>
      <c r="DV122" s="370"/>
      <c r="DW122" s="350">
        <f>IFERROR(+DU122-DX122,"")</f>
        <v>0</v>
      </c>
      <c r="DX122" s="371">
        <f>DS122/100*DX120</f>
        <v>0</v>
      </c>
      <c r="DY122" s="333"/>
      <c r="DZ122" s="333"/>
      <c r="EA122" s="288"/>
      <c r="EB122" s="81"/>
      <c r="EC122" s="348"/>
      <c r="ED122" s="366" t="str">
        <f>"Adjusment "&amp;" %"</f>
        <v>Adjusment  %</v>
      </c>
      <c r="EE122" s="367"/>
      <c r="EF122" s="368"/>
      <c r="EG122" s="369">
        <f>EE122/100*EG120</f>
        <v>0</v>
      </c>
      <c r="EH122" s="370"/>
      <c r="EI122" s="350">
        <f>IFERROR(+EG122-EJ122,"")</f>
        <v>0</v>
      </c>
      <c r="EJ122" s="371">
        <f>EE122/100*EJ120</f>
        <v>0</v>
      </c>
      <c r="EK122" s="333"/>
      <c r="EL122" s="333"/>
      <c r="EM122" s="288"/>
      <c r="EN122" s="81"/>
      <c r="EO122" s="348"/>
      <c r="EP122" s="366" t="str">
        <f>"Adjusment "&amp;" %"</f>
        <v>Adjusment  %</v>
      </c>
      <c r="EQ122" s="367"/>
      <c r="ER122" s="368"/>
      <c r="ES122" s="369">
        <f>EQ122/100*ES120</f>
        <v>0</v>
      </c>
      <c r="ET122" s="370"/>
      <c r="EU122" s="350">
        <f>IFERROR(+ES122-EV122,"")</f>
        <v>0</v>
      </c>
      <c r="EV122" s="371">
        <f>EQ122/100*EV120</f>
        <v>0</v>
      </c>
      <c r="EW122" s="333"/>
      <c r="EX122" s="333"/>
      <c r="EY122" s="288"/>
      <c r="EZ122" s="81"/>
      <c r="FA122" s="348"/>
      <c r="FB122" s="366" t="str">
        <f>"Adjusment "&amp;" %"</f>
        <v>Adjusment  %</v>
      </c>
      <c r="FC122" s="367"/>
      <c r="FD122" s="368"/>
      <c r="FE122" s="369">
        <f>FC122/100*FE120</f>
        <v>0</v>
      </c>
      <c r="FF122" s="370"/>
      <c r="FG122" s="350">
        <f>IFERROR(+FE122-FH122,"")</f>
        <v>0</v>
      </c>
      <c r="FH122" s="371">
        <f>FC122/100*FH120</f>
        <v>0</v>
      </c>
      <c r="FI122" s="333"/>
      <c r="FJ122" s="333"/>
      <c r="FK122" s="288"/>
      <c r="FL122" s="81"/>
      <c r="FM122" s="348"/>
      <c r="FN122" s="366" t="str">
        <f>"Adjusment "&amp;" %"</f>
        <v>Adjusment  %</v>
      </c>
      <c r="FO122" s="367"/>
      <c r="FP122" s="368"/>
      <c r="FQ122" s="369">
        <f>FO122/100*FQ120</f>
        <v>0</v>
      </c>
      <c r="FR122" s="370"/>
      <c r="FS122" s="350">
        <f>IFERROR(+FQ122-FT122,"")</f>
        <v>0</v>
      </c>
      <c r="FT122" s="371">
        <f>FO122/100*FT120</f>
        <v>0</v>
      </c>
      <c r="FU122" s="333"/>
      <c r="FV122" s="333"/>
      <c r="FW122" s="288"/>
      <c r="FX122" s="81"/>
      <c r="FY122" s="348"/>
      <c r="FZ122" s="366" t="str">
        <f>"Adjusment "&amp;" %"</f>
        <v>Adjusment  %</v>
      </c>
      <c r="GA122" s="367"/>
      <c r="GB122" s="368"/>
      <c r="GC122" s="369">
        <f>GA122/100*GC120</f>
        <v>0</v>
      </c>
      <c r="GD122" s="370"/>
      <c r="GE122" s="350">
        <f>IFERROR(+GC122-GF122,"")</f>
        <v>0</v>
      </c>
      <c r="GF122" s="371">
        <f>GA122/100*GF120</f>
        <v>0</v>
      </c>
      <c r="GG122" s="333"/>
      <c r="GH122" s="333"/>
      <c r="GI122" s="288"/>
      <c r="GJ122" s="81"/>
      <c r="GK122" s="348"/>
      <c r="GL122" s="366" t="str">
        <f>"Adjusment "&amp;" %"</f>
        <v>Adjusment  %</v>
      </c>
      <c r="GM122" s="367"/>
      <c r="GN122" s="368"/>
      <c r="GO122" s="369">
        <f>GM122/100*GO120</f>
        <v>0</v>
      </c>
      <c r="GP122" s="370"/>
      <c r="GQ122" s="350">
        <f>IFERROR(+GO122-GR122,"")</f>
        <v>0</v>
      </c>
      <c r="GR122" s="371">
        <f>GM122/100*GR120</f>
        <v>0</v>
      </c>
      <c r="GS122" s="333"/>
      <c r="GT122" s="333"/>
      <c r="GU122" s="288"/>
      <c r="GV122" s="81"/>
      <c r="GW122" s="348"/>
      <c r="GX122" s="366" t="str">
        <f>"Adjusment "&amp;" %"</f>
        <v>Adjusment  %</v>
      </c>
      <c r="GY122" s="367"/>
      <c r="GZ122" s="368"/>
      <c r="HA122" s="369">
        <f>GY122/100*HA120</f>
        <v>0</v>
      </c>
      <c r="HB122" s="370"/>
      <c r="HC122" s="350">
        <f>IFERROR(+HA122-HD122,"")</f>
        <v>0</v>
      </c>
      <c r="HD122" s="371">
        <f>GY122/100*HD120</f>
        <v>0</v>
      </c>
      <c r="HE122" s="333"/>
      <c r="HF122" s="333"/>
      <c r="HG122" s="288"/>
      <c r="HH122" s="81"/>
      <c r="HI122" s="75"/>
    </row>
    <row r="123" ht="15.75" customHeight="1">
      <c r="A123" s="348"/>
      <c r="B123" s="357"/>
      <c r="C123" s="350"/>
      <c r="D123" s="350"/>
      <c r="E123" s="350"/>
      <c r="F123" s="350"/>
      <c r="G123" s="350"/>
      <c r="H123" s="352"/>
      <c r="I123" s="333"/>
      <c r="J123" s="333"/>
      <c r="K123" s="288"/>
      <c r="L123" s="81"/>
      <c r="M123" s="348"/>
      <c r="N123" s="357"/>
      <c r="O123" s="350"/>
      <c r="P123" s="350"/>
      <c r="Q123" s="350"/>
      <c r="R123" s="350"/>
      <c r="S123" s="350"/>
      <c r="T123" s="352"/>
      <c r="U123" s="333"/>
      <c r="V123" s="333"/>
      <c r="W123" s="288"/>
      <c r="X123" s="81"/>
      <c r="Y123" s="348"/>
      <c r="Z123" s="357"/>
      <c r="AA123" s="350"/>
      <c r="AB123" s="350"/>
      <c r="AC123" s="350"/>
      <c r="AD123" s="350"/>
      <c r="AE123" s="350"/>
      <c r="AF123" s="352"/>
      <c r="AG123" s="333"/>
      <c r="AH123" s="333"/>
      <c r="AI123" s="288"/>
      <c r="AJ123" s="81"/>
      <c r="AK123" s="348"/>
      <c r="AL123" s="357"/>
      <c r="AM123" s="350"/>
      <c r="AN123" s="350"/>
      <c r="AO123" s="350"/>
      <c r="AP123" s="350"/>
      <c r="AQ123" s="350"/>
      <c r="AR123" s="352"/>
      <c r="AS123" s="333"/>
      <c r="AT123" s="333"/>
      <c r="AU123" s="288"/>
      <c r="AV123" s="81"/>
      <c r="AW123" s="348"/>
      <c r="AX123" s="357"/>
      <c r="AY123" s="350"/>
      <c r="AZ123" s="350"/>
      <c r="BA123" s="350"/>
      <c r="BB123" s="350"/>
      <c r="BC123" s="350"/>
      <c r="BD123" s="352"/>
      <c r="BE123" s="333"/>
      <c r="BF123" s="333"/>
      <c r="BG123" s="288"/>
      <c r="BH123" s="81"/>
      <c r="BI123" s="348"/>
      <c r="BJ123" s="357"/>
      <c r="BK123" s="350"/>
      <c r="BL123" s="350"/>
      <c r="BM123" s="350"/>
      <c r="BN123" s="350"/>
      <c r="BO123" s="350"/>
      <c r="BP123" s="352"/>
      <c r="BQ123" s="333"/>
      <c r="BR123" s="333"/>
      <c r="BS123" s="288"/>
      <c r="BT123" s="81"/>
      <c r="BU123" s="348"/>
      <c r="BV123" s="357"/>
      <c r="BW123" s="350"/>
      <c r="BX123" s="350"/>
      <c r="BY123" s="350"/>
      <c r="BZ123" s="350"/>
      <c r="CA123" s="350"/>
      <c r="CB123" s="352"/>
      <c r="CC123" s="333"/>
      <c r="CD123" s="333"/>
      <c r="CE123" s="288"/>
      <c r="CF123" s="81"/>
      <c r="CG123" s="348"/>
      <c r="CH123" s="357"/>
      <c r="CI123" s="350"/>
      <c r="CJ123" s="350"/>
      <c r="CK123" s="350"/>
      <c r="CL123" s="350"/>
      <c r="CM123" s="350"/>
      <c r="CN123" s="352"/>
      <c r="CO123" s="333"/>
      <c r="CP123" s="333"/>
      <c r="CQ123" s="288"/>
      <c r="CR123" s="81"/>
      <c r="CS123" s="348"/>
      <c r="CT123" s="357"/>
      <c r="CU123" s="350"/>
      <c r="CV123" s="350"/>
      <c r="CW123" s="350"/>
      <c r="CX123" s="350"/>
      <c r="CY123" s="350"/>
      <c r="CZ123" s="352"/>
      <c r="DA123" s="333"/>
      <c r="DB123" s="333"/>
      <c r="DC123" s="288"/>
      <c r="DD123" s="81"/>
      <c r="DE123" s="348"/>
      <c r="DF123" s="357"/>
      <c r="DG123" s="350"/>
      <c r="DH123" s="350"/>
      <c r="DI123" s="350"/>
      <c r="DJ123" s="350"/>
      <c r="DK123" s="350"/>
      <c r="DL123" s="352"/>
      <c r="DM123" s="333"/>
      <c r="DN123" s="333"/>
      <c r="DO123" s="288"/>
      <c r="DP123" s="81"/>
      <c r="DQ123" s="348"/>
      <c r="DR123" s="357"/>
      <c r="DS123" s="350"/>
      <c r="DT123" s="350"/>
      <c r="DU123" s="350"/>
      <c r="DV123" s="350"/>
      <c r="DW123" s="350"/>
      <c r="DX123" s="352"/>
      <c r="DY123" s="333"/>
      <c r="DZ123" s="333"/>
      <c r="EA123" s="288"/>
      <c r="EB123" s="81"/>
      <c r="EC123" s="348"/>
      <c r="ED123" s="357"/>
      <c r="EE123" s="350"/>
      <c r="EF123" s="350"/>
      <c r="EG123" s="350"/>
      <c r="EH123" s="350"/>
      <c r="EI123" s="350"/>
      <c r="EJ123" s="352"/>
      <c r="EK123" s="333"/>
      <c r="EL123" s="333"/>
      <c r="EM123" s="288"/>
      <c r="EN123" s="81"/>
      <c r="EO123" s="348"/>
      <c r="EP123" s="357"/>
      <c r="EQ123" s="350"/>
      <c r="ER123" s="350"/>
      <c r="ES123" s="350"/>
      <c r="ET123" s="350"/>
      <c r="EU123" s="350"/>
      <c r="EV123" s="352"/>
      <c r="EW123" s="333"/>
      <c r="EX123" s="333"/>
      <c r="EY123" s="288"/>
      <c r="EZ123" s="81"/>
      <c r="FA123" s="348"/>
      <c r="FB123" s="357"/>
      <c r="FC123" s="350"/>
      <c r="FD123" s="350"/>
      <c r="FE123" s="350"/>
      <c r="FF123" s="350"/>
      <c r="FG123" s="350"/>
      <c r="FH123" s="352"/>
      <c r="FI123" s="333"/>
      <c r="FJ123" s="333"/>
      <c r="FK123" s="288"/>
      <c r="FL123" s="81"/>
      <c r="FM123" s="348"/>
      <c r="FN123" s="357"/>
      <c r="FO123" s="350"/>
      <c r="FP123" s="350"/>
      <c r="FQ123" s="350"/>
      <c r="FR123" s="350"/>
      <c r="FS123" s="350"/>
      <c r="FT123" s="352"/>
      <c r="FU123" s="333"/>
      <c r="FV123" s="333"/>
      <c r="FW123" s="288"/>
      <c r="FX123" s="81"/>
      <c r="FY123" s="348"/>
      <c r="FZ123" s="357"/>
      <c r="GA123" s="350"/>
      <c r="GB123" s="350"/>
      <c r="GC123" s="350"/>
      <c r="GD123" s="350"/>
      <c r="GE123" s="350"/>
      <c r="GF123" s="352"/>
      <c r="GG123" s="333"/>
      <c r="GH123" s="333"/>
      <c r="GI123" s="288"/>
      <c r="GJ123" s="81"/>
      <c r="GK123" s="348"/>
      <c r="GL123" s="357"/>
      <c r="GM123" s="350"/>
      <c r="GN123" s="350"/>
      <c r="GO123" s="350"/>
      <c r="GP123" s="350"/>
      <c r="GQ123" s="350"/>
      <c r="GR123" s="352"/>
      <c r="GS123" s="333"/>
      <c r="GT123" s="333"/>
      <c r="GU123" s="288"/>
      <c r="GV123" s="81"/>
      <c r="GW123" s="348"/>
      <c r="GX123" s="357"/>
      <c r="GY123" s="350"/>
      <c r="GZ123" s="350"/>
      <c r="HA123" s="350"/>
      <c r="HB123" s="350"/>
      <c r="HC123" s="350"/>
      <c r="HD123" s="352"/>
      <c r="HE123" s="333"/>
      <c r="HF123" s="333"/>
      <c r="HG123" s="288"/>
      <c r="HH123" s="81"/>
      <c r="HI123" s="75"/>
    </row>
    <row r="124" ht="24.0" customHeight="1">
      <c r="A124" s="372" t="s">
        <v>78</v>
      </c>
      <c r="B124" s="144"/>
      <c r="C124" s="373">
        <f>SUM(C120:C123)</f>
        <v>0</v>
      </c>
      <c r="D124" s="374"/>
      <c r="E124" s="373">
        <f>SUM(E120:E123)</f>
        <v>0</v>
      </c>
      <c r="F124" s="374"/>
      <c r="G124" s="373">
        <f t="shared" ref="G124:H124" si="613">SUM(G120:G123)</f>
        <v>0</v>
      </c>
      <c r="H124" s="375">
        <f t="shared" si="613"/>
        <v>0</v>
      </c>
      <c r="I124" s="333"/>
      <c r="J124" s="333"/>
      <c r="K124" s="288"/>
      <c r="L124" s="81"/>
      <c r="M124" s="372" t="s">
        <v>78</v>
      </c>
      <c r="N124" s="144"/>
      <c r="O124" s="373">
        <f>SUM(O120:O123)</f>
        <v>0</v>
      </c>
      <c r="P124" s="374"/>
      <c r="Q124" s="373">
        <f>SUM(Q120:Q123)</f>
        <v>0</v>
      </c>
      <c r="R124" s="374"/>
      <c r="S124" s="373">
        <f t="shared" ref="S124:T124" si="614">SUM(S120:S123)</f>
        <v>0</v>
      </c>
      <c r="T124" s="375">
        <f t="shared" si="614"/>
        <v>0</v>
      </c>
      <c r="U124" s="333"/>
      <c r="V124" s="333"/>
      <c r="W124" s="288"/>
      <c r="X124" s="81"/>
      <c r="Y124" s="372" t="s">
        <v>78</v>
      </c>
      <c r="Z124" s="144"/>
      <c r="AA124" s="373">
        <f>SUM(AA120:AA123)</f>
        <v>0</v>
      </c>
      <c r="AB124" s="374"/>
      <c r="AC124" s="373">
        <f>SUM(AC120:AC123)</f>
        <v>0</v>
      </c>
      <c r="AD124" s="374"/>
      <c r="AE124" s="373">
        <f t="shared" ref="AE124:AF124" si="615">SUM(AE120:AE123)</f>
        <v>0</v>
      </c>
      <c r="AF124" s="375">
        <f t="shared" si="615"/>
        <v>0</v>
      </c>
      <c r="AG124" s="333"/>
      <c r="AH124" s="333"/>
      <c r="AI124" s="288"/>
      <c r="AJ124" s="81"/>
      <c r="AK124" s="372" t="s">
        <v>78</v>
      </c>
      <c r="AL124" s="144"/>
      <c r="AM124" s="373">
        <f>SUM(AM120:AM123)</f>
        <v>0</v>
      </c>
      <c r="AN124" s="374"/>
      <c r="AO124" s="373">
        <f>SUM(AO120:AO123)</f>
        <v>0</v>
      </c>
      <c r="AP124" s="374"/>
      <c r="AQ124" s="373">
        <f t="shared" ref="AQ124:AR124" si="616">SUM(AQ120:AQ123)</f>
        <v>0</v>
      </c>
      <c r="AR124" s="375">
        <f t="shared" si="616"/>
        <v>0</v>
      </c>
      <c r="AS124" s="333"/>
      <c r="AT124" s="333"/>
      <c r="AU124" s="288"/>
      <c r="AV124" s="81"/>
      <c r="AW124" s="372" t="s">
        <v>78</v>
      </c>
      <c r="AX124" s="144"/>
      <c r="AY124" s="373">
        <f>SUM(AY120:AY123)</f>
        <v>0</v>
      </c>
      <c r="AZ124" s="374"/>
      <c r="BA124" s="373">
        <f>SUM(BA120:BA123)</f>
        <v>0</v>
      </c>
      <c r="BB124" s="374"/>
      <c r="BC124" s="373">
        <f t="shared" ref="BC124:BD124" si="617">SUM(BC120:BC123)</f>
        <v>0</v>
      </c>
      <c r="BD124" s="375">
        <f t="shared" si="617"/>
        <v>0</v>
      </c>
      <c r="BE124" s="333"/>
      <c r="BF124" s="333"/>
      <c r="BG124" s="288"/>
      <c r="BH124" s="81"/>
      <c r="BI124" s="372" t="s">
        <v>78</v>
      </c>
      <c r="BJ124" s="144"/>
      <c r="BK124" s="373">
        <f>SUM(BK120:BK123)</f>
        <v>0</v>
      </c>
      <c r="BL124" s="374"/>
      <c r="BM124" s="373">
        <f>SUM(BM120:BM123)</f>
        <v>0</v>
      </c>
      <c r="BN124" s="374"/>
      <c r="BO124" s="373">
        <f t="shared" ref="BO124:BP124" si="618">SUM(BO120:BO123)</f>
        <v>0</v>
      </c>
      <c r="BP124" s="375">
        <f t="shared" si="618"/>
        <v>0</v>
      </c>
      <c r="BQ124" s="333"/>
      <c r="BR124" s="333"/>
      <c r="BS124" s="288"/>
      <c r="BT124" s="81"/>
      <c r="BU124" s="372" t="s">
        <v>78</v>
      </c>
      <c r="BV124" s="144"/>
      <c r="BW124" s="373">
        <f>SUM(BW120:BW123)</f>
        <v>0</v>
      </c>
      <c r="BX124" s="374"/>
      <c r="BY124" s="373">
        <f>SUM(BY120:BY123)</f>
        <v>0</v>
      </c>
      <c r="BZ124" s="374"/>
      <c r="CA124" s="373">
        <f t="shared" ref="CA124:CB124" si="619">SUM(CA120:CA123)</f>
        <v>0</v>
      </c>
      <c r="CB124" s="375">
        <f t="shared" si="619"/>
        <v>0</v>
      </c>
      <c r="CC124" s="333"/>
      <c r="CD124" s="333"/>
      <c r="CE124" s="288"/>
      <c r="CF124" s="81"/>
      <c r="CG124" s="372" t="s">
        <v>78</v>
      </c>
      <c r="CH124" s="144"/>
      <c r="CI124" s="373">
        <f>SUM(CI120:CI123)</f>
        <v>0</v>
      </c>
      <c r="CJ124" s="374"/>
      <c r="CK124" s="373">
        <f>SUM(CK120:CK123)</f>
        <v>0</v>
      </c>
      <c r="CL124" s="374"/>
      <c r="CM124" s="373">
        <f t="shared" ref="CM124:CN124" si="620">SUM(CM120:CM123)</f>
        <v>0</v>
      </c>
      <c r="CN124" s="375">
        <f t="shared" si="620"/>
        <v>0</v>
      </c>
      <c r="CO124" s="333"/>
      <c r="CP124" s="333"/>
      <c r="CQ124" s="288"/>
      <c r="CR124" s="81"/>
      <c r="CS124" s="372" t="s">
        <v>78</v>
      </c>
      <c r="CT124" s="144"/>
      <c r="CU124" s="373">
        <f>SUM(CU120:CU123)</f>
        <v>0</v>
      </c>
      <c r="CV124" s="374"/>
      <c r="CW124" s="373">
        <f>SUM(CW120:CW123)</f>
        <v>0</v>
      </c>
      <c r="CX124" s="374"/>
      <c r="CY124" s="373">
        <f t="shared" ref="CY124:CZ124" si="621">SUM(CY120:CY123)</f>
        <v>0</v>
      </c>
      <c r="CZ124" s="375">
        <f t="shared" si="621"/>
        <v>0</v>
      </c>
      <c r="DA124" s="333"/>
      <c r="DB124" s="333"/>
      <c r="DC124" s="288"/>
      <c r="DD124" s="81"/>
      <c r="DE124" s="372" t="s">
        <v>78</v>
      </c>
      <c r="DF124" s="144"/>
      <c r="DG124" s="373">
        <f>SUM(DG120:DG123)</f>
        <v>3614468.179</v>
      </c>
      <c r="DH124" s="374"/>
      <c r="DI124" s="373">
        <f>SUM(DI120:DI123)</f>
        <v>41993.1301</v>
      </c>
      <c r="DJ124" s="374"/>
      <c r="DK124" s="373">
        <f t="shared" ref="DK124:DL124" si="622">SUM(DK120:DK123)</f>
        <v>7019.683584</v>
      </c>
      <c r="DL124" s="375">
        <f t="shared" si="622"/>
        <v>34973.44652</v>
      </c>
      <c r="DM124" s="333"/>
      <c r="DN124" s="333"/>
      <c r="DO124" s="288"/>
      <c r="DP124" s="81"/>
      <c r="DQ124" s="372" t="s">
        <v>78</v>
      </c>
      <c r="DR124" s="144"/>
      <c r="DS124" s="373">
        <f>SUM(DS120:DS123)</f>
        <v>3450176.664</v>
      </c>
      <c r="DT124" s="374"/>
      <c r="DU124" s="373">
        <f>SUM(DU120:DU123)</f>
        <v>40084.38043</v>
      </c>
      <c r="DV124" s="374"/>
      <c r="DW124" s="373">
        <f t="shared" ref="DW124:DX124" si="623">SUM(DW120:DW123)</f>
        <v>6700.6119</v>
      </c>
      <c r="DX124" s="375">
        <f t="shared" si="623"/>
        <v>33383.76853</v>
      </c>
      <c r="DY124" s="333"/>
      <c r="DZ124" s="333"/>
      <c r="EA124" s="288"/>
      <c r="EB124" s="81"/>
      <c r="EC124" s="372" t="s">
        <v>78</v>
      </c>
      <c r="ED124" s="144"/>
      <c r="EE124" s="373">
        <f>SUM(EE120:EE123)</f>
        <v>3537792.343</v>
      </c>
      <c r="EF124" s="374"/>
      <c r="EG124" s="373">
        <f>SUM(EG120:EG123)</f>
        <v>41102.30517</v>
      </c>
      <c r="EH124" s="374"/>
      <c r="EI124" s="373">
        <f t="shared" ref="EI124:EJ124" si="624">SUM(EI120:EI123)</f>
        <v>6870.770913</v>
      </c>
      <c r="EJ124" s="375">
        <f t="shared" si="624"/>
        <v>34231.53426</v>
      </c>
      <c r="EK124" s="333"/>
      <c r="EL124" s="333"/>
      <c r="EM124" s="288"/>
      <c r="EN124" s="81"/>
      <c r="EO124" s="372" t="s">
        <v>78</v>
      </c>
      <c r="EP124" s="144"/>
      <c r="EQ124" s="373">
        <f>SUM(EQ120:EQ123)</f>
        <v>3698606.722</v>
      </c>
      <c r="ER124" s="374"/>
      <c r="ES124" s="373">
        <f>SUM(ES120:ES123)</f>
        <v>42970.65725</v>
      </c>
      <c r="ET124" s="374"/>
      <c r="EU124" s="373">
        <f t="shared" ref="EU124:EV124" si="625">SUM(EU120:EU123)</f>
        <v>7183.089629</v>
      </c>
      <c r="EV124" s="375">
        <f t="shared" si="625"/>
        <v>35787.56763</v>
      </c>
      <c r="EW124" s="333"/>
      <c r="EX124" s="333"/>
      <c r="EY124" s="288"/>
      <c r="EZ124" s="81"/>
      <c r="FA124" s="372" t="s">
        <v>78</v>
      </c>
      <c r="FB124" s="144"/>
      <c r="FC124" s="373">
        <f>SUM(FC120:FC123)</f>
        <v>3753957.373</v>
      </c>
      <c r="FD124" s="374"/>
      <c r="FE124" s="373">
        <f>SUM(FE120:FE123)</f>
        <v>43613.72477</v>
      </c>
      <c r="FF124" s="374"/>
      <c r="FG124" s="373">
        <f t="shared" ref="FG124:FH124" si="626">SUM(FG120:FG123)</f>
        <v>7290.58651</v>
      </c>
      <c r="FH124" s="375">
        <f t="shared" si="626"/>
        <v>36323.13826</v>
      </c>
      <c r="FI124" s="333"/>
      <c r="FJ124" s="333"/>
      <c r="FK124" s="288"/>
      <c r="FL124" s="81"/>
      <c r="FM124" s="372" t="s">
        <v>78</v>
      </c>
      <c r="FN124" s="144"/>
      <c r="FO124" s="373">
        <f>SUM(FO120:FO123)</f>
        <v>4153095.55</v>
      </c>
      <c r="FP124" s="374"/>
      <c r="FQ124" s="373">
        <f>SUM(FQ120:FQ123)</f>
        <v>48250.93848</v>
      </c>
      <c r="FR124" s="374"/>
      <c r="FS124" s="373">
        <f t="shared" ref="FS124:FT124" si="627">SUM(FS120:FS123)</f>
        <v>8065.755516</v>
      </c>
      <c r="FT124" s="375">
        <f t="shared" si="627"/>
        <v>40185.18296</v>
      </c>
      <c r="FU124" s="333"/>
      <c r="FV124" s="333"/>
      <c r="FW124" s="288"/>
      <c r="FX124" s="81"/>
      <c r="FY124" s="372" t="s">
        <v>78</v>
      </c>
      <c r="FZ124" s="144"/>
      <c r="GA124" s="373">
        <f>SUM(GA120:GA123)</f>
        <v>4402033.035</v>
      </c>
      <c r="GB124" s="374"/>
      <c r="GC124" s="373">
        <f>SUM(GC120:GC123)</f>
        <v>51143.11063</v>
      </c>
      <c r="GD124" s="374"/>
      <c r="GE124" s="373">
        <f t="shared" ref="GE124:GF124" si="628">SUM(GE120:GE123)</f>
        <v>8549.218724</v>
      </c>
      <c r="GF124" s="375">
        <f t="shared" si="628"/>
        <v>42593.89191</v>
      </c>
      <c r="GG124" s="333"/>
      <c r="GH124" s="333"/>
      <c r="GI124" s="288"/>
      <c r="GJ124" s="81"/>
      <c r="GK124" s="372" t="s">
        <v>78</v>
      </c>
      <c r="GL124" s="144"/>
      <c r="GM124" s="373">
        <f>SUM(GM120:GM123)</f>
        <v>0</v>
      </c>
      <c r="GN124" s="374"/>
      <c r="GO124" s="373">
        <f>SUM(GO120:GO123)</f>
        <v>0</v>
      </c>
      <c r="GP124" s="374"/>
      <c r="GQ124" s="373">
        <f t="shared" ref="GQ124:GR124" si="629">SUM(GQ120:GQ123)</f>
        <v>0</v>
      </c>
      <c r="GR124" s="375">
        <f t="shared" si="629"/>
        <v>0</v>
      </c>
      <c r="GS124" s="333"/>
      <c r="GT124" s="333"/>
      <c r="GU124" s="288"/>
      <c r="GV124" s="81"/>
      <c r="GW124" s="372" t="s">
        <v>78</v>
      </c>
      <c r="GX124" s="144"/>
      <c r="GY124" s="373">
        <f>SUM(GY120:GY123)</f>
        <v>0</v>
      </c>
      <c r="GZ124" s="374"/>
      <c r="HA124" s="373">
        <f>SUM(HA120:HA123)</f>
        <v>0</v>
      </c>
      <c r="HB124" s="374"/>
      <c r="HC124" s="373">
        <f t="shared" ref="HC124:HD124" si="630">SUM(HC120:HC123)</f>
        <v>0</v>
      </c>
      <c r="HD124" s="375">
        <f t="shared" si="630"/>
        <v>0</v>
      </c>
      <c r="HE124" s="333"/>
      <c r="HF124" s="333"/>
      <c r="HG124" s="288"/>
      <c r="HH124" s="81"/>
      <c r="HI124" s="75"/>
    </row>
    <row r="125" ht="15.0" customHeight="1">
      <c r="A125" s="74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81"/>
      <c r="M125" s="74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81"/>
      <c r="Y125" s="74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81"/>
      <c r="AK125" s="74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81"/>
      <c r="AW125" s="74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81"/>
      <c r="BI125" s="74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81"/>
      <c r="BU125" s="74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81"/>
      <c r="CG125" s="74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81"/>
      <c r="CS125" s="74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81"/>
      <c r="DE125" s="74"/>
      <c r="DF125" s="75"/>
      <c r="DG125" s="75"/>
      <c r="DH125" s="75"/>
      <c r="DI125" s="75"/>
      <c r="DJ125" s="75"/>
      <c r="DK125" s="75"/>
      <c r="DL125" s="75"/>
      <c r="DM125" s="75"/>
      <c r="DN125" s="75"/>
      <c r="DO125" s="75"/>
      <c r="DP125" s="81"/>
      <c r="DQ125" s="74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81"/>
      <c r="EC125" s="74"/>
      <c r="ED125" s="75"/>
      <c r="EE125" s="75"/>
      <c r="EF125" s="75"/>
      <c r="EG125" s="75"/>
      <c r="EH125" s="75"/>
      <c r="EI125" s="75"/>
      <c r="EJ125" s="75"/>
      <c r="EK125" s="75"/>
      <c r="EL125" s="75"/>
      <c r="EM125" s="75"/>
      <c r="EN125" s="81"/>
      <c r="EO125" s="74"/>
      <c r="EP125" s="75"/>
      <c r="EQ125" s="75"/>
      <c r="ER125" s="75"/>
      <c r="ES125" s="75"/>
      <c r="ET125" s="75"/>
      <c r="EU125" s="75"/>
      <c r="EV125" s="75"/>
      <c r="EW125" s="75"/>
      <c r="EX125" s="75"/>
      <c r="EY125" s="75"/>
      <c r="EZ125" s="81"/>
      <c r="FA125" s="74"/>
      <c r="FB125" s="75"/>
      <c r="FC125" s="75"/>
      <c r="FD125" s="75"/>
      <c r="FE125" s="75"/>
      <c r="FF125" s="75"/>
      <c r="FG125" s="75"/>
      <c r="FH125" s="75"/>
      <c r="FI125" s="75"/>
      <c r="FJ125" s="75"/>
      <c r="FK125" s="75"/>
      <c r="FL125" s="81"/>
      <c r="FM125" s="74"/>
      <c r="FN125" s="75"/>
      <c r="FO125" s="75"/>
      <c r="FP125" s="75"/>
      <c r="FQ125" s="75"/>
      <c r="FR125" s="75"/>
      <c r="FS125" s="75"/>
      <c r="FT125" s="75"/>
      <c r="FU125" s="75"/>
      <c r="FV125" s="75"/>
      <c r="FW125" s="75"/>
      <c r="FX125" s="81"/>
      <c r="FY125" s="74"/>
      <c r="FZ125" s="75"/>
      <c r="GA125" s="75"/>
      <c r="GB125" s="75"/>
      <c r="GC125" s="75"/>
      <c r="GD125" s="75"/>
      <c r="GE125" s="75"/>
      <c r="GF125" s="75"/>
      <c r="GG125" s="75"/>
      <c r="GH125" s="75"/>
      <c r="GI125" s="75"/>
      <c r="GJ125" s="81"/>
      <c r="GK125" s="74"/>
      <c r="GL125" s="75"/>
      <c r="GM125" s="75"/>
      <c r="GN125" s="75"/>
      <c r="GO125" s="75"/>
      <c r="GP125" s="75"/>
      <c r="GQ125" s="75"/>
      <c r="GR125" s="75"/>
      <c r="GS125" s="75"/>
      <c r="GT125" s="75"/>
      <c r="GU125" s="75"/>
      <c r="GV125" s="81"/>
      <c r="GW125" s="74"/>
      <c r="GX125" s="75"/>
      <c r="GY125" s="75"/>
      <c r="GZ125" s="75"/>
      <c r="HA125" s="75"/>
      <c r="HB125" s="75"/>
      <c r="HC125" s="75"/>
      <c r="HD125" s="75"/>
      <c r="HE125" s="75"/>
      <c r="HF125" s="75"/>
      <c r="HG125" s="75"/>
      <c r="HH125" s="81"/>
      <c r="HI125" s="75"/>
    </row>
    <row r="126" ht="15.0" customHeight="1">
      <c r="A126" s="74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81"/>
      <c r="M126" s="74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81"/>
      <c r="Y126" s="74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81"/>
      <c r="AK126" s="74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81"/>
      <c r="AW126" s="74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81"/>
      <c r="BI126" s="74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81"/>
      <c r="BU126" s="74"/>
      <c r="BV126" s="75"/>
      <c r="BW126" s="75"/>
      <c r="BX126" s="75"/>
      <c r="BY126" s="75"/>
      <c r="BZ126" s="75"/>
      <c r="CA126" s="75"/>
      <c r="CB126" s="75"/>
      <c r="CC126" s="75"/>
      <c r="CD126" s="75"/>
      <c r="CE126" s="75"/>
      <c r="CF126" s="81"/>
      <c r="CG126" s="74"/>
      <c r="CH126" s="75"/>
      <c r="CI126" s="75"/>
      <c r="CJ126" s="75"/>
      <c r="CK126" s="75"/>
      <c r="CL126" s="75"/>
      <c r="CM126" s="75"/>
      <c r="CN126" s="75"/>
      <c r="CO126" s="75"/>
      <c r="CP126" s="75"/>
      <c r="CQ126" s="75"/>
      <c r="CR126" s="81"/>
      <c r="CS126" s="74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81"/>
      <c r="DE126" s="74"/>
      <c r="DF126" s="75"/>
      <c r="DG126" s="75"/>
      <c r="DH126" s="75"/>
      <c r="DI126" s="75"/>
      <c r="DJ126" s="75"/>
      <c r="DK126" s="75"/>
      <c r="DL126" s="75"/>
      <c r="DM126" s="75"/>
      <c r="DN126" s="75"/>
      <c r="DO126" s="75"/>
      <c r="DP126" s="81"/>
      <c r="DQ126" s="74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81"/>
      <c r="EC126" s="74"/>
      <c r="ED126" s="75"/>
      <c r="EE126" s="75"/>
      <c r="EF126" s="75"/>
      <c r="EG126" s="75"/>
      <c r="EH126" s="75"/>
      <c r="EI126" s="75"/>
      <c r="EJ126" s="75"/>
      <c r="EK126" s="75"/>
      <c r="EL126" s="75"/>
      <c r="EM126" s="75"/>
      <c r="EN126" s="81"/>
      <c r="EO126" s="74"/>
      <c r="EP126" s="75"/>
      <c r="EQ126" s="75"/>
      <c r="ER126" s="75"/>
      <c r="ES126" s="75"/>
      <c r="ET126" s="75"/>
      <c r="EU126" s="75"/>
      <c r="EV126" s="75"/>
      <c r="EW126" s="75"/>
      <c r="EX126" s="75"/>
      <c r="EY126" s="75"/>
      <c r="EZ126" s="81"/>
      <c r="FA126" s="74"/>
      <c r="FB126" s="75"/>
      <c r="FC126" s="75"/>
      <c r="FD126" s="75"/>
      <c r="FE126" s="75"/>
      <c r="FF126" s="75"/>
      <c r="FG126" s="75"/>
      <c r="FH126" s="75"/>
      <c r="FI126" s="75"/>
      <c r="FJ126" s="75"/>
      <c r="FK126" s="75"/>
      <c r="FL126" s="81"/>
      <c r="FM126" s="74"/>
      <c r="FN126" s="75"/>
      <c r="FO126" s="75"/>
      <c r="FP126" s="75"/>
      <c r="FQ126" s="75"/>
      <c r="FR126" s="75"/>
      <c r="FS126" s="75"/>
      <c r="FT126" s="75"/>
      <c r="FU126" s="75"/>
      <c r="FV126" s="75"/>
      <c r="FW126" s="75"/>
      <c r="FX126" s="81"/>
      <c r="FY126" s="74"/>
      <c r="FZ126" s="75"/>
      <c r="GA126" s="75"/>
      <c r="GB126" s="75"/>
      <c r="GC126" s="75"/>
      <c r="GD126" s="75"/>
      <c r="GE126" s="75"/>
      <c r="GF126" s="75"/>
      <c r="GG126" s="75"/>
      <c r="GH126" s="75"/>
      <c r="GI126" s="75"/>
      <c r="GJ126" s="81"/>
      <c r="GK126" s="74"/>
      <c r="GL126" s="75"/>
      <c r="GM126" s="75"/>
      <c r="GN126" s="75"/>
      <c r="GO126" s="75"/>
      <c r="GP126" s="75"/>
      <c r="GQ126" s="75"/>
      <c r="GR126" s="75"/>
      <c r="GS126" s="75"/>
      <c r="GT126" s="75"/>
      <c r="GU126" s="75"/>
      <c r="GV126" s="81"/>
      <c r="GW126" s="74"/>
      <c r="GX126" s="75"/>
      <c r="GY126" s="75"/>
      <c r="GZ126" s="75"/>
      <c r="HA126" s="75"/>
      <c r="HB126" s="75"/>
      <c r="HC126" s="75"/>
      <c r="HD126" s="75"/>
      <c r="HE126" s="75"/>
      <c r="HF126" s="75"/>
      <c r="HG126" s="75"/>
      <c r="HH126" s="81"/>
      <c r="HI126" s="75"/>
    </row>
    <row r="127" ht="15.0" customHeight="1">
      <c r="A127" s="74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81"/>
      <c r="M127" s="74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81"/>
      <c r="Y127" s="74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81"/>
      <c r="AK127" s="74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81"/>
      <c r="AW127" s="74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81"/>
      <c r="BI127" s="74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81"/>
      <c r="BU127" s="74"/>
      <c r="BV127" s="75"/>
      <c r="BW127" s="75"/>
      <c r="BX127" s="75"/>
      <c r="BY127" s="75"/>
      <c r="BZ127" s="75"/>
      <c r="CA127" s="75"/>
      <c r="CB127" s="75"/>
      <c r="CC127" s="75"/>
      <c r="CD127" s="75"/>
      <c r="CE127" s="75"/>
      <c r="CF127" s="81"/>
      <c r="CG127" s="74"/>
      <c r="CH127" s="75"/>
      <c r="CI127" s="75"/>
      <c r="CJ127" s="75"/>
      <c r="CK127" s="75"/>
      <c r="CL127" s="75"/>
      <c r="CM127" s="75"/>
      <c r="CN127" s="75"/>
      <c r="CO127" s="75"/>
      <c r="CP127" s="75"/>
      <c r="CQ127" s="75"/>
      <c r="CR127" s="81"/>
      <c r="CS127" s="74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81"/>
      <c r="DE127" s="74"/>
      <c r="DF127" s="75"/>
      <c r="DG127" s="75"/>
      <c r="DH127" s="75"/>
      <c r="DI127" s="75"/>
      <c r="DJ127" s="75"/>
      <c r="DK127" s="75"/>
      <c r="DL127" s="75"/>
      <c r="DM127" s="75"/>
      <c r="DN127" s="75"/>
      <c r="DO127" s="75"/>
      <c r="DP127" s="81"/>
      <c r="DQ127" s="74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81"/>
      <c r="EC127" s="74"/>
      <c r="ED127" s="75"/>
      <c r="EE127" s="75"/>
      <c r="EF127" s="75"/>
      <c r="EG127" s="75"/>
      <c r="EH127" s="75"/>
      <c r="EI127" s="75"/>
      <c r="EJ127" s="75"/>
      <c r="EK127" s="75"/>
      <c r="EL127" s="75"/>
      <c r="EM127" s="75"/>
      <c r="EN127" s="81"/>
      <c r="EO127" s="74"/>
      <c r="EP127" s="75"/>
      <c r="EQ127" s="75"/>
      <c r="ER127" s="75"/>
      <c r="ES127" s="75"/>
      <c r="ET127" s="75"/>
      <c r="EU127" s="75"/>
      <c r="EV127" s="75"/>
      <c r="EW127" s="75"/>
      <c r="EX127" s="75"/>
      <c r="EY127" s="75"/>
      <c r="EZ127" s="81"/>
      <c r="FA127" s="74"/>
      <c r="FB127" s="75"/>
      <c r="FC127" s="75"/>
      <c r="FD127" s="75"/>
      <c r="FE127" s="75"/>
      <c r="FF127" s="75"/>
      <c r="FG127" s="75"/>
      <c r="FH127" s="75"/>
      <c r="FI127" s="75"/>
      <c r="FJ127" s="75"/>
      <c r="FK127" s="75"/>
      <c r="FL127" s="81"/>
      <c r="FM127" s="74"/>
      <c r="FN127" s="75"/>
      <c r="FO127" s="75"/>
      <c r="FP127" s="75"/>
      <c r="FQ127" s="75"/>
      <c r="FR127" s="75"/>
      <c r="FS127" s="75"/>
      <c r="FT127" s="75"/>
      <c r="FU127" s="75"/>
      <c r="FV127" s="75"/>
      <c r="FW127" s="75"/>
      <c r="FX127" s="81"/>
      <c r="FY127" s="74"/>
      <c r="FZ127" s="75"/>
      <c r="GA127" s="75"/>
      <c r="GB127" s="75"/>
      <c r="GC127" s="75"/>
      <c r="GD127" s="75"/>
      <c r="GE127" s="75"/>
      <c r="GF127" s="75"/>
      <c r="GG127" s="75"/>
      <c r="GH127" s="75"/>
      <c r="GI127" s="75"/>
      <c r="GJ127" s="81"/>
      <c r="GK127" s="74"/>
      <c r="GL127" s="75"/>
      <c r="GM127" s="75"/>
      <c r="GN127" s="75"/>
      <c r="GO127" s="75"/>
      <c r="GP127" s="75"/>
      <c r="GQ127" s="75"/>
      <c r="GR127" s="75"/>
      <c r="GS127" s="75"/>
      <c r="GT127" s="75"/>
      <c r="GU127" s="75"/>
      <c r="GV127" s="81"/>
      <c r="GW127" s="74"/>
      <c r="GX127" s="75"/>
      <c r="GY127" s="75"/>
      <c r="GZ127" s="75"/>
      <c r="HA127" s="75"/>
      <c r="HB127" s="75"/>
      <c r="HC127" s="75"/>
      <c r="HD127" s="75"/>
      <c r="HE127" s="75"/>
      <c r="HF127" s="75"/>
      <c r="HG127" s="75"/>
      <c r="HH127" s="81"/>
      <c r="HI127" s="75"/>
    </row>
    <row r="128" ht="15.0" customHeight="1">
      <c r="A128" s="74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81"/>
      <c r="M128" s="74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81"/>
      <c r="Y128" s="74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81"/>
      <c r="AK128" s="74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81"/>
      <c r="AW128" s="74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81"/>
      <c r="BI128" s="74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81"/>
      <c r="BU128" s="74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81"/>
      <c r="CG128" s="74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81"/>
      <c r="CS128" s="74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81"/>
      <c r="DE128" s="74"/>
      <c r="DF128" s="75"/>
      <c r="DG128" s="75"/>
      <c r="DH128" s="75"/>
      <c r="DI128" s="75"/>
      <c r="DJ128" s="75"/>
      <c r="DK128" s="75"/>
      <c r="DL128" s="75"/>
      <c r="DM128" s="75"/>
      <c r="DN128" s="75"/>
      <c r="DO128" s="75"/>
      <c r="DP128" s="81"/>
      <c r="DQ128" s="74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81"/>
      <c r="EC128" s="74"/>
      <c r="ED128" s="75"/>
      <c r="EE128" s="75"/>
      <c r="EF128" s="75"/>
      <c r="EG128" s="75"/>
      <c r="EH128" s="75"/>
      <c r="EI128" s="75"/>
      <c r="EJ128" s="75"/>
      <c r="EK128" s="75"/>
      <c r="EL128" s="75"/>
      <c r="EM128" s="75"/>
      <c r="EN128" s="81"/>
      <c r="EO128" s="74"/>
      <c r="EP128" s="75"/>
      <c r="EQ128" s="75"/>
      <c r="ER128" s="75"/>
      <c r="ES128" s="75"/>
      <c r="ET128" s="75"/>
      <c r="EU128" s="75"/>
      <c r="EV128" s="75"/>
      <c r="EW128" s="75"/>
      <c r="EX128" s="75"/>
      <c r="EY128" s="75"/>
      <c r="EZ128" s="81"/>
      <c r="FA128" s="74"/>
      <c r="FB128" s="75"/>
      <c r="FC128" s="75"/>
      <c r="FD128" s="75"/>
      <c r="FE128" s="75"/>
      <c r="FF128" s="75"/>
      <c r="FG128" s="75"/>
      <c r="FH128" s="75"/>
      <c r="FI128" s="75"/>
      <c r="FJ128" s="75"/>
      <c r="FK128" s="75"/>
      <c r="FL128" s="81"/>
      <c r="FM128" s="74"/>
      <c r="FN128" s="75"/>
      <c r="FO128" s="75"/>
      <c r="FP128" s="75"/>
      <c r="FQ128" s="75"/>
      <c r="FR128" s="75"/>
      <c r="FS128" s="75"/>
      <c r="FT128" s="75"/>
      <c r="FU128" s="75"/>
      <c r="FV128" s="75"/>
      <c r="FW128" s="75"/>
      <c r="FX128" s="81"/>
      <c r="FY128" s="74"/>
      <c r="FZ128" s="75"/>
      <c r="GA128" s="75"/>
      <c r="GB128" s="75"/>
      <c r="GC128" s="75"/>
      <c r="GD128" s="75"/>
      <c r="GE128" s="75"/>
      <c r="GF128" s="75"/>
      <c r="GG128" s="75"/>
      <c r="GH128" s="75"/>
      <c r="GI128" s="75"/>
      <c r="GJ128" s="81"/>
      <c r="GK128" s="74"/>
      <c r="GL128" s="75"/>
      <c r="GM128" s="75"/>
      <c r="GN128" s="75"/>
      <c r="GO128" s="75"/>
      <c r="GP128" s="75"/>
      <c r="GQ128" s="75"/>
      <c r="GR128" s="75"/>
      <c r="GS128" s="75"/>
      <c r="GT128" s="75"/>
      <c r="GU128" s="75"/>
      <c r="GV128" s="81"/>
      <c r="GW128" s="74"/>
      <c r="GX128" s="75"/>
      <c r="GY128" s="75"/>
      <c r="GZ128" s="75"/>
      <c r="HA128" s="75"/>
      <c r="HB128" s="75"/>
      <c r="HC128" s="75"/>
      <c r="HD128" s="75"/>
      <c r="HE128" s="75"/>
      <c r="HF128" s="75"/>
      <c r="HG128" s="75"/>
      <c r="HH128" s="81"/>
      <c r="HI128" s="75"/>
    </row>
    <row r="129" ht="15.0" customHeight="1">
      <c r="A129" s="74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81"/>
      <c r="M129" s="74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81"/>
      <c r="Y129" s="74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81"/>
      <c r="AK129" s="74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81"/>
      <c r="AW129" s="74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81"/>
      <c r="BI129" s="74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81"/>
      <c r="BU129" s="74"/>
      <c r="BV129" s="75"/>
      <c r="BW129" s="75"/>
      <c r="BX129" s="75"/>
      <c r="BY129" s="75"/>
      <c r="BZ129" s="75"/>
      <c r="CA129" s="75"/>
      <c r="CB129" s="75"/>
      <c r="CC129" s="75"/>
      <c r="CD129" s="75"/>
      <c r="CE129" s="75"/>
      <c r="CF129" s="81"/>
      <c r="CG129" s="74"/>
      <c r="CH129" s="75"/>
      <c r="CI129" s="75"/>
      <c r="CJ129" s="75"/>
      <c r="CK129" s="75"/>
      <c r="CL129" s="75"/>
      <c r="CM129" s="75"/>
      <c r="CN129" s="75"/>
      <c r="CO129" s="75"/>
      <c r="CP129" s="75"/>
      <c r="CQ129" s="75"/>
      <c r="CR129" s="81"/>
      <c r="CS129" s="74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81"/>
      <c r="DE129" s="74"/>
      <c r="DF129" s="75"/>
      <c r="DG129" s="75"/>
      <c r="DH129" s="75"/>
      <c r="DI129" s="75"/>
      <c r="DJ129" s="75"/>
      <c r="DK129" s="75"/>
      <c r="DL129" s="75"/>
      <c r="DM129" s="75"/>
      <c r="DN129" s="75"/>
      <c r="DO129" s="75"/>
      <c r="DP129" s="81"/>
      <c r="DQ129" s="74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81"/>
      <c r="EC129" s="74"/>
      <c r="ED129" s="75"/>
      <c r="EE129" s="75"/>
      <c r="EF129" s="75"/>
      <c r="EG129" s="75"/>
      <c r="EH129" s="75"/>
      <c r="EI129" s="75"/>
      <c r="EJ129" s="75"/>
      <c r="EK129" s="75"/>
      <c r="EL129" s="75"/>
      <c r="EM129" s="75"/>
      <c r="EN129" s="81"/>
      <c r="EO129" s="74"/>
      <c r="EP129" s="75"/>
      <c r="EQ129" s="75"/>
      <c r="ER129" s="75"/>
      <c r="ES129" s="75"/>
      <c r="ET129" s="75"/>
      <c r="EU129" s="75"/>
      <c r="EV129" s="75"/>
      <c r="EW129" s="75"/>
      <c r="EX129" s="75"/>
      <c r="EY129" s="75"/>
      <c r="EZ129" s="81"/>
      <c r="FA129" s="74"/>
      <c r="FB129" s="75"/>
      <c r="FC129" s="75"/>
      <c r="FD129" s="75"/>
      <c r="FE129" s="75"/>
      <c r="FF129" s="75"/>
      <c r="FG129" s="75"/>
      <c r="FH129" s="75"/>
      <c r="FI129" s="75"/>
      <c r="FJ129" s="75"/>
      <c r="FK129" s="75"/>
      <c r="FL129" s="81"/>
      <c r="FM129" s="74"/>
      <c r="FN129" s="75"/>
      <c r="FO129" s="75"/>
      <c r="FP129" s="75"/>
      <c r="FQ129" s="75"/>
      <c r="FR129" s="75"/>
      <c r="FS129" s="75"/>
      <c r="FT129" s="75"/>
      <c r="FU129" s="75"/>
      <c r="FV129" s="75"/>
      <c r="FW129" s="75"/>
      <c r="FX129" s="81"/>
      <c r="FY129" s="74"/>
      <c r="FZ129" s="75"/>
      <c r="GA129" s="75"/>
      <c r="GB129" s="75"/>
      <c r="GC129" s="75"/>
      <c r="GD129" s="75"/>
      <c r="GE129" s="75"/>
      <c r="GF129" s="75"/>
      <c r="GG129" s="75"/>
      <c r="GH129" s="75"/>
      <c r="GI129" s="75"/>
      <c r="GJ129" s="81"/>
      <c r="GK129" s="74"/>
      <c r="GL129" s="75"/>
      <c r="GM129" s="75"/>
      <c r="GN129" s="75"/>
      <c r="GO129" s="75"/>
      <c r="GP129" s="75"/>
      <c r="GQ129" s="75"/>
      <c r="GR129" s="75"/>
      <c r="GS129" s="75"/>
      <c r="GT129" s="75"/>
      <c r="GU129" s="75"/>
      <c r="GV129" s="81"/>
      <c r="GW129" s="74"/>
      <c r="GX129" s="75"/>
      <c r="GY129" s="75"/>
      <c r="GZ129" s="75"/>
      <c r="HA129" s="75"/>
      <c r="HB129" s="75"/>
      <c r="HC129" s="75"/>
      <c r="HD129" s="75"/>
      <c r="HE129" s="75"/>
      <c r="HF129" s="75"/>
      <c r="HG129" s="75"/>
      <c r="HH129" s="81"/>
      <c r="HI129" s="75"/>
    </row>
    <row r="130" ht="15.0" customHeight="1">
      <c r="A130" s="74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81"/>
      <c r="M130" s="74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81"/>
      <c r="Y130" s="74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81"/>
      <c r="AK130" s="74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81"/>
      <c r="AW130" s="74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81"/>
      <c r="BI130" s="74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81"/>
      <c r="BU130" s="74"/>
      <c r="BV130" s="75"/>
      <c r="BW130" s="75"/>
      <c r="BX130" s="75"/>
      <c r="BY130" s="75"/>
      <c r="BZ130" s="75"/>
      <c r="CA130" s="75"/>
      <c r="CB130" s="75"/>
      <c r="CC130" s="75"/>
      <c r="CD130" s="75"/>
      <c r="CE130" s="75"/>
      <c r="CF130" s="81"/>
      <c r="CG130" s="74"/>
      <c r="CH130" s="75"/>
      <c r="CI130" s="75"/>
      <c r="CJ130" s="75"/>
      <c r="CK130" s="75"/>
      <c r="CL130" s="75"/>
      <c r="CM130" s="75"/>
      <c r="CN130" s="75"/>
      <c r="CO130" s="75"/>
      <c r="CP130" s="75"/>
      <c r="CQ130" s="75"/>
      <c r="CR130" s="81"/>
      <c r="CS130" s="74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81"/>
      <c r="DE130" s="74"/>
      <c r="DF130" s="75"/>
      <c r="DG130" s="75"/>
      <c r="DH130" s="75"/>
      <c r="DI130" s="75"/>
      <c r="DJ130" s="75"/>
      <c r="DK130" s="75"/>
      <c r="DL130" s="75"/>
      <c r="DM130" s="75"/>
      <c r="DN130" s="75"/>
      <c r="DO130" s="75"/>
      <c r="DP130" s="81"/>
      <c r="DQ130" s="74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81"/>
      <c r="EC130" s="74"/>
      <c r="ED130" s="75"/>
      <c r="EE130" s="75"/>
      <c r="EF130" s="75"/>
      <c r="EG130" s="75"/>
      <c r="EH130" s="75"/>
      <c r="EI130" s="75"/>
      <c r="EJ130" s="75"/>
      <c r="EK130" s="75"/>
      <c r="EL130" s="75"/>
      <c r="EM130" s="75"/>
      <c r="EN130" s="81"/>
      <c r="EO130" s="74"/>
      <c r="EP130" s="75"/>
      <c r="EQ130" s="75"/>
      <c r="ER130" s="75"/>
      <c r="ES130" s="75"/>
      <c r="ET130" s="75"/>
      <c r="EU130" s="75"/>
      <c r="EV130" s="75"/>
      <c r="EW130" s="75"/>
      <c r="EX130" s="75"/>
      <c r="EY130" s="75"/>
      <c r="EZ130" s="81"/>
      <c r="FA130" s="74"/>
      <c r="FB130" s="75"/>
      <c r="FC130" s="75"/>
      <c r="FD130" s="75"/>
      <c r="FE130" s="75"/>
      <c r="FF130" s="75"/>
      <c r="FG130" s="75"/>
      <c r="FH130" s="75"/>
      <c r="FI130" s="75"/>
      <c r="FJ130" s="75"/>
      <c r="FK130" s="75"/>
      <c r="FL130" s="81"/>
      <c r="FM130" s="74"/>
      <c r="FN130" s="75"/>
      <c r="FO130" s="75"/>
      <c r="FP130" s="75"/>
      <c r="FQ130" s="75"/>
      <c r="FR130" s="75"/>
      <c r="FS130" s="75"/>
      <c r="FT130" s="75"/>
      <c r="FU130" s="75"/>
      <c r="FV130" s="75"/>
      <c r="FW130" s="75"/>
      <c r="FX130" s="81"/>
      <c r="FY130" s="74"/>
      <c r="FZ130" s="75"/>
      <c r="GA130" s="75"/>
      <c r="GB130" s="75"/>
      <c r="GC130" s="75"/>
      <c r="GD130" s="75"/>
      <c r="GE130" s="75"/>
      <c r="GF130" s="75"/>
      <c r="GG130" s="75"/>
      <c r="GH130" s="75"/>
      <c r="GI130" s="75"/>
      <c r="GJ130" s="81"/>
      <c r="GK130" s="74"/>
      <c r="GL130" s="75"/>
      <c r="GM130" s="75"/>
      <c r="GN130" s="75"/>
      <c r="GO130" s="75"/>
      <c r="GP130" s="75"/>
      <c r="GQ130" s="75"/>
      <c r="GR130" s="75"/>
      <c r="GS130" s="75"/>
      <c r="GT130" s="75"/>
      <c r="GU130" s="75"/>
      <c r="GV130" s="81"/>
      <c r="GW130" s="74"/>
      <c r="GX130" s="75"/>
      <c r="GY130" s="75"/>
      <c r="GZ130" s="75"/>
      <c r="HA130" s="75"/>
      <c r="HB130" s="75"/>
      <c r="HC130" s="75"/>
      <c r="HD130" s="75"/>
      <c r="HE130" s="75"/>
      <c r="HF130" s="75"/>
      <c r="HG130" s="75"/>
      <c r="HH130" s="81"/>
      <c r="HI130" s="75"/>
    </row>
    <row r="131" ht="15.0" customHeight="1">
      <c r="A131" s="74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81"/>
      <c r="M131" s="74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81"/>
      <c r="Y131" s="74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81"/>
      <c r="AK131" s="74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81"/>
      <c r="AW131" s="74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81"/>
      <c r="BI131" s="74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81"/>
      <c r="BU131" s="74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81"/>
      <c r="CG131" s="74"/>
      <c r="CH131" s="75"/>
      <c r="CI131" s="75"/>
      <c r="CJ131" s="75"/>
      <c r="CK131" s="75"/>
      <c r="CL131" s="75"/>
      <c r="CM131" s="75"/>
      <c r="CN131" s="75"/>
      <c r="CO131" s="75"/>
      <c r="CP131" s="75"/>
      <c r="CQ131" s="75"/>
      <c r="CR131" s="81"/>
      <c r="CS131" s="74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81"/>
      <c r="DE131" s="74"/>
      <c r="DF131" s="75"/>
      <c r="DG131" s="75"/>
      <c r="DH131" s="75"/>
      <c r="DI131" s="75"/>
      <c r="DJ131" s="75"/>
      <c r="DK131" s="75"/>
      <c r="DL131" s="75"/>
      <c r="DM131" s="75"/>
      <c r="DN131" s="75"/>
      <c r="DO131" s="75"/>
      <c r="DP131" s="81"/>
      <c r="DQ131" s="74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81"/>
      <c r="EC131" s="74"/>
      <c r="ED131" s="75"/>
      <c r="EE131" s="75"/>
      <c r="EF131" s="75"/>
      <c r="EG131" s="75"/>
      <c r="EH131" s="75"/>
      <c r="EI131" s="75"/>
      <c r="EJ131" s="75"/>
      <c r="EK131" s="75"/>
      <c r="EL131" s="75"/>
      <c r="EM131" s="75"/>
      <c r="EN131" s="81"/>
      <c r="EO131" s="74"/>
      <c r="EP131" s="75"/>
      <c r="EQ131" s="75"/>
      <c r="ER131" s="75"/>
      <c r="ES131" s="75"/>
      <c r="ET131" s="75"/>
      <c r="EU131" s="75"/>
      <c r="EV131" s="75"/>
      <c r="EW131" s="75"/>
      <c r="EX131" s="75"/>
      <c r="EY131" s="75"/>
      <c r="EZ131" s="81"/>
      <c r="FA131" s="74"/>
      <c r="FB131" s="75"/>
      <c r="FC131" s="75"/>
      <c r="FD131" s="75"/>
      <c r="FE131" s="75"/>
      <c r="FF131" s="75"/>
      <c r="FG131" s="75"/>
      <c r="FH131" s="75"/>
      <c r="FI131" s="75"/>
      <c r="FJ131" s="75"/>
      <c r="FK131" s="75"/>
      <c r="FL131" s="81"/>
      <c r="FM131" s="74"/>
      <c r="FN131" s="75"/>
      <c r="FO131" s="75"/>
      <c r="FP131" s="75"/>
      <c r="FQ131" s="75"/>
      <c r="FR131" s="75"/>
      <c r="FS131" s="75"/>
      <c r="FT131" s="75"/>
      <c r="FU131" s="75"/>
      <c r="FV131" s="75"/>
      <c r="FW131" s="75"/>
      <c r="FX131" s="81"/>
      <c r="FY131" s="74"/>
      <c r="FZ131" s="75"/>
      <c r="GA131" s="75"/>
      <c r="GB131" s="75"/>
      <c r="GC131" s="75"/>
      <c r="GD131" s="75"/>
      <c r="GE131" s="75"/>
      <c r="GF131" s="75"/>
      <c r="GG131" s="75"/>
      <c r="GH131" s="75"/>
      <c r="GI131" s="75"/>
      <c r="GJ131" s="81"/>
      <c r="GK131" s="74"/>
      <c r="GL131" s="75"/>
      <c r="GM131" s="75"/>
      <c r="GN131" s="75"/>
      <c r="GO131" s="75"/>
      <c r="GP131" s="75"/>
      <c r="GQ131" s="75"/>
      <c r="GR131" s="75"/>
      <c r="GS131" s="75"/>
      <c r="GT131" s="75"/>
      <c r="GU131" s="75"/>
      <c r="GV131" s="81"/>
      <c r="GW131" s="74"/>
      <c r="GX131" s="75"/>
      <c r="GY131" s="75"/>
      <c r="GZ131" s="75"/>
      <c r="HA131" s="75"/>
      <c r="HB131" s="75"/>
      <c r="HC131" s="75"/>
      <c r="HD131" s="75"/>
      <c r="HE131" s="75"/>
      <c r="HF131" s="75"/>
      <c r="HG131" s="75"/>
      <c r="HH131" s="81"/>
      <c r="HI131" s="75"/>
    </row>
    <row r="132" ht="15.0" customHeight="1">
      <c r="A132" s="74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81"/>
      <c r="M132" s="74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81"/>
      <c r="Y132" s="74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81"/>
      <c r="AK132" s="74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81"/>
      <c r="AW132" s="74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81"/>
      <c r="BI132" s="74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81"/>
      <c r="BU132" s="74"/>
      <c r="BV132" s="75"/>
      <c r="BW132" s="75"/>
      <c r="BX132" s="75"/>
      <c r="BY132" s="75"/>
      <c r="BZ132" s="75"/>
      <c r="CA132" s="75"/>
      <c r="CB132" s="75"/>
      <c r="CC132" s="75"/>
      <c r="CD132" s="75"/>
      <c r="CE132" s="75"/>
      <c r="CF132" s="81"/>
      <c r="CG132" s="74"/>
      <c r="CH132" s="75"/>
      <c r="CI132" s="75"/>
      <c r="CJ132" s="75"/>
      <c r="CK132" s="75"/>
      <c r="CL132" s="75"/>
      <c r="CM132" s="75"/>
      <c r="CN132" s="75"/>
      <c r="CO132" s="75"/>
      <c r="CP132" s="75"/>
      <c r="CQ132" s="75"/>
      <c r="CR132" s="81"/>
      <c r="CS132" s="74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81"/>
      <c r="DE132" s="74"/>
      <c r="DF132" s="75"/>
      <c r="DG132" s="75"/>
      <c r="DH132" s="75"/>
      <c r="DI132" s="75"/>
      <c r="DJ132" s="75"/>
      <c r="DK132" s="75"/>
      <c r="DL132" s="75"/>
      <c r="DM132" s="75"/>
      <c r="DN132" s="75"/>
      <c r="DO132" s="75"/>
      <c r="DP132" s="81"/>
      <c r="DQ132" s="74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81"/>
      <c r="EC132" s="74"/>
      <c r="ED132" s="75"/>
      <c r="EE132" s="75"/>
      <c r="EF132" s="75"/>
      <c r="EG132" s="75"/>
      <c r="EH132" s="75"/>
      <c r="EI132" s="75"/>
      <c r="EJ132" s="75"/>
      <c r="EK132" s="75"/>
      <c r="EL132" s="75"/>
      <c r="EM132" s="75"/>
      <c r="EN132" s="81"/>
      <c r="EO132" s="74"/>
      <c r="EP132" s="75"/>
      <c r="EQ132" s="75"/>
      <c r="ER132" s="75"/>
      <c r="ES132" s="75"/>
      <c r="ET132" s="75"/>
      <c r="EU132" s="75"/>
      <c r="EV132" s="75"/>
      <c r="EW132" s="75"/>
      <c r="EX132" s="75"/>
      <c r="EY132" s="75"/>
      <c r="EZ132" s="81"/>
      <c r="FA132" s="74"/>
      <c r="FB132" s="75"/>
      <c r="FC132" s="75"/>
      <c r="FD132" s="75"/>
      <c r="FE132" s="75"/>
      <c r="FF132" s="75"/>
      <c r="FG132" s="75"/>
      <c r="FH132" s="75"/>
      <c r="FI132" s="75"/>
      <c r="FJ132" s="75"/>
      <c r="FK132" s="75"/>
      <c r="FL132" s="81"/>
      <c r="FM132" s="74"/>
      <c r="FN132" s="75"/>
      <c r="FO132" s="75"/>
      <c r="FP132" s="75"/>
      <c r="FQ132" s="75"/>
      <c r="FR132" s="75"/>
      <c r="FS132" s="75"/>
      <c r="FT132" s="75"/>
      <c r="FU132" s="75"/>
      <c r="FV132" s="75"/>
      <c r="FW132" s="75"/>
      <c r="FX132" s="81"/>
      <c r="FY132" s="74"/>
      <c r="FZ132" s="75"/>
      <c r="GA132" s="75"/>
      <c r="GB132" s="75"/>
      <c r="GC132" s="75"/>
      <c r="GD132" s="75"/>
      <c r="GE132" s="75"/>
      <c r="GF132" s="75"/>
      <c r="GG132" s="75"/>
      <c r="GH132" s="75"/>
      <c r="GI132" s="75"/>
      <c r="GJ132" s="81"/>
      <c r="GK132" s="74"/>
      <c r="GL132" s="75"/>
      <c r="GM132" s="75"/>
      <c r="GN132" s="75"/>
      <c r="GO132" s="75"/>
      <c r="GP132" s="75"/>
      <c r="GQ132" s="75"/>
      <c r="GR132" s="75"/>
      <c r="GS132" s="75"/>
      <c r="GT132" s="75"/>
      <c r="GU132" s="75"/>
      <c r="GV132" s="81"/>
      <c r="GW132" s="74"/>
      <c r="GX132" s="75"/>
      <c r="GY132" s="75"/>
      <c r="GZ132" s="75"/>
      <c r="HA132" s="75"/>
      <c r="HB132" s="75"/>
      <c r="HC132" s="75"/>
      <c r="HD132" s="75"/>
      <c r="HE132" s="75"/>
      <c r="HF132" s="75"/>
      <c r="HG132" s="75"/>
      <c r="HH132" s="81"/>
      <c r="HI132" s="75"/>
    </row>
    <row r="133" ht="15.0" customHeight="1">
      <c r="A133" s="74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81"/>
      <c r="M133" s="74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81"/>
      <c r="Y133" s="74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81"/>
      <c r="AK133" s="74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81"/>
      <c r="AW133" s="74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81"/>
      <c r="BI133" s="74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81"/>
      <c r="BU133" s="74"/>
      <c r="BV133" s="75"/>
      <c r="BW133" s="75"/>
      <c r="BX133" s="75"/>
      <c r="BY133" s="75"/>
      <c r="BZ133" s="75"/>
      <c r="CA133" s="75"/>
      <c r="CB133" s="75"/>
      <c r="CC133" s="75"/>
      <c r="CD133" s="75"/>
      <c r="CE133" s="75"/>
      <c r="CF133" s="81"/>
      <c r="CG133" s="74"/>
      <c r="CH133" s="75"/>
      <c r="CI133" s="75"/>
      <c r="CJ133" s="75"/>
      <c r="CK133" s="75"/>
      <c r="CL133" s="75"/>
      <c r="CM133" s="75"/>
      <c r="CN133" s="75"/>
      <c r="CO133" s="75"/>
      <c r="CP133" s="75"/>
      <c r="CQ133" s="75"/>
      <c r="CR133" s="81"/>
      <c r="CS133" s="74"/>
      <c r="CT133" s="75"/>
      <c r="CU133" s="75"/>
      <c r="CV133" s="75"/>
      <c r="CW133" s="75"/>
      <c r="CX133" s="75"/>
      <c r="CY133" s="75"/>
      <c r="CZ133" s="75"/>
      <c r="DA133" s="75"/>
      <c r="DB133" s="75"/>
      <c r="DC133" s="75"/>
      <c r="DD133" s="81"/>
      <c r="DE133" s="74"/>
      <c r="DF133" s="75"/>
      <c r="DG133" s="75"/>
      <c r="DH133" s="75"/>
      <c r="DI133" s="75"/>
      <c r="DJ133" s="75"/>
      <c r="DK133" s="75"/>
      <c r="DL133" s="75"/>
      <c r="DM133" s="75"/>
      <c r="DN133" s="75"/>
      <c r="DO133" s="75"/>
      <c r="DP133" s="81"/>
      <c r="DQ133" s="74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81"/>
      <c r="EC133" s="74"/>
      <c r="ED133" s="75"/>
      <c r="EE133" s="75"/>
      <c r="EF133" s="75"/>
      <c r="EG133" s="75"/>
      <c r="EH133" s="75"/>
      <c r="EI133" s="75"/>
      <c r="EJ133" s="75"/>
      <c r="EK133" s="75"/>
      <c r="EL133" s="75"/>
      <c r="EM133" s="75"/>
      <c r="EN133" s="81"/>
      <c r="EO133" s="74"/>
      <c r="EP133" s="75"/>
      <c r="EQ133" s="75"/>
      <c r="ER133" s="75"/>
      <c r="ES133" s="75"/>
      <c r="ET133" s="75"/>
      <c r="EU133" s="75"/>
      <c r="EV133" s="75"/>
      <c r="EW133" s="75"/>
      <c r="EX133" s="75"/>
      <c r="EY133" s="75"/>
      <c r="EZ133" s="81"/>
      <c r="FA133" s="74"/>
      <c r="FB133" s="75"/>
      <c r="FC133" s="75"/>
      <c r="FD133" s="75"/>
      <c r="FE133" s="75"/>
      <c r="FF133" s="75"/>
      <c r="FG133" s="75"/>
      <c r="FH133" s="75"/>
      <c r="FI133" s="75"/>
      <c r="FJ133" s="75"/>
      <c r="FK133" s="75"/>
      <c r="FL133" s="81"/>
      <c r="FM133" s="74"/>
      <c r="FN133" s="75"/>
      <c r="FO133" s="75"/>
      <c r="FP133" s="75"/>
      <c r="FQ133" s="75"/>
      <c r="FR133" s="75"/>
      <c r="FS133" s="75"/>
      <c r="FT133" s="75"/>
      <c r="FU133" s="75"/>
      <c r="FV133" s="75"/>
      <c r="FW133" s="75"/>
      <c r="FX133" s="81"/>
      <c r="FY133" s="74"/>
      <c r="FZ133" s="75"/>
      <c r="GA133" s="75"/>
      <c r="GB133" s="75"/>
      <c r="GC133" s="75"/>
      <c r="GD133" s="75"/>
      <c r="GE133" s="75"/>
      <c r="GF133" s="75"/>
      <c r="GG133" s="75"/>
      <c r="GH133" s="75"/>
      <c r="GI133" s="75"/>
      <c r="GJ133" s="81"/>
      <c r="GK133" s="74"/>
      <c r="GL133" s="75"/>
      <c r="GM133" s="75"/>
      <c r="GN133" s="75"/>
      <c r="GO133" s="75"/>
      <c r="GP133" s="75"/>
      <c r="GQ133" s="75"/>
      <c r="GR133" s="75"/>
      <c r="GS133" s="75"/>
      <c r="GT133" s="75"/>
      <c r="GU133" s="75"/>
      <c r="GV133" s="81"/>
      <c r="GW133" s="74"/>
      <c r="GX133" s="75"/>
      <c r="GY133" s="75"/>
      <c r="GZ133" s="75"/>
      <c r="HA133" s="75"/>
      <c r="HB133" s="75"/>
      <c r="HC133" s="75"/>
      <c r="HD133" s="75"/>
      <c r="HE133" s="75"/>
      <c r="HF133" s="75"/>
      <c r="HG133" s="75"/>
      <c r="HH133" s="81"/>
      <c r="HI133" s="75"/>
    </row>
    <row r="134" ht="15.0" customHeight="1">
      <c r="A134" s="74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81"/>
      <c r="M134" s="74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81"/>
      <c r="Y134" s="74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81"/>
      <c r="AK134" s="74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81"/>
      <c r="AW134" s="74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81"/>
      <c r="BI134" s="74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81"/>
      <c r="BU134" s="74"/>
      <c r="BV134" s="75"/>
      <c r="BW134" s="75"/>
      <c r="BX134" s="75"/>
      <c r="BY134" s="75"/>
      <c r="BZ134" s="75"/>
      <c r="CA134" s="75"/>
      <c r="CB134" s="75"/>
      <c r="CC134" s="75"/>
      <c r="CD134" s="75"/>
      <c r="CE134" s="75"/>
      <c r="CF134" s="81"/>
      <c r="CG134" s="74"/>
      <c r="CH134" s="75"/>
      <c r="CI134" s="75"/>
      <c r="CJ134" s="75"/>
      <c r="CK134" s="75"/>
      <c r="CL134" s="75"/>
      <c r="CM134" s="75"/>
      <c r="CN134" s="75"/>
      <c r="CO134" s="75"/>
      <c r="CP134" s="75"/>
      <c r="CQ134" s="75"/>
      <c r="CR134" s="81"/>
      <c r="CS134" s="74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81"/>
      <c r="DE134" s="74"/>
      <c r="DF134" s="75"/>
      <c r="DG134" s="75"/>
      <c r="DH134" s="75"/>
      <c r="DI134" s="75"/>
      <c r="DJ134" s="75"/>
      <c r="DK134" s="75"/>
      <c r="DL134" s="75"/>
      <c r="DM134" s="75"/>
      <c r="DN134" s="75"/>
      <c r="DO134" s="75"/>
      <c r="DP134" s="81"/>
      <c r="DQ134" s="74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81"/>
      <c r="EC134" s="74"/>
      <c r="ED134" s="75"/>
      <c r="EE134" s="75"/>
      <c r="EF134" s="75"/>
      <c r="EG134" s="75"/>
      <c r="EH134" s="75"/>
      <c r="EI134" s="75"/>
      <c r="EJ134" s="75"/>
      <c r="EK134" s="75"/>
      <c r="EL134" s="75"/>
      <c r="EM134" s="75"/>
      <c r="EN134" s="81"/>
      <c r="EO134" s="74"/>
      <c r="EP134" s="75"/>
      <c r="EQ134" s="75"/>
      <c r="ER134" s="75"/>
      <c r="ES134" s="75"/>
      <c r="ET134" s="75"/>
      <c r="EU134" s="75"/>
      <c r="EV134" s="75"/>
      <c r="EW134" s="75"/>
      <c r="EX134" s="75"/>
      <c r="EY134" s="75"/>
      <c r="EZ134" s="81"/>
      <c r="FA134" s="74"/>
      <c r="FB134" s="75"/>
      <c r="FC134" s="75"/>
      <c r="FD134" s="75"/>
      <c r="FE134" s="75"/>
      <c r="FF134" s="75"/>
      <c r="FG134" s="75"/>
      <c r="FH134" s="75"/>
      <c r="FI134" s="75"/>
      <c r="FJ134" s="75"/>
      <c r="FK134" s="75"/>
      <c r="FL134" s="81"/>
      <c r="FM134" s="74"/>
      <c r="FN134" s="75"/>
      <c r="FO134" s="75"/>
      <c r="FP134" s="75"/>
      <c r="FQ134" s="75"/>
      <c r="FR134" s="75"/>
      <c r="FS134" s="75"/>
      <c r="FT134" s="75"/>
      <c r="FU134" s="75"/>
      <c r="FV134" s="75"/>
      <c r="FW134" s="75"/>
      <c r="FX134" s="81"/>
      <c r="FY134" s="74"/>
      <c r="FZ134" s="75"/>
      <c r="GA134" s="75"/>
      <c r="GB134" s="75"/>
      <c r="GC134" s="75"/>
      <c r="GD134" s="75"/>
      <c r="GE134" s="75"/>
      <c r="GF134" s="75"/>
      <c r="GG134" s="75"/>
      <c r="GH134" s="75"/>
      <c r="GI134" s="75"/>
      <c r="GJ134" s="81"/>
      <c r="GK134" s="74"/>
      <c r="GL134" s="75"/>
      <c r="GM134" s="75"/>
      <c r="GN134" s="75"/>
      <c r="GO134" s="75"/>
      <c r="GP134" s="75"/>
      <c r="GQ134" s="75"/>
      <c r="GR134" s="75"/>
      <c r="GS134" s="75"/>
      <c r="GT134" s="75"/>
      <c r="GU134" s="75"/>
      <c r="GV134" s="81"/>
      <c r="GW134" s="74"/>
      <c r="GX134" s="75"/>
      <c r="GY134" s="75"/>
      <c r="GZ134" s="75"/>
      <c r="HA134" s="75"/>
      <c r="HB134" s="75"/>
      <c r="HC134" s="75"/>
      <c r="HD134" s="75"/>
      <c r="HE134" s="75"/>
      <c r="HF134" s="75"/>
      <c r="HG134" s="75"/>
      <c r="HH134" s="81"/>
      <c r="HI134" s="75"/>
    </row>
    <row r="135" ht="15.0" customHeight="1">
      <c r="A135" s="74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81"/>
      <c r="M135" s="74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81"/>
      <c r="Y135" s="74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81"/>
      <c r="AK135" s="74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81"/>
      <c r="AW135" s="74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81"/>
      <c r="BI135" s="74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81"/>
      <c r="BU135" s="74"/>
      <c r="BV135" s="75"/>
      <c r="BW135" s="75"/>
      <c r="BX135" s="75"/>
      <c r="BY135" s="75"/>
      <c r="BZ135" s="75"/>
      <c r="CA135" s="75"/>
      <c r="CB135" s="75"/>
      <c r="CC135" s="75"/>
      <c r="CD135" s="75"/>
      <c r="CE135" s="75"/>
      <c r="CF135" s="81"/>
      <c r="CG135" s="74"/>
      <c r="CH135" s="75"/>
      <c r="CI135" s="75"/>
      <c r="CJ135" s="75"/>
      <c r="CK135" s="75"/>
      <c r="CL135" s="75"/>
      <c r="CM135" s="75"/>
      <c r="CN135" s="75"/>
      <c r="CO135" s="75"/>
      <c r="CP135" s="75"/>
      <c r="CQ135" s="75"/>
      <c r="CR135" s="81"/>
      <c r="CS135" s="74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81"/>
      <c r="DE135" s="74"/>
      <c r="DF135" s="75"/>
      <c r="DG135" s="75"/>
      <c r="DH135" s="75"/>
      <c r="DI135" s="75"/>
      <c r="DJ135" s="75"/>
      <c r="DK135" s="75"/>
      <c r="DL135" s="75"/>
      <c r="DM135" s="75"/>
      <c r="DN135" s="75"/>
      <c r="DO135" s="75"/>
      <c r="DP135" s="81"/>
      <c r="DQ135" s="74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81"/>
      <c r="EC135" s="74"/>
      <c r="ED135" s="75"/>
      <c r="EE135" s="75"/>
      <c r="EF135" s="75"/>
      <c r="EG135" s="75"/>
      <c r="EH135" s="75"/>
      <c r="EI135" s="75"/>
      <c r="EJ135" s="75"/>
      <c r="EK135" s="75"/>
      <c r="EL135" s="75"/>
      <c r="EM135" s="75"/>
      <c r="EN135" s="81"/>
      <c r="EO135" s="74"/>
      <c r="EP135" s="75"/>
      <c r="EQ135" s="75"/>
      <c r="ER135" s="75"/>
      <c r="ES135" s="75"/>
      <c r="ET135" s="75"/>
      <c r="EU135" s="75"/>
      <c r="EV135" s="75"/>
      <c r="EW135" s="75"/>
      <c r="EX135" s="75"/>
      <c r="EY135" s="75"/>
      <c r="EZ135" s="81"/>
      <c r="FA135" s="74"/>
      <c r="FB135" s="75"/>
      <c r="FC135" s="75"/>
      <c r="FD135" s="75"/>
      <c r="FE135" s="75"/>
      <c r="FF135" s="75"/>
      <c r="FG135" s="75"/>
      <c r="FH135" s="75"/>
      <c r="FI135" s="75"/>
      <c r="FJ135" s="75"/>
      <c r="FK135" s="75"/>
      <c r="FL135" s="81"/>
      <c r="FM135" s="74"/>
      <c r="FN135" s="75"/>
      <c r="FO135" s="75"/>
      <c r="FP135" s="75"/>
      <c r="FQ135" s="75"/>
      <c r="FR135" s="75"/>
      <c r="FS135" s="75"/>
      <c r="FT135" s="75"/>
      <c r="FU135" s="75"/>
      <c r="FV135" s="75"/>
      <c r="FW135" s="75"/>
      <c r="FX135" s="81"/>
      <c r="FY135" s="74"/>
      <c r="FZ135" s="75"/>
      <c r="GA135" s="75"/>
      <c r="GB135" s="75"/>
      <c r="GC135" s="75"/>
      <c r="GD135" s="75"/>
      <c r="GE135" s="75"/>
      <c r="GF135" s="75"/>
      <c r="GG135" s="75"/>
      <c r="GH135" s="75"/>
      <c r="GI135" s="75"/>
      <c r="GJ135" s="81"/>
      <c r="GK135" s="74"/>
      <c r="GL135" s="75"/>
      <c r="GM135" s="75"/>
      <c r="GN135" s="75"/>
      <c r="GO135" s="75"/>
      <c r="GP135" s="75"/>
      <c r="GQ135" s="75"/>
      <c r="GR135" s="75"/>
      <c r="GS135" s="75"/>
      <c r="GT135" s="75"/>
      <c r="GU135" s="75"/>
      <c r="GV135" s="81"/>
      <c r="GW135" s="74"/>
      <c r="GX135" s="75"/>
      <c r="GY135" s="75"/>
      <c r="GZ135" s="75"/>
      <c r="HA135" s="75"/>
      <c r="HB135" s="75"/>
      <c r="HC135" s="75"/>
      <c r="HD135" s="75"/>
      <c r="HE135" s="75"/>
      <c r="HF135" s="75"/>
      <c r="HG135" s="75"/>
      <c r="HH135" s="81"/>
      <c r="HI135" s="75"/>
    </row>
    <row r="136" ht="15.0" customHeight="1">
      <c r="A136" s="74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81"/>
      <c r="M136" s="74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81"/>
      <c r="Y136" s="74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81"/>
      <c r="AK136" s="74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81"/>
      <c r="AW136" s="74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81"/>
      <c r="BI136" s="74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81"/>
      <c r="BU136" s="74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81"/>
      <c r="CG136" s="74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81"/>
      <c r="CS136" s="74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81"/>
      <c r="DE136" s="74"/>
      <c r="DF136" s="75"/>
      <c r="DG136" s="75"/>
      <c r="DH136" s="75"/>
      <c r="DI136" s="75"/>
      <c r="DJ136" s="75"/>
      <c r="DK136" s="75"/>
      <c r="DL136" s="75"/>
      <c r="DM136" s="75"/>
      <c r="DN136" s="75"/>
      <c r="DO136" s="75"/>
      <c r="DP136" s="81"/>
      <c r="DQ136" s="74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81"/>
      <c r="EC136" s="74"/>
      <c r="ED136" s="75"/>
      <c r="EE136" s="75"/>
      <c r="EF136" s="75"/>
      <c r="EG136" s="75"/>
      <c r="EH136" s="75"/>
      <c r="EI136" s="75"/>
      <c r="EJ136" s="75"/>
      <c r="EK136" s="75"/>
      <c r="EL136" s="75"/>
      <c r="EM136" s="75"/>
      <c r="EN136" s="81"/>
      <c r="EO136" s="74"/>
      <c r="EP136" s="75"/>
      <c r="EQ136" s="75"/>
      <c r="ER136" s="75"/>
      <c r="ES136" s="75"/>
      <c r="ET136" s="75"/>
      <c r="EU136" s="75"/>
      <c r="EV136" s="75"/>
      <c r="EW136" s="75"/>
      <c r="EX136" s="75"/>
      <c r="EY136" s="75"/>
      <c r="EZ136" s="81"/>
      <c r="FA136" s="74"/>
      <c r="FB136" s="75"/>
      <c r="FC136" s="75"/>
      <c r="FD136" s="75"/>
      <c r="FE136" s="75"/>
      <c r="FF136" s="75"/>
      <c r="FG136" s="75"/>
      <c r="FH136" s="75"/>
      <c r="FI136" s="75"/>
      <c r="FJ136" s="75"/>
      <c r="FK136" s="75"/>
      <c r="FL136" s="81"/>
      <c r="FM136" s="74"/>
      <c r="FN136" s="75"/>
      <c r="FO136" s="75"/>
      <c r="FP136" s="75"/>
      <c r="FQ136" s="75"/>
      <c r="FR136" s="75"/>
      <c r="FS136" s="75"/>
      <c r="FT136" s="75"/>
      <c r="FU136" s="75"/>
      <c r="FV136" s="75"/>
      <c r="FW136" s="75"/>
      <c r="FX136" s="81"/>
      <c r="FY136" s="74"/>
      <c r="FZ136" s="75"/>
      <c r="GA136" s="75"/>
      <c r="GB136" s="75"/>
      <c r="GC136" s="75"/>
      <c r="GD136" s="75"/>
      <c r="GE136" s="75"/>
      <c r="GF136" s="75"/>
      <c r="GG136" s="75"/>
      <c r="GH136" s="75"/>
      <c r="GI136" s="75"/>
      <c r="GJ136" s="81"/>
      <c r="GK136" s="74"/>
      <c r="GL136" s="75"/>
      <c r="GM136" s="75"/>
      <c r="GN136" s="75"/>
      <c r="GO136" s="75"/>
      <c r="GP136" s="75"/>
      <c r="GQ136" s="75"/>
      <c r="GR136" s="75"/>
      <c r="GS136" s="75"/>
      <c r="GT136" s="75"/>
      <c r="GU136" s="75"/>
      <c r="GV136" s="81"/>
      <c r="GW136" s="74"/>
      <c r="GX136" s="75"/>
      <c r="GY136" s="75"/>
      <c r="GZ136" s="75"/>
      <c r="HA136" s="75"/>
      <c r="HB136" s="75"/>
      <c r="HC136" s="75"/>
      <c r="HD136" s="75"/>
      <c r="HE136" s="75"/>
      <c r="HF136" s="75"/>
      <c r="HG136" s="75"/>
      <c r="HH136" s="81"/>
      <c r="HI136" s="75"/>
    </row>
    <row r="137" ht="15.0" customHeight="1">
      <c r="A137" s="74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81"/>
      <c r="M137" s="74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81"/>
      <c r="Y137" s="74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81"/>
      <c r="AK137" s="74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81"/>
      <c r="AW137" s="74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81"/>
      <c r="BI137" s="74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81"/>
      <c r="BU137" s="74"/>
      <c r="BV137" s="75"/>
      <c r="BW137" s="75"/>
      <c r="BX137" s="75"/>
      <c r="BY137" s="75"/>
      <c r="BZ137" s="75"/>
      <c r="CA137" s="75"/>
      <c r="CB137" s="75"/>
      <c r="CC137" s="75"/>
      <c r="CD137" s="75"/>
      <c r="CE137" s="75"/>
      <c r="CF137" s="81"/>
      <c r="CG137" s="74"/>
      <c r="CH137" s="75"/>
      <c r="CI137" s="75"/>
      <c r="CJ137" s="75"/>
      <c r="CK137" s="75"/>
      <c r="CL137" s="75"/>
      <c r="CM137" s="75"/>
      <c r="CN137" s="75"/>
      <c r="CO137" s="75"/>
      <c r="CP137" s="75"/>
      <c r="CQ137" s="75"/>
      <c r="CR137" s="81"/>
      <c r="CS137" s="74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81"/>
      <c r="DE137" s="74"/>
      <c r="DF137" s="75"/>
      <c r="DG137" s="75"/>
      <c r="DH137" s="75"/>
      <c r="DI137" s="75"/>
      <c r="DJ137" s="75"/>
      <c r="DK137" s="75"/>
      <c r="DL137" s="75"/>
      <c r="DM137" s="75"/>
      <c r="DN137" s="75"/>
      <c r="DO137" s="75"/>
      <c r="DP137" s="81"/>
      <c r="DQ137" s="74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81"/>
      <c r="EC137" s="74"/>
      <c r="ED137" s="75"/>
      <c r="EE137" s="75"/>
      <c r="EF137" s="75"/>
      <c r="EG137" s="75"/>
      <c r="EH137" s="75"/>
      <c r="EI137" s="75"/>
      <c r="EJ137" s="75"/>
      <c r="EK137" s="75"/>
      <c r="EL137" s="75"/>
      <c r="EM137" s="75"/>
      <c r="EN137" s="81"/>
      <c r="EO137" s="74"/>
      <c r="EP137" s="75"/>
      <c r="EQ137" s="75"/>
      <c r="ER137" s="75"/>
      <c r="ES137" s="75"/>
      <c r="ET137" s="75"/>
      <c r="EU137" s="75"/>
      <c r="EV137" s="75"/>
      <c r="EW137" s="75"/>
      <c r="EX137" s="75"/>
      <c r="EY137" s="75"/>
      <c r="EZ137" s="81"/>
      <c r="FA137" s="74"/>
      <c r="FB137" s="75"/>
      <c r="FC137" s="75"/>
      <c r="FD137" s="75"/>
      <c r="FE137" s="75"/>
      <c r="FF137" s="75"/>
      <c r="FG137" s="75"/>
      <c r="FH137" s="75"/>
      <c r="FI137" s="75"/>
      <c r="FJ137" s="75"/>
      <c r="FK137" s="75"/>
      <c r="FL137" s="81"/>
      <c r="FM137" s="74"/>
      <c r="FN137" s="75"/>
      <c r="FO137" s="75"/>
      <c r="FP137" s="75"/>
      <c r="FQ137" s="75"/>
      <c r="FR137" s="75"/>
      <c r="FS137" s="75"/>
      <c r="FT137" s="75"/>
      <c r="FU137" s="75"/>
      <c r="FV137" s="75"/>
      <c r="FW137" s="75"/>
      <c r="FX137" s="81"/>
      <c r="FY137" s="74"/>
      <c r="FZ137" s="75"/>
      <c r="GA137" s="75"/>
      <c r="GB137" s="75"/>
      <c r="GC137" s="75"/>
      <c r="GD137" s="75"/>
      <c r="GE137" s="75"/>
      <c r="GF137" s="75"/>
      <c r="GG137" s="75"/>
      <c r="GH137" s="75"/>
      <c r="GI137" s="75"/>
      <c r="GJ137" s="81"/>
      <c r="GK137" s="74"/>
      <c r="GL137" s="75"/>
      <c r="GM137" s="75"/>
      <c r="GN137" s="75"/>
      <c r="GO137" s="75"/>
      <c r="GP137" s="75"/>
      <c r="GQ137" s="75"/>
      <c r="GR137" s="75"/>
      <c r="GS137" s="75"/>
      <c r="GT137" s="75"/>
      <c r="GU137" s="75"/>
      <c r="GV137" s="81"/>
      <c r="GW137" s="74"/>
      <c r="GX137" s="75"/>
      <c r="GY137" s="75"/>
      <c r="GZ137" s="75"/>
      <c r="HA137" s="75"/>
      <c r="HB137" s="75"/>
      <c r="HC137" s="75"/>
      <c r="HD137" s="75"/>
      <c r="HE137" s="75"/>
      <c r="HF137" s="75"/>
      <c r="HG137" s="75"/>
      <c r="HH137" s="81"/>
      <c r="HI137" s="75"/>
    </row>
    <row r="138" ht="15.0" customHeight="1">
      <c r="A138" s="74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81"/>
      <c r="M138" s="74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81"/>
      <c r="Y138" s="74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81"/>
      <c r="AK138" s="74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81"/>
      <c r="AW138" s="74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81"/>
      <c r="BI138" s="74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81"/>
      <c r="BU138" s="74"/>
      <c r="BV138" s="75"/>
      <c r="BW138" s="75"/>
      <c r="BX138" s="75"/>
      <c r="BY138" s="75"/>
      <c r="BZ138" s="75"/>
      <c r="CA138" s="75"/>
      <c r="CB138" s="75"/>
      <c r="CC138" s="75"/>
      <c r="CD138" s="75"/>
      <c r="CE138" s="75"/>
      <c r="CF138" s="81"/>
      <c r="CG138" s="74"/>
      <c r="CH138" s="75"/>
      <c r="CI138" s="75"/>
      <c r="CJ138" s="75"/>
      <c r="CK138" s="75"/>
      <c r="CL138" s="75"/>
      <c r="CM138" s="75"/>
      <c r="CN138" s="75"/>
      <c r="CO138" s="75"/>
      <c r="CP138" s="75"/>
      <c r="CQ138" s="75"/>
      <c r="CR138" s="81"/>
      <c r="CS138" s="74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81"/>
      <c r="DE138" s="74"/>
      <c r="DF138" s="75"/>
      <c r="DG138" s="75"/>
      <c r="DH138" s="75"/>
      <c r="DI138" s="75"/>
      <c r="DJ138" s="75"/>
      <c r="DK138" s="75"/>
      <c r="DL138" s="75"/>
      <c r="DM138" s="75"/>
      <c r="DN138" s="75"/>
      <c r="DO138" s="75"/>
      <c r="DP138" s="81"/>
      <c r="DQ138" s="74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81"/>
      <c r="EC138" s="74"/>
      <c r="ED138" s="75"/>
      <c r="EE138" s="75"/>
      <c r="EF138" s="75"/>
      <c r="EG138" s="75"/>
      <c r="EH138" s="75"/>
      <c r="EI138" s="75"/>
      <c r="EJ138" s="75"/>
      <c r="EK138" s="75"/>
      <c r="EL138" s="75"/>
      <c r="EM138" s="75"/>
      <c r="EN138" s="81"/>
      <c r="EO138" s="74"/>
      <c r="EP138" s="75"/>
      <c r="EQ138" s="75"/>
      <c r="ER138" s="75"/>
      <c r="ES138" s="75"/>
      <c r="ET138" s="75"/>
      <c r="EU138" s="75"/>
      <c r="EV138" s="75"/>
      <c r="EW138" s="75"/>
      <c r="EX138" s="75"/>
      <c r="EY138" s="75"/>
      <c r="EZ138" s="81"/>
      <c r="FA138" s="74"/>
      <c r="FB138" s="75"/>
      <c r="FC138" s="75"/>
      <c r="FD138" s="75"/>
      <c r="FE138" s="75"/>
      <c r="FF138" s="75"/>
      <c r="FG138" s="75"/>
      <c r="FH138" s="75"/>
      <c r="FI138" s="75"/>
      <c r="FJ138" s="75"/>
      <c r="FK138" s="75"/>
      <c r="FL138" s="81"/>
      <c r="FM138" s="74"/>
      <c r="FN138" s="75"/>
      <c r="FO138" s="75"/>
      <c r="FP138" s="75"/>
      <c r="FQ138" s="75"/>
      <c r="FR138" s="75"/>
      <c r="FS138" s="75"/>
      <c r="FT138" s="75"/>
      <c r="FU138" s="75"/>
      <c r="FV138" s="75"/>
      <c r="FW138" s="75"/>
      <c r="FX138" s="81"/>
      <c r="FY138" s="74"/>
      <c r="FZ138" s="75"/>
      <c r="GA138" s="75"/>
      <c r="GB138" s="75"/>
      <c r="GC138" s="75"/>
      <c r="GD138" s="75"/>
      <c r="GE138" s="75"/>
      <c r="GF138" s="75"/>
      <c r="GG138" s="75"/>
      <c r="GH138" s="75"/>
      <c r="GI138" s="75"/>
      <c r="GJ138" s="81"/>
      <c r="GK138" s="74"/>
      <c r="GL138" s="75"/>
      <c r="GM138" s="75"/>
      <c r="GN138" s="75"/>
      <c r="GO138" s="75"/>
      <c r="GP138" s="75"/>
      <c r="GQ138" s="75"/>
      <c r="GR138" s="75"/>
      <c r="GS138" s="75"/>
      <c r="GT138" s="75"/>
      <c r="GU138" s="75"/>
      <c r="GV138" s="81"/>
      <c r="GW138" s="74"/>
      <c r="GX138" s="75"/>
      <c r="GY138" s="75"/>
      <c r="GZ138" s="75"/>
      <c r="HA138" s="75"/>
      <c r="HB138" s="75"/>
      <c r="HC138" s="75"/>
      <c r="HD138" s="75"/>
      <c r="HE138" s="75"/>
      <c r="HF138" s="75"/>
      <c r="HG138" s="75"/>
      <c r="HH138" s="81"/>
      <c r="HI138" s="75"/>
    </row>
    <row r="139" ht="15.0" customHeight="1">
      <c r="A139" s="74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81"/>
      <c r="M139" s="74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81"/>
      <c r="Y139" s="74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81"/>
      <c r="AK139" s="74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81"/>
      <c r="AW139" s="74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81"/>
      <c r="BI139" s="74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81"/>
      <c r="BU139" s="74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81"/>
      <c r="CG139" s="74"/>
      <c r="CH139" s="75"/>
      <c r="CI139" s="75"/>
      <c r="CJ139" s="75"/>
      <c r="CK139" s="75"/>
      <c r="CL139" s="75"/>
      <c r="CM139" s="75"/>
      <c r="CN139" s="75"/>
      <c r="CO139" s="75"/>
      <c r="CP139" s="75"/>
      <c r="CQ139" s="75"/>
      <c r="CR139" s="81"/>
      <c r="CS139" s="74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81"/>
      <c r="DE139" s="74"/>
      <c r="DF139" s="75"/>
      <c r="DG139" s="75"/>
      <c r="DH139" s="75"/>
      <c r="DI139" s="75"/>
      <c r="DJ139" s="75"/>
      <c r="DK139" s="75"/>
      <c r="DL139" s="75"/>
      <c r="DM139" s="75"/>
      <c r="DN139" s="75"/>
      <c r="DO139" s="75"/>
      <c r="DP139" s="81"/>
      <c r="DQ139" s="74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81"/>
      <c r="EC139" s="74"/>
      <c r="ED139" s="75"/>
      <c r="EE139" s="75"/>
      <c r="EF139" s="75"/>
      <c r="EG139" s="75"/>
      <c r="EH139" s="75"/>
      <c r="EI139" s="75"/>
      <c r="EJ139" s="75"/>
      <c r="EK139" s="75"/>
      <c r="EL139" s="75"/>
      <c r="EM139" s="75"/>
      <c r="EN139" s="81"/>
      <c r="EO139" s="74"/>
      <c r="EP139" s="75"/>
      <c r="EQ139" s="75"/>
      <c r="ER139" s="75"/>
      <c r="ES139" s="75"/>
      <c r="ET139" s="75"/>
      <c r="EU139" s="75"/>
      <c r="EV139" s="75"/>
      <c r="EW139" s="75"/>
      <c r="EX139" s="75"/>
      <c r="EY139" s="75"/>
      <c r="EZ139" s="81"/>
      <c r="FA139" s="74"/>
      <c r="FB139" s="75"/>
      <c r="FC139" s="75"/>
      <c r="FD139" s="75"/>
      <c r="FE139" s="75"/>
      <c r="FF139" s="75"/>
      <c r="FG139" s="75"/>
      <c r="FH139" s="75"/>
      <c r="FI139" s="75"/>
      <c r="FJ139" s="75"/>
      <c r="FK139" s="75"/>
      <c r="FL139" s="81"/>
      <c r="FM139" s="74"/>
      <c r="FN139" s="75"/>
      <c r="FO139" s="75"/>
      <c r="FP139" s="75"/>
      <c r="FQ139" s="75"/>
      <c r="FR139" s="75"/>
      <c r="FS139" s="75"/>
      <c r="FT139" s="75"/>
      <c r="FU139" s="75"/>
      <c r="FV139" s="75"/>
      <c r="FW139" s="75"/>
      <c r="FX139" s="81"/>
      <c r="FY139" s="74"/>
      <c r="FZ139" s="75"/>
      <c r="GA139" s="75"/>
      <c r="GB139" s="75"/>
      <c r="GC139" s="75"/>
      <c r="GD139" s="75"/>
      <c r="GE139" s="75"/>
      <c r="GF139" s="75"/>
      <c r="GG139" s="75"/>
      <c r="GH139" s="75"/>
      <c r="GI139" s="75"/>
      <c r="GJ139" s="81"/>
      <c r="GK139" s="74"/>
      <c r="GL139" s="75"/>
      <c r="GM139" s="75"/>
      <c r="GN139" s="75"/>
      <c r="GO139" s="75"/>
      <c r="GP139" s="75"/>
      <c r="GQ139" s="75"/>
      <c r="GR139" s="75"/>
      <c r="GS139" s="75"/>
      <c r="GT139" s="75"/>
      <c r="GU139" s="75"/>
      <c r="GV139" s="81"/>
      <c r="GW139" s="74"/>
      <c r="GX139" s="75"/>
      <c r="GY139" s="75"/>
      <c r="GZ139" s="75"/>
      <c r="HA139" s="75"/>
      <c r="HB139" s="75"/>
      <c r="HC139" s="75"/>
      <c r="HD139" s="75"/>
      <c r="HE139" s="75"/>
      <c r="HF139" s="75"/>
      <c r="HG139" s="75"/>
      <c r="HH139" s="81"/>
      <c r="HI139" s="75"/>
    </row>
    <row r="140" ht="15.0" customHeight="1">
      <c r="A140" s="74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81"/>
      <c r="M140" s="74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81"/>
      <c r="Y140" s="74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81"/>
      <c r="AK140" s="74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81"/>
      <c r="AW140" s="74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81"/>
      <c r="BI140" s="74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81"/>
      <c r="BU140" s="74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81"/>
      <c r="CG140" s="74"/>
      <c r="CH140" s="75"/>
      <c r="CI140" s="75"/>
      <c r="CJ140" s="75"/>
      <c r="CK140" s="75"/>
      <c r="CL140" s="75"/>
      <c r="CM140" s="75"/>
      <c r="CN140" s="75"/>
      <c r="CO140" s="75"/>
      <c r="CP140" s="75"/>
      <c r="CQ140" s="75"/>
      <c r="CR140" s="81"/>
      <c r="CS140" s="74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81"/>
      <c r="DE140" s="74"/>
      <c r="DF140" s="75"/>
      <c r="DG140" s="75"/>
      <c r="DH140" s="75"/>
      <c r="DI140" s="75"/>
      <c r="DJ140" s="75"/>
      <c r="DK140" s="75"/>
      <c r="DL140" s="75"/>
      <c r="DM140" s="75"/>
      <c r="DN140" s="75"/>
      <c r="DO140" s="75"/>
      <c r="DP140" s="81"/>
      <c r="DQ140" s="74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81"/>
      <c r="EC140" s="74"/>
      <c r="ED140" s="75"/>
      <c r="EE140" s="75"/>
      <c r="EF140" s="75"/>
      <c r="EG140" s="75"/>
      <c r="EH140" s="75"/>
      <c r="EI140" s="75"/>
      <c r="EJ140" s="75"/>
      <c r="EK140" s="75"/>
      <c r="EL140" s="75"/>
      <c r="EM140" s="75"/>
      <c r="EN140" s="81"/>
      <c r="EO140" s="74"/>
      <c r="EP140" s="75"/>
      <c r="EQ140" s="75"/>
      <c r="ER140" s="75"/>
      <c r="ES140" s="75"/>
      <c r="ET140" s="75"/>
      <c r="EU140" s="75"/>
      <c r="EV140" s="75"/>
      <c r="EW140" s="75"/>
      <c r="EX140" s="75"/>
      <c r="EY140" s="75"/>
      <c r="EZ140" s="81"/>
      <c r="FA140" s="74"/>
      <c r="FB140" s="75"/>
      <c r="FC140" s="75"/>
      <c r="FD140" s="75"/>
      <c r="FE140" s="75"/>
      <c r="FF140" s="75"/>
      <c r="FG140" s="75"/>
      <c r="FH140" s="75"/>
      <c r="FI140" s="75"/>
      <c r="FJ140" s="75"/>
      <c r="FK140" s="75"/>
      <c r="FL140" s="81"/>
      <c r="FM140" s="74"/>
      <c r="FN140" s="75"/>
      <c r="FO140" s="75"/>
      <c r="FP140" s="75"/>
      <c r="FQ140" s="75"/>
      <c r="FR140" s="75"/>
      <c r="FS140" s="75"/>
      <c r="FT140" s="75"/>
      <c r="FU140" s="75"/>
      <c r="FV140" s="75"/>
      <c r="FW140" s="75"/>
      <c r="FX140" s="81"/>
      <c r="FY140" s="74"/>
      <c r="FZ140" s="75"/>
      <c r="GA140" s="75"/>
      <c r="GB140" s="75"/>
      <c r="GC140" s="75"/>
      <c r="GD140" s="75"/>
      <c r="GE140" s="75"/>
      <c r="GF140" s="75"/>
      <c r="GG140" s="75"/>
      <c r="GH140" s="75"/>
      <c r="GI140" s="75"/>
      <c r="GJ140" s="81"/>
      <c r="GK140" s="74"/>
      <c r="GL140" s="75"/>
      <c r="GM140" s="75"/>
      <c r="GN140" s="75"/>
      <c r="GO140" s="75"/>
      <c r="GP140" s="75"/>
      <c r="GQ140" s="75"/>
      <c r="GR140" s="75"/>
      <c r="GS140" s="75"/>
      <c r="GT140" s="75"/>
      <c r="GU140" s="75"/>
      <c r="GV140" s="81"/>
      <c r="GW140" s="74"/>
      <c r="GX140" s="75"/>
      <c r="GY140" s="75"/>
      <c r="GZ140" s="75"/>
      <c r="HA140" s="75"/>
      <c r="HB140" s="75"/>
      <c r="HC140" s="75"/>
      <c r="HD140" s="75"/>
      <c r="HE140" s="75"/>
      <c r="HF140" s="75"/>
      <c r="HG140" s="75"/>
      <c r="HH140" s="81"/>
      <c r="HI140" s="75"/>
    </row>
    <row r="141" ht="15.0" customHeight="1">
      <c r="A141" s="74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81"/>
      <c r="M141" s="74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81"/>
      <c r="Y141" s="74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81"/>
      <c r="AK141" s="74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81"/>
      <c r="AW141" s="74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81"/>
      <c r="BI141" s="74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81"/>
      <c r="BU141" s="74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81"/>
      <c r="CG141" s="74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81"/>
      <c r="CS141" s="74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81"/>
      <c r="DE141" s="74"/>
      <c r="DF141" s="75"/>
      <c r="DG141" s="75"/>
      <c r="DH141" s="75"/>
      <c r="DI141" s="75"/>
      <c r="DJ141" s="75"/>
      <c r="DK141" s="75"/>
      <c r="DL141" s="75"/>
      <c r="DM141" s="75"/>
      <c r="DN141" s="75"/>
      <c r="DO141" s="75"/>
      <c r="DP141" s="81"/>
      <c r="DQ141" s="74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81"/>
      <c r="EC141" s="74"/>
      <c r="ED141" s="75"/>
      <c r="EE141" s="75"/>
      <c r="EF141" s="75"/>
      <c r="EG141" s="75"/>
      <c r="EH141" s="75"/>
      <c r="EI141" s="75"/>
      <c r="EJ141" s="75"/>
      <c r="EK141" s="75"/>
      <c r="EL141" s="75"/>
      <c r="EM141" s="75"/>
      <c r="EN141" s="81"/>
      <c r="EO141" s="74"/>
      <c r="EP141" s="75"/>
      <c r="EQ141" s="75"/>
      <c r="ER141" s="75"/>
      <c r="ES141" s="75"/>
      <c r="ET141" s="75"/>
      <c r="EU141" s="75"/>
      <c r="EV141" s="75"/>
      <c r="EW141" s="75"/>
      <c r="EX141" s="75"/>
      <c r="EY141" s="75"/>
      <c r="EZ141" s="81"/>
      <c r="FA141" s="74"/>
      <c r="FB141" s="75"/>
      <c r="FC141" s="75"/>
      <c r="FD141" s="75"/>
      <c r="FE141" s="75"/>
      <c r="FF141" s="75"/>
      <c r="FG141" s="75"/>
      <c r="FH141" s="75"/>
      <c r="FI141" s="75"/>
      <c r="FJ141" s="75"/>
      <c r="FK141" s="75"/>
      <c r="FL141" s="81"/>
      <c r="FM141" s="74"/>
      <c r="FN141" s="75"/>
      <c r="FO141" s="75"/>
      <c r="FP141" s="75"/>
      <c r="FQ141" s="75"/>
      <c r="FR141" s="75"/>
      <c r="FS141" s="75"/>
      <c r="FT141" s="75"/>
      <c r="FU141" s="75"/>
      <c r="FV141" s="75"/>
      <c r="FW141" s="75"/>
      <c r="FX141" s="81"/>
      <c r="FY141" s="74"/>
      <c r="FZ141" s="75"/>
      <c r="GA141" s="75"/>
      <c r="GB141" s="75"/>
      <c r="GC141" s="75"/>
      <c r="GD141" s="75"/>
      <c r="GE141" s="75"/>
      <c r="GF141" s="75"/>
      <c r="GG141" s="75"/>
      <c r="GH141" s="75"/>
      <c r="GI141" s="75"/>
      <c r="GJ141" s="81"/>
      <c r="GK141" s="74"/>
      <c r="GL141" s="75"/>
      <c r="GM141" s="75"/>
      <c r="GN141" s="75"/>
      <c r="GO141" s="75"/>
      <c r="GP141" s="75"/>
      <c r="GQ141" s="75"/>
      <c r="GR141" s="75"/>
      <c r="GS141" s="75"/>
      <c r="GT141" s="75"/>
      <c r="GU141" s="75"/>
      <c r="GV141" s="81"/>
      <c r="GW141" s="74"/>
      <c r="GX141" s="75"/>
      <c r="GY141" s="75"/>
      <c r="GZ141" s="75"/>
      <c r="HA141" s="75"/>
      <c r="HB141" s="75"/>
      <c r="HC141" s="75"/>
      <c r="HD141" s="75"/>
      <c r="HE141" s="75"/>
      <c r="HF141" s="75"/>
      <c r="HG141" s="75"/>
      <c r="HH141" s="81"/>
      <c r="HI141" s="75"/>
    </row>
    <row r="142" ht="15.0" customHeight="1">
      <c r="A142" s="74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81"/>
      <c r="M142" s="74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81"/>
      <c r="Y142" s="74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81"/>
      <c r="AK142" s="74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81"/>
      <c r="AW142" s="74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81"/>
      <c r="BI142" s="74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81"/>
      <c r="BU142" s="74"/>
      <c r="BV142" s="75"/>
      <c r="BW142" s="75"/>
      <c r="BX142" s="75"/>
      <c r="BY142" s="75"/>
      <c r="BZ142" s="75"/>
      <c r="CA142" s="75"/>
      <c r="CB142" s="75"/>
      <c r="CC142" s="75"/>
      <c r="CD142" s="75"/>
      <c r="CE142" s="75"/>
      <c r="CF142" s="81"/>
      <c r="CG142" s="74"/>
      <c r="CH142" s="75"/>
      <c r="CI142" s="75"/>
      <c r="CJ142" s="75"/>
      <c r="CK142" s="75"/>
      <c r="CL142" s="75"/>
      <c r="CM142" s="75"/>
      <c r="CN142" s="75"/>
      <c r="CO142" s="75"/>
      <c r="CP142" s="75"/>
      <c r="CQ142" s="75"/>
      <c r="CR142" s="81"/>
      <c r="CS142" s="74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81"/>
      <c r="DE142" s="74"/>
      <c r="DF142" s="75"/>
      <c r="DG142" s="75"/>
      <c r="DH142" s="75"/>
      <c r="DI142" s="75"/>
      <c r="DJ142" s="75"/>
      <c r="DK142" s="75"/>
      <c r="DL142" s="75"/>
      <c r="DM142" s="75"/>
      <c r="DN142" s="75"/>
      <c r="DO142" s="75"/>
      <c r="DP142" s="81"/>
      <c r="DQ142" s="74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81"/>
      <c r="EC142" s="74"/>
      <c r="ED142" s="75"/>
      <c r="EE142" s="75"/>
      <c r="EF142" s="75"/>
      <c r="EG142" s="75"/>
      <c r="EH142" s="75"/>
      <c r="EI142" s="75"/>
      <c r="EJ142" s="75"/>
      <c r="EK142" s="75"/>
      <c r="EL142" s="75"/>
      <c r="EM142" s="75"/>
      <c r="EN142" s="81"/>
      <c r="EO142" s="74"/>
      <c r="EP142" s="75"/>
      <c r="EQ142" s="75"/>
      <c r="ER142" s="75"/>
      <c r="ES142" s="75"/>
      <c r="ET142" s="75"/>
      <c r="EU142" s="75"/>
      <c r="EV142" s="75"/>
      <c r="EW142" s="75"/>
      <c r="EX142" s="75"/>
      <c r="EY142" s="75"/>
      <c r="EZ142" s="81"/>
      <c r="FA142" s="74"/>
      <c r="FB142" s="75"/>
      <c r="FC142" s="75"/>
      <c r="FD142" s="75"/>
      <c r="FE142" s="75"/>
      <c r="FF142" s="75"/>
      <c r="FG142" s="75"/>
      <c r="FH142" s="75"/>
      <c r="FI142" s="75"/>
      <c r="FJ142" s="75"/>
      <c r="FK142" s="75"/>
      <c r="FL142" s="81"/>
      <c r="FM142" s="74"/>
      <c r="FN142" s="75"/>
      <c r="FO142" s="75"/>
      <c r="FP142" s="75"/>
      <c r="FQ142" s="75"/>
      <c r="FR142" s="75"/>
      <c r="FS142" s="75"/>
      <c r="FT142" s="75"/>
      <c r="FU142" s="75"/>
      <c r="FV142" s="75"/>
      <c r="FW142" s="75"/>
      <c r="FX142" s="81"/>
      <c r="FY142" s="74"/>
      <c r="FZ142" s="75"/>
      <c r="GA142" s="75"/>
      <c r="GB142" s="75"/>
      <c r="GC142" s="75"/>
      <c r="GD142" s="75"/>
      <c r="GE142" s="75"/>
      <c r="GF142" s="75"/>
      <c r="GG142" s="75"/>
      <c r="GH142" s="75"/>
      <c r="GI142" s="75"/>
      <c r="GJ142" s="81"/>
      <c r="GK142" s="74"/>
      <c r="GL142" s="75"/>
      <c r="GM142" s="75"/>
      <c r="GN142" s="75"/>
      <c r="GO142" s="75"/>
      <c r="GP142" s="75"/>
      <c r="GQ142" s="75"/>
      <c r="GR142" s="75"/>
      <c r="GS142" s="75"/>
      <c r="GT142" s="75"/>
      <c r="GU142" s="75"/>
      <c r="GV142" s="81"/>
      <c r="GW142" s="74"/>
      <c r="GX142" s="75"/>
      <c r="GY142" s="75"/>
      <c r="GZ142" s="75"/>
      <c r="HA142" s="75"/>
      <c r="HB142" s="75"/>
      <c r="HC142" s="75"/>
      <c r="HD142" s="75"/>
      <c r="HE142" s="75"/>
      <c r="HF142" s="75"/>
      <c r="HG142" s="75"/>
      <c r="HH142" s="81"/>
      <c r="HI142" s="75"/>
    </row>
    <row r="143" ht="15.0" customHeight="1">
      <c r="A143" s="74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81"/>
      <c r="M143" s="74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81"/>
      <c r="Y143" s="74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81"/>
      <c r="AK143" s="74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81"/>
      <c r="AW143" s="74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81"/>
      <c r="BI143" s="74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81"/>
      <c r="BU143" s="74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81"/>
      <c r="CG143" s="74"/>
      <c r="CH143" s="75"/>
      <c r="CI143" s="75"/>
      <c r="CJ143" s="75"/>
      <c r="CK143" s="75"/>
      <c r="CL143" s="75"/>
      <c r="CM143" s="75"/>
      <c r="CN143" s="75"/>
      <c r="CO143" s="75"/>
      <c r="CP143" s="75"/>
      <c r="CQ143" s="75"/>
      <c r="CR143" s="81"/>
      <c r="CS143" s="74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81"/>
      <c r="DE143" s="74"/>
      <c r="DF143" s="75"/>
      <c r="DG143" s="75"/>
      <c r="DH143" s="75"/>
      <c r="DI143" s="75"/>
      <c r="DJ143" s="75"/>
      <c r="DK143" s="75"/>
      <c r="DL143" s="75"/>
      <c r="DM143" s="75"/>
      <c r="DN143" s="75"/>
      <c r="DO143" s="75"/>
      <c r="DP143" s="81"/>
      <c r="DQ143" s="74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81"/>
      <c r="EC143" s="74"/>
      <c r="ED143" s="75"/>
      <c r="EE143" s="75"/>
      <c r="EF143" s="75"/>
      <c r="EG143" s="75"/>
      <c r="EH143" s="75"/>
      <c r="EI143" s="75"/>
      <c r="EJ143" s="75"/>
      <c r="EK143" s="75"/>
      <c r="EL143" s="75"/>
      <c r="EM143" s="75"/>
      <c r="EN143" s="81"/>
      <c r="EO143" s="74"/>
      <c r="EP143" s="75"/>
      <c r="EQ143" s="75"/>
      <c r="ER143" s="75"/>
      <c r="ES143" s="75"/>
      <c r="ET143" s="75"/>
      <c r="EU143" s="75"/>
      <c r="EV143" s="75"/>
      <c r="EW143" s="75"/>
      <c r="EX143" s="75"/>
      <c r="EY143" s="75"/>
      <c r="EZ143" s="81"/>
      <c r="FA143" s="74"/>
      <c r="FB143" s="75"/>
      <c r="FC143" s="75"/>
      <c r="FD143" s="75"/>
      <c r="FE143" s="75"/>
      <c r="FF143" s="75"/>
      <c r="FG143" s="75"/>
      <c r="FH143" s="75"/>
      <c r="FI143" s="75"/>
      <c r="FJ143" s="75"/>
      <c r="FK143" s="75"/>
      <c r="FL143" s="81"/>
      <c r="FM143" s="74"/>
      <c r="FN143" s="75"/>
      <c r="FO143" s="75"/>
      <c r="FP143" s="75"/>
      <c r="FQ143" s="75"/>
      <c r="FR143" s="75"/>
      <c r="FS143" s="75"/>
      <c r="FT143" s="75"/>
      <c r="FU143" s="75"/>
      <c r="FV143" s="75"/>
      <c r="FW143" s="75"/>
      <c r="FX143" s="81"/>
      <c r="FY143" s="74"/>
      <c r="FZ143" s="75"/>
      <c r="GA143" s="75"/>
      <c r="GB143" s="75"/>
      <c r="GC143" s="75"/>
      <c r="GD143" s="75"/>
      <c r="GE143" s="75"/>
      <c r="GF143" s="75"/>
      <c r="GG143" s="75"/>
      <c r="GH143" s="75"/>
      <c r="GI143" s="75"/>
      <c r="GJ143" s="81"/>
      <c r="GK143" s="74"/>
      <c r="GL143" s="75"/>
      <c r="GM143" s="75"/>
      <c r="GN143" s="75"/>
      <c r="GO143" s="75"/>
      <c r="GP143" s="75"/>
      <c r="GQ143" s="75"/>
      <c r="GR143" s="75"/>
      <c r="GS143" s="75"/>
      <c r="GT143" s="75"/>
      <c r="GU143" s="75"/>
      <c r="GV143" s="81"/>
      <c r="GW143" s="74"/>
      <c r="GX143" s="75"/>
      <c r="GY143" s="75"/>
      <c r="GZ143" s="75"/>
      <c r="HA143" s="75"/>
      <c r="HB143" s="75"/>
      <c r="HC143" s="75"/>
      <c r="HD143" s="75"/>
      <c r="HE143" s="75"/>
      <c r="HF143" s="75"/>
      <c r="HG143" s="75"/>
      <c r="HH143" s="81"/>
      <c r="HI143" s="75"/>
    </row>
    <row r="144" ht="15.0" customHeight="1">
      <c r="A144" s="74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81"/>
      <c r="M144" s="74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81"/>
      <c r="Y144" s="74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81"/>
      <c r="AK144" s="74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81"/>
      <c r="AW144" s="74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81"/>
      <c r="BI144" s="74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81"/>
      <c r="BU144" s="74"/>
      <c r="BV144" s="75"/>
      <c r="BW144" s="75"/>
      <c r="BX144" s="75"/>
      <c r="BY144" s="75"/>
      <c r="BZ144" s="75"/>
      <c r="CA144" s="75"/>
      <c r="CB144" s="75"/>
      <c r="CC144" s="75"/>
      <c r="CD144" s="75"/>
      <c r="CE144" s="75"/>
      <c r="CF144" s="81"/>
      <c r="CG144" s="74"/>
      <c r="CH144" s="75"/>
      <c r="CI144" s="75"/>
      <c r="CJ144" s="75"/>
      <c r="CK144" s="75"/>
      <c r="CL144" s="75"/>
      <c r="CM144" s="75"/>
      <c r="CN144" s="75"/>
      <c r="CO144" s="75"/>
      <c r="CP144" s="75"/>
      <c r="CQ144" s="75"/>
      <c r="CR144" s="81"/>
      <c r="CS144" s="74"/>
      <c r="CT144" s="75"/>
      <c r="CU144" s="75"/>
      <c r="CV144" s="75"/>
      <c r="CW144" s="75"/>
      <c r="CX144" s="75"/>
      <c r="CY144" s="75"/>
      <c r="CZ144" s="75"/>
      <c r="DA144" s="75"/>
      <c r="DB144" s="75"/>
      <c r="DC144" s="75"/>
      <c r="DD144" s="81"/>
      <c r="DE144" s="74"/>
      <c r="DF144" s="75"/>
      <c r="DG144" s="75"/>
      <c r="DH144" s="75"/>
      <c r="DI144" s="75"/>
      <c r="DJ144" s="75"/>
      <c r="DK144" s="75"/>
      <c r="DL144" s="75"/>
      <c r="DM144" s="75"/>
      <c r="DN144" s="75"/>
      <c r="DO144" s="75"/>
      <c r="DP144" s="81"/>
      <c r="DQ144" s="74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81"/>
      <c r="EC144" s="74"/>
      <c r="ED144" s="75"/>
      <c r="EE144" s="75"/>
      <c r="EF144" s="75"/>
      <c r="EG144" s="75"/>
      <c r="EH144" s="75"/>
      <c r="EI144" s="75"/>
      <c r="EJ144" s="75"/>
      <c r="EK144" s="75"/>
      <c r="EL144" s="75"/>
      <c r="EM144" s="75"/>
      <c r="EN144" s="81"/>
      <c r="EO144" s="74"/>
      <c r="EP144" s="75"/>
      <c r="EQ144" s="75"/>
      <c r="ER144" s="75"/>
      <c r="ES144" s="75"/>
      <c r="ET144" s="75"/>
      <c r="EU144" s="75"/>
      <c r="EV144" s="75"/>
      <c r="EW144" s="75"/>
      <c r="EX144" s="75"/>
      <c r="EY144" s="75"/>
      <c r="EZ144" s="81"/>
      <c r="FA144" s="74"/>
      <c r="FB144" s="75"/>
      <c r="FC144" s="75"/>
      <c r="FD144" s="75"/>
      <c r="FE144" s="75"/>
      <c r="FF144" s="75"/>
      <c r="FG144" s="75"/>
      <c r="FH144" s="75"/>
      <c r="FI144" s="75"/>
      <c r="FJ144" s="75"/>
      <c r="FK144" s="75"/>
      <c r="FL144" s="81"/>
      <c r="FM144" s="74"/>
      <c r="FN144" s="75"/>
      <c r="FO144" s="75"/>
      <c r="FP144" s="75"/>
      <c r="FQ144" s="75"/>
      <c r="FR144" s="75"/>
      <c r="FS144" s="75"/>
      <c r="FT144" s="75"/>
      <c r="FU144" s="75"/>
      <c r="FV144" s="75"/>
      <c r="FW144" s="75"/>
      <c r="FX144" s="81"/>
      <c r="FY144" s="74"/>
      <c r="FZ144" s="75"/>
      <c r="GA144" s="75"/>
      <c r="GB144" s="75"/>
      <c r="GC144" s="75"/>
      <c r="GD144" s="75"/>
      <c r="GE144" s="75"/>
      <c r="GF144" s="75"/>
      <c r="GG144" s="75"/>
      <c r="GH144" s="75"/>
      <c r="GI144" s="75"/>
      <c r="GJ144" s="81"/>
      <c r="GK144" s="74"/>
      <c r="GL144" s="75"/>
      <c r="GM144" s="75"/>
      <c r="GN144" s="75"/>
      <c r="GO144" s="75"/>
      <c r="GP144" s="75"/>
      <c r="GQ144" s="75"/>
      <c r="GR144" s="75"/>
      <c r="GS144" s="75"/>
      <c r="GT144" s="75"/>
      <c r="GU144" s="75"/>
      <c r="GV144" s="81"/>
      <c r="GW144" s="74"/>
      <c r="GX144" s="75"/>
      <c r="GY144" s="75"/>
      <c r="GZ144" s="75"/>
      <c r="HA144" s="75"/>
      <c r="HB144" s="75"/>
      <c r="HC144" s="75"/>
      <c r="HD144" s="75"/>
      <c r="HE144" s="75"/>
      <c r="HF144" s="75"/>
      <c r="HG144" s="75"/>
      <c r="HH144" s="81"/>
      <c r="HI144" s="75"/>
    </row>
    <row r="145" ht="15.0" customHeight="1">
      <c r="A145" s="74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81"/>
      <c r="M145" s="74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81"/>
      <c r="Y145" s="74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81"/>
      <c r="AK145" s="74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81"/>
      <c r="AW145" s="74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81"/>
      <c r="BI145" s="74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81"/>
      <c r="BU145" s="74"/>
      <c r="BV145" s="75"/>
      <c r="BW145" s="75"/>
      <c r="BX145" s="75"/>
      <c r="BY145" s="75"/>
      <c r="BZ145" s="75"/>
      <c r="CA145" s="75"/>
      <c r="CB145" s="75"/>
      <c r="CC145" s="75"/>
      <c r="CD145" s="75"/>
      <c r="CE145" s="75"/>
      <c r="CF145" s="81"/>
      <c r="CG145" s="74"/>
      <c r="CH145" s="75"/>
      <c r="CI145" s="75"/>
      <c r="CJ145" s="75"/>
      <c r="CK145" s="75"/>
      <c r="CL145" s="75"/>
      <c r="CM145" s="75"/>
      <c r="CN145" s="75"/>
      <c r="CO145" s="75"/>
      <c r="CP145" s="75"/>
      <c r="CQ145" s="75"/>
      <c r="CR145" s="81"/>
      <c r="CS145" s="74"/>
      <c r="CT145" s="75"/>
      <c r="CU145" s="75"/>
      <c r="CV145" s="75"/>
      <c r="CW145" s="75"/>
      <c r="CX145" s="75"/>
      <c r="CY145" s="75"/>
      <c r="CZ145" s="75"/>
      <c r="DA145" s="75"/>
      <c r="DB145" s="75"/>
      <c r="DC145" s="75"/>
      <c r="DD145" s="81"/>
      <c r="DE145" s="74"/>
      <c r="DF145" s="75"/>
      <c r="DG145" s="75"/>
      <c r="DH145" s="75"/>
      <c r="DI145" s="75"/>
      <c r="DJ145" s="75"/>
      <c r="DK145" s="75"/>
      <c r="DL145" s="75"/>
      <c r="DM145" s="75"/>
      <c r="DN145" s="75"/>
      <c r="DO145" s="75"/>
      <c r="DP145" s="81"/>
      <c r="DQ145" s="74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81"/>
      <c r="EC145" s="74"/>
      <c r="ED145" s="75"/>
      <c r="EE145" s="75"/>
      <c r="EF145" s="75"/>
      <c r="EG145" s="75"/>
      <c r="EH145" s="75"/>
      <c r="EI145" s="75"/>
      <c r="EJ145" s="75"/>
      <c r="EK145" s="75"/>
      <c r="EL145" s="75"/>
      <c r="EM145" s="75"/>
      <c r="EN145" s="81"/>
      <c r="EO145" s="74"/>
      <c r="EP145" s="75"/>
      <c r="EQ145" s="75"/>
      <c r="ER145" s="75"/>
      <c r="ES145" s="75"/>
      <c r="ET145" s="75"/>
      <c r="EU145" s="75"/>
      <c r="EV145" s="75"/>
      <c r="EW145" s="75"/>
      <c r="EX145" s="75"/>
      <c r="EY145" s="75"/>
      <c r="EZ145" s="81"/>
      <c r="FA145" s="74"/>
      <c r="FB145" s="75"/>
      <c r="FC145" s="75"/>
      <c r="FD145" s="75"/>
      <c r="FE145" s="75"/>
      <c r="FF145" s="75"/>
      <c r="FG145" s="75"/>
      <c r="FH145" s="75"/>
      <c r="FI145" s="75"/>
      <c r="FJ145" s="75"/>
      <c r="FK145" s="75"/>
      <c r="FL145" s="81"/>
      <c r="FM145" s="74"/>
      <c r="FN145" s="75"/>
      <c r="FO145" s="75"/>
      <c r="FP145" s="75"/>
      <c r="FQ145" s="75"/>
      <c r="FR145" s="75"/>
      <c r="FS145" s="75"/>
      <c r="FT145" s="75"/>
      <c r="FU145" s="75"/>
      <c r="FV145" s="75"/>
      <c r="FW145" s="75"/>
      <c r="FX145" s="81"/>
      <c r="FY145" s="74"/>
      <c r="FZ145" s="75"/>
      <c r="GA145" s="75"/>
      <c r="GB145" s="75"/>
      <c r="GC145" s="75"/>
      <c r="GD145" s="75"/>
      <c r="GE145" s="75"/>
      <c r="GF145" s="75"/>
      <c r="GG145" s="75"/>
      <c r="GH145" s="75"/>
      <c r="GI145" s="75"/>
      <c r="GJ145" s="81"/>
      <c r="GK145" s="74"/>
      <c r="GL145" s="75"/>
      <c r="GM145" s="75"/>
      <c r="GN145" s="75"/>
      <c r="GO145" s="75"/>
      <c r="GP145" s="75"/>
      <c r="GQ145" s="75"/>
      <c r="GR145" s="75"/>
      <c r="GS145" s="75"/>
      <c r="GT145" s="75"/>
      <c r="GU145" s="75"/>
      <c r="GV145" s="81"/>
      <c r="GW145" s="74"/>
      <c r="GX145" s="75"/>
      <c r="GY145" s="75"/>
      <c r="GZ145" s="75"/>
      <c r="HA145" s="75"/>
      <c r="HB145" s="75"/>
      <c r="HC145" s="75"/>
      <c r="HD145" s="75"/>
      <c r="HE145" s="75"/>
      <c r="HF145" s="75"/>
      <c r="HG145" s="75"/>
      <c r="HH145" s="81"/>
      <c r="HI145" s="75"/>
    </row>
    <row r="146" ht="15.0" customHeight="1">
      <c r="A146" s="74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81"/>
      <c r="M146" s="74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81"/>
      <c r="Y146" s="74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81"/>
      <c r="AK146" s="74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81"/>
      <c r="AW146" s="74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81"/>
      <c r="BI146" s="74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81"/>
      <c r="BU146" s="74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81"/>
      <c r="CG146" s="74"/>
      <c r="CH146" s="75"/>
      <c r="CI146" s="75"/>
      <c r="CJ146" s="75"/>
      <c r="CK146" s="75"/>
      <c r="CL146" s="75"/>
      <c r="CM146" s="75"/>
      <c r="CN146" s="75"/>
      <c r="CO146" s="75"/>
      <c r="CP146" s="75"/>
      <c r="CQ146" s="75"/>
      <c r="CR146" s="81"/>
      <c r="CS146" s="74"/>
      <c r="CT146" s="75"/>
      <c r="CU146" s="75"/>
      <c r="CV146" s="75"/>
      <c r="CW146" s="75"/>
      <c r="CX146" s="75"/>
      <c r="CY146" s="75"/>
      <c r="CZ146" s="75"/>
      <c r="DA146" s="75"/>
      <c r="DB146" s="75"/>
      <c r="DC146" s="75"/>
      <c r="DD146" s="81"/>
      <c r="DE146" s="74"/>
      <c r="DF146" s="75"/>
      <c r="DG146" s="75"/>
      <c r="DH146" s="75"/>
      <c r="DI146" s="75"/>
      <c r="DJ146" s="75"/>
      <c r="DK146" s="75"/>
      <c r="DL146" s="75"/>
      <c r="DM146" s="75"/>
      <c r="DN146" s="75"/>
      <c r="DO146" s="75"/>
      <c r="DP146" s="81"/>
      <c r="DQ146" s="74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81"/>
      <c r="EC146" s="74"/>
      <c r="ED146" s="75"/>
      <c r="EE146" s="75"/>
      <c r="EF146" s="75"/>
      <c r="EG146" s="75"/>
      <c r="EH146" s="75"/>
      <c r="EI146" s="75"/>
      <c r="EJ146" s="75"/>
      <c r="EK146" s="75"/>
      <c r="EL146" s="75"/>
      <c r="EM146" s="75"/>
      <c r="EN146" s="81"/>
      <c r="EO146" s="74"/>
      <c r="EP146" s="75"/>
      <c r="EQ146" s="75"/>
      <c r="ER146" s="75"/>
      <c r="ES146" s="75"/>
      <c r="ET146" s="75"/>
      <c r="EU146" s="75"/>
      <c r="EV146" s="75"/>
      <c r="EW146" s="75"/>
      <c r="EX146" s="75"/>
      <c r="EY146" s="75"/>
      <c r="EZ146" s="81"/>
      <c r="FA146" s="74"/>
      <c r="FB146" s="75"/>
      <c r="FC146" s="75"/>
      <c r="FD146" s="75"/>
      <c r="FE146" s="75"/>
      <c r="FF146" s="75"/>
      <c r="FG146" s="75"/>
      <c r="FH146" s="75"/>
      <c r="FI146" s="75"/>
      <c r="FJ146" s="75"/>
      <c r="FK146" s="75"/>
      <c r="FL146" s="81"/>
      <c r="FM146" s="74"/>
      <c r="FN146" s="75"/>
      <c r="FO146" s="75"/>
      <c r="FP146" s="75"/>
      <c r="FQ146" s="75"/>
      <c r="FR146" s="75"/>
      <c r="FS146" s="75"/>
      <c r="FT146" s="75"/>
      <c r="FU146" s="75"/>
      <c r="FV146" s="75"/>
      <c r="FW146" s="75"/>
      <c r="FX146" s="81"/>
      <c r="FY146" s="74"/>
      <c r="FZ146" s="75"/>
      <c r="GA146" s="75"/>
      <c r="GB146" s="75"/>
      <c r="GC146" s="75"/>
      <c r="GD146" s="75"/>
      <c r="GE146" s="75"/>
      <c r="GF146" s="75"/>
      <c r="GG146" s="75"/>
      <c r="GH146" s="75"/>
      <c r="GI146" s="75"/>
      <c r="GJ146" s="81"/>
      <c r="GK146" s="74"/>
      <c r="GL146" s="75"/>
      <c r="GM146" s="75"/>
      <c r="GN146" s="75"/>
      <c r="GO146" s="75"/>
      <c r="GP146" s="75"/>
      <c r="GQ146" s="75"/>
      <c r="GR146" s="75"/>
      <c r="GS146" s="75"/>
      <c r="GT146" s="75"/>
      <c r="GU146" s="75"/>
      <c r="GV146" s="81"/>
      <c r="GW146" s="74"/>
      <c r="GX146" s="75"/>
      <c r="GY146" s="75"/>
      <c r="GZ146" s="75"/>
      <c r="HA146" s="75"/>
      <c r="HB146" s="75"/>
      <c r="HC146" s="75"/>
      <c r="HD146" s="75"/>
      <c r="HE146" s="75"/>
      <c r="HF146" s="75"/>
      <c r="HG146" s="75"/>
      <c r="HH146" s="81"/>
      <c r="HI146" s="75"/>
    </row>
    <row r="147" ht="15.0" customHeight="1">
      <c r="A147" s="74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81"/>
      <c r="M147" s="74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81"/>
      <c r="Y147" s="74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81"/>
      <c r="AK147" s="74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81"/>
      <c r="AW147" s="74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81"/>
      <c r="BI147" s="74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81"/>
      <c r="BU147" s="74"/>
      <c r="BV147" s="75"/>
      <c r="BW147" s="75"/>
      <c r="BX147" s="75"/>
      <c r="BY147" s="75"/>
      <c r="BZ147" s="75"/>
      <c r="CA147" s="75"/>
      <c r="CB147" s="75"/>
      <c r="CC147" s="75"/>
      <c r="CD147" s="75"/>
      <c r="CE147" s="75"/>
      <c r="CF147" s="81"/>
      <c r="CG147" s="74"/>
      <c r="CH147" s="75"/>
      <c r="CI147" s="75"/>
      <c r="CJ147" s="75"/>
      <c r="CK147" s="75"/>
      <c r="CL147" s="75"/>
      <c r="CM147" s="75"/>
      <c r="CN147" s="75"/>
      <c r="CO147" s="75"/>
      <c r="CP147" s="75"/>
      <c r="CQ147" s="75"/>
      <c r="CR147" s="81"/>
      <c r="CS147" s="74"/>
      <c r="CT147" s="75"/>
      <c r="CU147" s="75"/>
      <c r="CV147" s="75"/>
      <c r="CW147" s="75"/>
      <c r="CX147" s="75"/>
      <c r="CY147" s="75"/>
      <c r="CZ147" s="75"/>
      <c r="DA147" s="75"/>
      <c r="DB147" s="75"/>
      <c r="DC147" s="75"/>
      <c r="DD147" s="81"/>
      <c r="DE147" s="74"/>
      <c r="DF147" s="75"/>
      <c r="DG147" s="75"/>
      <c r="DH147" s="75"/>
      <c r="DI147" s="75"/>
      <c r="DJ147" s="75"/>
      <c r="DK147" s="75"/>
      <c r="DL147" s="75"/>
      <c r="DM147" s="75"/>
      <c r="DN147" s="75"/>
      <c r="DO147" s="75"/>
      <c r="DP147" s="81"/>
      <c r="DQ147" s="74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81"/>
      <c r="EC147" s="74"/>
      <c r="ED147" s="75"/>
      <c r="EE147" s="75"/>
      <c r="EF147" s="75"/>
      <c r="EG147" s="75"/>
      <c r="EH147" s="75"/>
      <c r="EI147" s="75"/>
      <c r="EJ147" s="75"/>
      <c r="EK147" s="75"/>
      <c r="EL147" s="75"/>
      <c r="EM147" s="75"/>
      <c r="EN147" s="81"/>
      <c r="EO147" s="74"/>
      <c r="EP147" s="75"/>
      <c r="EQ147" s="75"/>
      <c r="ER147" s="75"/>
      <c r="ES147" s="75"/>
      <c r="ET147" s="75"/>
      <c r="EU147" s="75"/>
      <c r="EV147" s="75"/>
      <c r="EW147" s="75"/>
      <c r="EX147" s="75"/>
      <c r="EY147" s="75"/>
      <c r="EZ147" s="81"/>
      <c r="FA147" s="74"/>
      <c r="FB147" s="75"/>
      <c r="FC147" s="75"/>
      <c r="FD147" s="75"/>
      <c r="FE147" s="75"/>
      <c r="FF147" s="75"/>
      <c r="FG147" s="75"/>
      <c r="FH147" s="75"/>
      <c r="FI147" s="75"/>
      <c r="FJ147" s="75"/>
      <c r="FK147" s="75"/>
      <c r="FL147" s="81"/>
      <c r="FM147" s="74"/>
      <c r="FN147" s="75"/>
      <c r="FO147" s="75"/>
      <c r="FP147" s="75"/>
      <c r="FQ147" s="75"/>
      <c r="FR147" s="75"/>
      <c r="FS147" s="75"/>
      <c r="FT147" s="75"/>
      <c r="FU147" s="75"/>
      <c r="FV147" s="75"/>
      <c r="FW147" s="75"/>
      <c r="FX147" s="81"/>
      <c r="FY147" s="74"/>
      <c r="FZ147" s="75"/>
      <c r="GA147" s="75"/>
      <c r="GB147" s="75"/>
      <c r="GC147" s="75"/>
      <c r="GD147" s="75"/>
      <c r="GE147" s="75"/>
      <c r="GF147" s="75"/>
      <c r="GG147" s="75"/>
      <c r="GH147" s="75"/>
      <c r="GI147" s="75"/>
      <c r="GJ147" s="81"/>
      <c r="GK147" s="74"/>
      <c r="GL147" s="75"/>
      <c r="GM147" s="75"/>
      <c r="GN147" s="75"/>
      <c r="GO147" s="75"/>
      <c r="GP147" s="75"/>
      <c r="GQ147" s="75"/>
      <c r="GR147" s="75"/>
      <c r="GS147" s="75"/>
      <c r="GT147" s="75"/>
      <c r="GU147" s="75"/>
      <c r="GV147" s="81"/>
      <c r="GW147" s="74"/>
      <c r="GX147" s="75"/>
      <c r="GY147" s="75"/>
      <c r="GZ147" s="75"/>
      <c r="HA147" s="75"/>
      <c r="HB147" s="75"/>
      <c r="HC147" s="75"/>
      <c r="HD147" s="75"/>
      <c r="HE147" s="75"/>
      <c r="HF147" s="75"/>
      <c r="HG147" s="75"/>
      <c r="HH147" s="81"/>
      <c r="HI147" s="75"/>
    </row>
    <row r="148" ht="15.0" customHeight="1">
      <c r="A148" s="74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81"/>
      <c r="M148" s="74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81"/>
      <c r="Y148" s="74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81"/>
      <c r="AK148" s="74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81"/>
      <c r="AW148" s="74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81"/>
      <c r="BI148" s="74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81"/>
      <c r="BU148" s="74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81"/>
      <c r="CG148" s="74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81"/>
      <c r="CS148" s="74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81"/>
      <c r="DE148" s="74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81"/>
      <c r="DQ148" s="74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81"/>
      <c r="EC148" s="74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81"/>
      <c r="EO148" s="74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81"/>
      <c r="FA148" s="74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81"/>
      <c r="FM148" s="74"/>
      <c r="FN148" s="75"/>
      <c r="FO148" s="75"/>
      <c r="FP148" s="75"/>
      <c r="FQ148" s="75"/>
      <c r="FR148" s="75"/>
      <c r="FS148" s="75"/>
      <c r="FT148" s="75"/>
      <c r="FU148" s="75"/>
      <c r="FV148" s="75"/>
      <c r="FW148" s="75"/>
      <c r="FX148" s="81"/>
      <c r="FY148" s="74"/>
      <c r="FZ148" s="75"/>
      <c r="GA148" s="75"/>
      <c r="GB148" s="75"/>
      <c r="GC148" s="75"/>
      <c r="GD148" s="75"/>
      <c r="GE148" s="75"/>
      <c r="GF148" s="75"/>
      <c r="GG148" s="75"/>
      <c r="GH148" s="75"/>
      <c r="GI148" s="75"/>
      <c r="GJ148" s="81"/>
      <c r="GK148" s="74"/>
      <c r="GL148" s="75"/>
      <c r="GM148" s="75"/>
      <c r="GN148" s="75"/>
      <c r="GO148" s="75"/>
      <c r="GP148" s="75"/>
      <c r="GQ148" s="75"/>
      <c r="GR148" s="75"/>
      <c r="GS148" s="75"/>
      <c r="GT148" s="75"/>
      <c r="GU148" s="75"/>
      <c r="GV148" s="81"/>
      <c r="GW148" s="74"/>
      <c r="GX148" s="75"/>
      <c r="GY148" s="75"/>
      <c r="GZ148" s="75"/>
      <c r="HA148" s="75"/>
      <c r="HB148" s="75"/>
      <c r="HC148" s="75"/>
      <c r="HD148" s="75"/>
      <c r="HE148" s="75"/>
      <c r="HF148" s="75"/>
      <c r="HG148" s="75"/>
      <c r="HH148" s="81"/>
      <c r="HI148" s="75"/>
    </row>
    <row r="149" ht="15.0" customHeight="1">
      <c r="A149" s="74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81"/>
      <c r="M149" s="74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81"/>
      <c r="Y149" s="74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81"/>
      <c r="AK149" s="74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81"/>
      <c r="AW149" s="74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81"/>
      <c r="BI149" s="74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81"/>
      <c r="BU149" s="74"/>
      <c r="BV149" s="75"/>
      <c r="BW149" s="75"/>
      <c r="BX149" s="75"/>
      <c r="BY149" s="75"/>
      <c r="BZ149" s="75"/>
      <c r="CA149" s="75"/>
      <c r="CB149" s="75"/>
      <c r="CC149" s="75"/>
      <c r="CD149" s="75"/>
      <c r="CE149" s="75"/>
      <c r="CF149" s="81"/>
      <c r="CG149" s="74"/>
      <c r="CH149" s="75"/>
      <c r="CI149" s="75"/>
      <c r="CJ149" s="75"/>
      <c r="CK149" s="75"/>
      <c r="CL149" s="75"/>
      <c r="CM149" s="75"/>
      <c r="CN149" s="75"/>
      <c r="CO149" s="75"/>
      <c r="CP149" s="75"/>
      <c r="CQ149" s="75"/>
      <c r="CR149" s="81"/>
      <c r="CS149" s="74"/>
      <c r="CT149" s="75"/>
      <c r="CU149" s="75"/>
      <c r="CV149" s="75"/>
      <c r="CW149" s="75"/>
      <c r="CX149" s="75"/>
      <c r="CY149" s="75"/>
      <c r="CZ149" s="75"/>
      <c r="DA149" s="75"/>
      <c r="DB149" s="75"/>
      <c r="DC149" s="75"/>
      <c r="DD149" s="81"/>
      <c r="DE149" s="74"/>
      <c r="DF149" s="75"/>
      <c r="DG149" s="75"/>
      <c r="DH149" s="75"/>
      <c r="DI149" s="75"/>
      <c r="DJ149" s="75"/>
      <c r="DK149" s="75"/>
      <c r="DL149" s="75"/>
      <c r="DM149" s="75"/>
      <c r="DN149" s="75"/>
      <c r="DO149" s="75"/>
      <c r="DP149" s="81"/>
      <c r="DQ149" s="74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81"/>
      <c r="EC149" s="74"/>
      <c r="ED149" s="75"/>
      <c r="EE149" s="75"/>
      <c r="EF149" s="75"/>
      <c r="EG149" s="75"/>
      <c r="EH149" s="75"/>
      <c r="EI149" s="75"/>
      <c r="EJ149" s="75"/>
      <c r="EK149" s="75"/>
      <c r="EL149" s="75"/>
      <c r="EM149" s="75"/>
      <c r="EN149" s="81"/>
      <c r="EO149" s="74"/>
      <c r="EP149" s="75"/>
      <c r="EQ149" s="75"/>
      <c r="ER149" s="75"/>
      <c r="ES149" s="75"/>
      <c r="ET149" s="75"/>
      <c r="EU149" s="75"/>
      <c r="EV149" s="75"/>
      <c r="EW149" s="75"/>
      <c r="EX149" s="75"/>
      <c r="EY149" s="75"/>
      <c r="EZ149" s="81"/>
      <c r="FA149" s="74"/>
      <c r="FB149" s="75"/>
      <c r="FC149" s="75"/>
      <c r="FD149" s="75"/>
      <c r="FE149" s="75"/>
      <c r="FF149" s="75"/>
      <c r="FG149" s="75"/>
      <c r="FH149" s="75"/>
      <c r="FI149" s="75"/>
      <c r="FJ149" s="75"/>
      <c r="FK149" s="75"/>
      <c r="FL149" s="81"/>
      <c r="FM149" s="74"/>
      <c r="FN149" s="75"/>
      <c r="FO149" s="75"/>
      <c r="FP149" s="75"/>
      <c r="FQ149" s="75"/>
      <c r="FR149" s="75"/>
      <c r="FS149" s="75"/>
      <c r="FT149" s="75"/>
      <c r="FU149" s="75"/>
      <c r="FV149" s="75"/>
      <c r="FW149" s="75"/>
      <c r="FX149" s="81"/>
      <c r="FY149" s="74"/>
      <c r="FZ149" s="75"/>
      <c r="GA149" s="75"/>
      <c r="GB149" s="75"/>
      <c r="GC149" s="75"/>
      <c r="GD149" s="75"/>
      <c r="GE149" s="75"/>
      <c r="GF149" s="75"/>
      <c r="GG149" s="75"/>
      <c r="GH149" s="75"/>
      <c r="GI149" s="75"/>
      <c r="GJ149" s="81"/>
      <c r="GK149" s="74"/>
      <c r="GL149" s="75"/>
      <c r="GM149" s="75"/>
      <c r="GN149" s="75"/>
      <c r="GO149" s="75"/>
      <c r="GP149" s="75"/>
      <c r="GQ149" s="75"/>
      <c r="GR149" s="75"/>
      <c r="GS149" s="75"/>
      <c r="GT149" s="75"/>
      <c r="GU149" s="75"/>
      <c r="GV149" s="81"/>
      <c r="GW149" s="74"/>
      <c r="GX149" s="75"/>
      <c r="GY149" s="75"/>
      <c r="GZ149" s="75"/>
      <c r="HA149" s="75"/>
      <c r="HB149" s="75"/>
      <c r="HC149" s="75"/>
      <c r="HD149" s="75"/>
      <c r="HE149" s="75"/>
      <c r="HF149" s="75"/>
      <c r="HG149" s="75"/>
      <c r="HH149" s="81"/>
      <c r="HI149" s="75"/>
    </row>
    <row r="150" ht="15.0" customHeight="1">
      <c r="A150" s="74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81"/>
      <c r="M150" s="74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81"/>
      <c r="Y150" s="74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81"/>
      <c r="AK150" s="74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81"/>
      <c r="AW150" s="74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81"/>
      <c r="BI150" s="74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81"/>
      <c r="BU150" s="74"/>
      <c r="BV150" s="75"/>
      <c r="BW150" s="75"/>
      <c r="BX150" s="75"/>
      <c r="BY150" s="75"/>
      <c r="BZ150" s="75"/>
      <c r="CA150" s="75"/>
      <c r="CB150" s="75"/>
      <c r="CC150" s="75"/>
      <c r="CD150" s="75"/>
      <c r="CE150" s="75"/>
      <c r="CF150" s="81"/>
      <c r="CG150" s="74"/>
      <c r="CH150" s="75"/>
      <c r="CI150" s="75"/>
      <c r="CJ150" s="75"/>
      <c r="CK150" s="75"/>
      <c r="CL150" s="75"/>
      <c r="CM150" s="75"/>
      <c r="CN150" s="75"/>
      <c r="CO150" s="75"/>
      <c r="CP150" s="75"/>
      <c r="CQ150" s="75"/>
      <c r="CR150" s="81"/>
      <c r="CS150" s="74"/>
      <c r="CT150" s="75"/>
      <c r="CU150" s="75"/>
      <c r="CV150" s="75"/>
      <c r="CW150" s="75"/>
      <c r="CX150" s="75"/>
      <c r="CY150" s="75"/>
      <c r="CZ150" s="75"/>
      <c r="DA150" s="75"/>
      <c r="DB150" s="75"/>
      <c r="DC150" s="75"/>
      <c r="DD150" s="81"/>
      <c r="DE150" s="74"/>
      <c r="DF150" s="75"/>
      <c r="DG150" s="75"/>
      <c r="DH150" s="75"/>
      <c r="DI150" s="75"/>
      <c r="DJ150" s="75"/>
      <c r="DK150" s="75"/>
      <c r="DL150" s="75"/>
      <c r="DM150" s="75"/>
      <c r="DN150" s="75"/>
      <c r="DO150" s="75"/>
      <c r="DP150" s="81"/>
      <c r="DQ150" s="74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81"/>
      <c r="EC150" s="74"/>
      <c r="ED150" s="75"/>
      <c r="EE150" s="75"/>
      <c r="EF150" s="75"/>
      <c r="EG150" s="75"/>
      <c r="EH150" s="75"/>
      <c r="EI150" s="75"/>
      <c r="EJ150" s="75"/>
      <c r="EK150" s="75"/>
      <c r="EL150" s="75"/>
      <c r="EM150" s="75"/>
      <c r="EN150" s="81"/>
      <c r="EO150" s="74"/>
      <c r="EP150" s="75"/>
      <c r="EQ150" s="75"/>
      <c r="ER150" s="75"/>
      <c r="ES150" s="75"/>
      <c r="ET150" s="75"/>
      <c r="EU150" s="75"/>
      <c r="EV150" s="75"/>
      <c r="EW150" s="75"/>
      <c r="EX150" s="75"/>
      <c r="EY150" s="75"/>
      <c r="EZ150" s="81"/>
      <c r="FA150" s="74"/>
      <c r="FB150" s="75"/>
      <c r="FC150" s="75"/>
      <c r="FD150" s="75"/>
      <c r="FE150" s="75"/>
      <c r="FF150" s="75"/>
      <c r="FG150" s="75"/>
      <c r="FH150" s="75"/>
      <c r="FI150" s="75"/>
      <c r="FJ150" s="75"/>
      <c r="FK150" s="75"/>
      <c r="FL150" s="81"/>
      <c r="FM150" s="74"/>
      <c r="FN150" s="75"/>
      <c r="FO150" s="75"/>
      <c r="FP150" s="75"/>
      <c r="FQ150" s="75"/>
      <c r="FR150" s="75"/>
      <c r="FS150" s="75"/>
      <c r="FT150" s="75"/>
      <c r="FU150" s="75"/>
      <c r="FV150" s="75"/>
      <c r="FW150" s="75"/>
      <c r="FX150" s="81"/>
      <c r="FY150" s="74"/>
      <c r="FZ150" s="75"/>
      <c r="GA150" s="75"/>
      <c r="GB150" s="75"/>
      <c r="GC150" s="75"/>
      <c r="GD150" s="75"/>
      <c r="GE150" s="75"/>
      <c r="GF150" s="75"/>
      <c r="GG150" s="75"/>
      <c r="GH150" s="75"/>
      <c r="GI150" s="75"/>
      <c r="GJ150" s="81"/>
      <c r="GK150" s="74"/>
      <c r="GL150" s="75"/>
      <c r="GM150" s="75"/>
      <c r="GN150" s="75"/>
      <c r="GO150" s="75"/>
      <c r="GP150" s="75"/>
      <c r="GQ150" s="75"/>
      <c r="GR150" s="75"/>
      <c r="GS150" s="75"/>
      <c r="GT150" s="75"/>
      <c r="GU150" s="75"/>
      <c r="GV150" s="81"/>
      <c r="GW150" s="74"/>
      <c r="GX150" s="75"/>
      <c r="GY150" s="75"/>
      <c r="GZ150" s="75"/>
      <c r="HA150" s="75"/>
      <c r="HB150" s="75"/>
      <c r="HC150" s="75"/>
      <c r="HD150" s="75"/>
      <c r="HE150" s="75"/>
      <c r="HF150" s="75"/>
      <c r="HG150" s="75"/>
      <c r="HH150" s="81"/>
      <c r="HI150" s="75"/>
    </row>
    <row r="151" ht="15.0" customHeight="1">
      <c r="A151" s="74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81"/>
      <c r="M151" s="74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81"/>
      <c r="Y151" s="74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81"/>
      <c r="AK151" s="74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81"/>
      <c r="AW151" s="74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81"/>
      <c r="BI151" s="74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81"/>
      <c r="BU151" s="74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81"/>
      <c r="CG151" s="74"/>
      <c r="CH151" s="75"/>
      <c r="CI151" s="75"/>
      <c r="CJ151" s="75"/>
      <c r="CK151" s="75"/>
      <c r="CL151" s="75"/>
      <c r="CM151" s="75"/>
      <c r="CN151" s="75"/>
      <c r="CO151" s="75"/>
      <c r="CP151" s="75"/>
      <c r="CQ151" s="75"/>
      <c r="CR151" s="81"/>
      <c r="CS151" s="74"/>
      <c r="CT151" s="75"/>
      <c r="CU151" s="75"/>
      <c r="CV151" s="75"/>
      <c r="CW151" s="75"/>
      <c r="CX151" s="75"/>
      <c r="CY151" s="75"/>
      <c r="CZ151" s="75"/>
      <c r="DA151" s="75"/>
      <c r="DB151" s="75"/>
      <c r="DC151" s="75"/>
      <c r="DD151" s="81"/>
      <c r="DE151" s="74"/>
      <c r="DF151" s="75"/>
      <c r="DG151" s="75"/>
      <c r="DH151" s="75"/>
      <c r="DI151" s="75"/>
      <c r="DJ151" s="75"/>
      <c r="DK151" s="75"/>
      <c r="DL151" s="75"/>
      <c r="DM151" s="75"/>
      <c r="DN151" s="75"/>
      <c r="DO151" s="75"/>
      <c r="DP151" s="81"/>
      <c r="DQ151" s="74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81"/>
      <c r="EC151" s="74"/>
      <c r="ED151" s="75"/>
      <c r="EE151" s="75"/>
      <c r="EF151" s="75"/>
      <c r="EG151" s="75"/>
      <c r="EH151" s="75"/>
      <c r="EI151" s="75"/>
      <c r="EJ151" s="75"/>
      <c r="EK151" s="75"/>
      <c r="EL151" s="75"/>
      <c r="EM151" s="75"/>
      <c r="EN151" s="81"/>
      <c r="EO151" s="74"/>
      <c r="EP151" s="75"/>
      <c r="EQ151" s="75"/>
      <c r="ER151" s="75"/>
      <c r="ES151" s="75"/>
      <c r="ET151" s="75"/>
      <c r="EU151" s="75"/>
      <c r="EV151" s="75"/>
      <c r="EW151" s="75"/>
      <c r="EX151" s="75"/>
      <c r="EY151" s="75"/>
      <c r="EZ151" s="81"/>
      <c r="FA151" s="74"/>
      <c r="FB151" s="75"/>
      <c r="FC151" s="75"/>
      <c r="FD151" s="75"/>
      <c r="FE151" s="75"/>
      <c r="FF151" s="75"/>
      <c r="FG151" s="75"/>
      <c r="FH151" s="75"/>
      <c r="FI151" s="75"/>
      <c r="FJ151" s="75"/>
      <c r="FK151" s="75"/>
      <c r="FL151" s="81"/>
      <c r="FM151" s="74"/>
      <c r="FN151" s="75"/>
      <c r="FO151" s="75"/>
      <c r="FP151" s="75"/>
      <c r="FQ151" s="75"/>
      <c r="FR151" s="75"/>
      <c r="FS151" s="75"/>
      <c r="FT151" s="75"/>
      <c r="FU151" s="75"/>
      <c r="FV151" s="75"/>
      <c r="FW151" s="75"/>
      <c r="FX151" s="81"/>
      <c r="FY151" s="74"/>
      <c r="FZ151" s="75"/>
      <c r="GA151" s="75"/>
      <c r="GB151" s="75"/>
      <c r="GC151" s="75"/>
      <c r="GD151" s="75"/>
      <c r="GE151" s="75"/>
      <c r="GF151" s="75"/>
      <c r="GG151" s="75"/>
      <c r="GH151" s="75"/>
      <c r="GI151" s="75"/>
      <c r="GJ151" s="81"/>
      <c r="GK151" s="74"/>
      <c r="GL151" s="75"/>
      <c r="GM151" s="75"/>
      <c r="GN151" s="75"/>
      <c r="GO151" s="75"/>
      <c r="GP151" s="75"/>
      <c r="GQ151" s="75"/>
      <c r="GR151" s="75"/>
      <c r="GS151" s="75"/>
      <c r="GT151" s="75"/>
      <c r="GU151" s="75"/>
      <c r="GV151" s="81"/>
      <c r="GW151" s="74"/>
      <c r="GX151" s="75"/>
      <c r="GY151" s="75"/>
      <c r="GZ151" s="75"/>
      <c r="HA151" s="75"/>
      <c r="HB151" s="75"/>
      <c r="HC151" s="75"/>
      <c r="HD151" s="75"/>
      <c r="HE151" s="75"/>
      <c r="HF151" s="75"/>
      <c r="HG151" s="75"/>
      <c r="HH151" s="81"/>
      <c r="HI151" s="75"/>
    </row>
    <row r="152" ht="15.0" customHeight="1">
      <c r="A152" s="74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81"/>
      <c r="M152" s="74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81"/>
      <c r="Y152" s="74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81"/>
      <c r="AK152" s="74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81"/>
      <c r="AW152" s="74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81"/>
      <c r="BI152" s="74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81"/>
      <c r="BU152" s="74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81"/>
      <c r="CG152" s="74"/>
      <c r="CH152" s="75"/>
      <c r="CI152" s="75"/>
      <c r="CJ152" s="75"/>
      <c r="CK152" s="75"/>
      <c r="CL152" s="75"/>
      <c r="CM152" s="75"/>
      <c r="CN152" s="75"/>
      <c r="CO152" s="75"/>
      <c r="CP152" s="75"/>
      <c r="CQ152" s="75"/>
      <c r="CR152" s="81"/>
      <c r="CS152" s="74"/>
      <c r="CT152" s="75"/>
      <c r="CU152" s="75"/>
      <c r="CV152" s="75"/>
      <c r="CW152" s="75"/>
      <c r="CX152" s="75"/>
      <c r="CY152" s="75"/>
      <c r="CZ152" s="75"/>
      <c r="DA152" s="75"/>
      <c r="DB152" s="75"/>
      <c r="DC152" s="75"/>
      <c r="DD152" s="81"/>
      <c r="DE152" s="74"/>
      <c r="DF152" s="75"/>
      <c r="DG152" s="75"/>
      <c r="DH152" s="75"/>
      <c r="DI152" s="75"/>
      <c r="DJ152" s="75"/>
      <c r="DK152" s="75"/>
      <c r="DL152" s="75"/>
      <c r="DM152" s="75"/>
      <c r="DN152" s="75"/>
      <c r="DO152" s="75"/>
      <c r="DP152" s="81"/>
      <c r="DQ152" s="74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81"/>
      <c r="EC152" s="74"/>
      <c r="ED152" s="75"/>
      <c r="EE152" s="75"/>
      <c r="EF152" s="75"/>
      <c r="EG152" s="75"/>
      <c r="EH152" s="75"/>
      <c r="EI152" s="75"/>
      <c r="EJ152" s="75"/>
      <c r="EK152" s="75"/>
      <c r="EL152" s="75"/>
      <c r="EM152" s="75"/>
      <c r="EN152" s="81"/>
      <c r="EO152" s="74"/>
      <c r="EP152" s="75"/>
      <c r="EQ152" s="75"/>
      <c r="ER152" s="75"/>
      <c r="ES152" s="75"/>
      <c r="ET152" s="75"/>
      <c r="EU152" s="75"/>
      <c r="EV152" s="75"/>
      <c r="EW152" s="75"/>
      <c r="EX152" s="75"/>
      <c r="EY152" s="75"/>
      <c r="EZ152" s="81"/>
      <c r="FA152" s="74"/>
      <c r="FB152" s="75"/>
      <c r="FC152" s="75"/>
      <c r="FD152" s="75"/>
      <c r="FE152" s="75"/>
      <c r="FF152" s="75"/>
      <c r="FG152" s="75"/>
      <c r="FH152" s="75"/>
      <c r="FI152" s="75"/>
      <c r="FJ152" s="75"/>
      <c r="FK152" s="75"/>
      <c r="FL152" s="81"/>
      <c r="FM152" s="74"/>
      <c r="FN152" s="75"/>
      <c r="FO152" s="75"/>
      <c r="FP152" s="75"/>
      <c r="FQ152" s="75"/>
      <c r="FR152" s="75"/>
      <c r="FS152" s="75"/>
      <c r="FT152" s="75"/>
      <c r="FU152" s="75"/>
      <c r="FV152" s="75"/>
      <c r="FW152" s="75"/>
      <c r="FX152" s="81"/>
      <c r="FY152" s="74"/>
      <c r="FZ152" s="75"/>
      <c r="GA152" s="75"/>
      <c r="GB152" s="75"/>
      <c r="GC152" s="75"/>
      <c r="GD152" s="75"/>
      <c r="GE152" s="75"/>
      <c r="GF152" s="75"/>
      <c r="GG152" s="75"/>
      <c r="GH152" s="75"/>
      <c r="GI152" s="75"/>
      <c r="GJ152" s="81"/>
      <c r="GK152" s="74"/>
      <c r="GL152" s="75"/>
      <c r="GM152" s="75"/>
      <c r="GN152" s="75"/>
      <c r="GO152" s="75"/>
      <c r="GP152" s="75"/>
      <c r="GQ152" s="75"/>
      <c r="GR152" s="75"/>
      <c r="GS152" s="75"/>
      <c r="GT152" s="75"/>
      <c r="GU152" s="75"/>
      <c r="GV152" s="81"/>
      <c r="GW152" s="74"/>
      <c r="GX152" s="75"/>
      <c r="GY152" s="75"/>
      <c r="GZ152" s="75"/>
      <c r="HA152" s="75"/>
      <c r="HB152" s="75"/>
      <c r="HC152" s="75"/>
      <c r="HD152" s="75"/>
      <c r="HE152" s="75"/>
      <c r="HF152" s="75"/>
      <c r="HG152" s="75"/>
      <c r="HH152" s="81"/>
      <c r="HI152" s="75"/>
    </row>
    <row r="153" ht="15.0" customHeight="1">
      <c r="A153" s="74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81"/>
      <c r="M153" s="74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81"/>
      <c r="Y153" s="74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81"/>
      <c r="AK153" s="74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81"/>
      <c r="AW153" s="74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81"/>
      <c r="BI153" s="74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81"/>
      <c r="BU153" s="74"/>
      <c r="BV153" s="75"/>
      <c r="BW153" s="75"/>
      <c r="BX153" s="75"/>
      <c r="BY153" s="75"/>
      <c r="BZ153" s="75"/>
      <c r="CA153" s="75"/>
      <c r="CB153" s="75"/>
      <c r="CC153" s="75"/>
      <c r="CD153" s="75"/>
      <c r="CE153" s="75"/>
      <c r="CF153" s="81"/>
      <c r="CG153" s="74"/>
      <c r="CH153" s="75"/>
      <c r="CI153" s="75"/>
      <c r="CJ153" s="75"/>
      <c r="CK153" s="75"/>
      <c r="CL153" s="75"/>
      <c r="CM153" s="75"/>
      <c r="CN153" s="75"/>
      <c r="CO153" s="75"/>
      <c r="CP153" s="75"/>
      <c r="CQ153" s="75"/>
      <c r="CR153" s="81"/>
      <c r="CS153" s="74"/>
      <c r="CT153" s="75"/>
      <c r="CU153" s="75"/>
      <c r="CV153" s="75"/>
      <c r="CW153" s="75"/>
      <c r="CX153" s="75"/>
      <c r="CY153" s="75"/>
      <c r="CZ153" s="75"/>
      <c r="DA153" s="75"/>
      <c r="DB153" s="75"/>
      <c r="DC153" s="75"/>
      <c r="DD153" s="81"/>
      <c r="DE153" s="74"/>
      <c r="DF153" s="75"/>
      <c r="DG153" s="75"/>
      <c r="DH153" s="75"/>
      <c r="DI153" s="75"/>
      <c r="DJ153" s="75"/>
      <c r="DK153" s="75"/>
      <c r="DL153" s="75"/>
      <c r="DM153" s="75"/>
      <c r="DN153" s="75"/>
      <c r="DO153" s="75"/>
      <c r="DP153" s="81"/>
      <c r="DQ153" s="74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81"/>
      <c r="EC153" s="74"/>
      <c r="ED153" s="75"/>
      <c r="EE153" s="75"/>
      <c r="EF153" s="75"/>
      <c r="EG153" s="75"/>
      <c r="EH153" s="75"/>
      <c r="EI153" s="75"/>
      <c r="EJ153" s="75"/>
      <c r="EK153" s="75"/>
      <c r="EL153" s="75"/>
      <c r="EM153" s="75"/>
      <c r="EN153" s="81"/>
      <c r="EO153" s="74"/>
      <c r="EP153" s="75"/>
      <c r="EQ153" s="75"/>
      <c r="ER153" s="75"/>
      <c r="ES153" s="75"/>
      <c r="ET153" s="75"/>
      <c r="EU153" s="75"/>
      <c r="EV153" s="75"/>
      <c r="EW153" s="75"/>
      <c r="EX153" s="75"/>
      <c r="EY153" s="75"/>
      <c r="EZ153" s="81"/>
      <c r="FA153" s="74"/>
      <c r="FB153" s="75"/>
      <c r="FC153" s="75"/>
      <c r="FD153" s="75"/>
      <c r="FE153" s="75"/>
      <c r="FF153" s="75"/>
      <c r="FG153" s="75"/>
      <c r="FH153" s="75"/>
      <c r="FI153" s="75"/>
      <c r="FJ153" s="75"/>
      <c r="FK153" s="75"/>
      <c r="FL153" s="81"/>
      <c r="FM153" s="74"/>
      <c r="FN153" s="75"/>
      <c r="FO153" s="75"/>
      <c r="FP153" s="75"/>
      <c r="FQ153" s="75"/>
      <c r="FR153" s="75"/>
      <c r="FS153" s="75"/>
      <c r="FT153" s="75"/>
      <c r="FU153" s="75"/>
      <c r="FV153" s="75"/>
      <c r="FW153" s="75"/>
      <c r="FX153" s="81"/>
      <c r="FY153" s="74"/>
      <c r="FZ153" s="75"/>
      <c r="GA153" s="75"/>
      <c r="GB153" s="75"/>
      <c r="GC153" s="75"/>
      <c r="GD153" s="75"/>
      <c r="GE153" s="75"/>
      <c r="GF153" s="75"/>
      <c r="GG153" s="75"/>
      <c r="GH153" s="75"/>
      <c r="GI153" s="75"/>
      <c r="GJ153" s="81"/>
      <c r="GK153" s="74"/>
      <c r="GL153" s="75"/>
      <c r="GM153" s="75"/>
      <c r="GN153" s="75"/>
      <c r="GO153" s="75"/>
      <c r="GP153" s="75"/>
      <c r="GQ153" s="75"/>
      <c r="GR153" s="75"/>
      <c r="GS153" s="75"/>
      <c r="GT153" s="75"/>
      <c r="GU153" s="75"/>
      <c r="GV153" s="81"/>
      <c r="GW153" s="74"/>
      <c r="GX153" s="75"/>
      <c r="GY153" s="75"/>
      <c r="GZ153" s="75"/>
      <c r="HA153" s="75"/>
      <c r="HB153" s="75"/>
      <c r="HC153" s="75"/>
      <c r="HD153" s="75"/>
      <c r="HE153" s="75"/>
      <c r="HF153" s="75"/>
      <c r="HG153" s="75"/>
      <c r="HH153" s="81"/>
      <c r="HI153" s="75"/>
    </row>
    <row r="154" ht="15.0" customHeight="1">
      <c r="A154" s="74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81"/>
      <c r="M154" s="74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81"/>
      <c r="Y154" s="74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81"/>
      <c r="AK154" s="74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81"/>
      <c r="AW154" s="74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81"/>
      <c r="BI154" s="74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81"/>
      <c r="BU154" s="74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81"/>
      <c r="CG154" s="74"/>
      <c r="CH154" s="75"/>
      <c r="CI154" s="75"/>
      <c r="CJ154" s="75"/>
      <c r="CK154" s="75"/>
      <c r="CL154" s="75"/>
      <c r="CM154" s="75"/>
      <c r="CN154" s="75"/>
      <c r="CO154" s="75"/>
      <c r="CP154" s="75"/>
      <c r="CQ154" s="75"/>
      <c r="CR154" s="81"/>
      <c r="CS154" s="74"/>
      <c r="CT154" s="75"/>
      <c r="CU154" s="75"/>
      <c r="CV154" s="75"/>
      <c r="CW154" s="75"/>
      <c r="CX154" s="75"/>
      <c r="CY154" s="75"/>
      <c r="CZ154" s="75"/>
      <c r="DA154" s="75"/>
      <c r="DB154" s="75"/>
      <c r="DC154" s="75"/>
      <c r="DD154" s="81"/>
      <c r="DE154" s="74"/>
      <c r="DF154" s="75"/>
      <c r="DG154" s="75"/>
      <c r="DH154" s="75"/>
      <c r="DI154" s="75"/>
      <c r="DJ154" s="75"/>
      <c r="DK154" s="75"/>
      <c r="DL154" s="75"/>
      <c r="DM154" s="75"/>
      <c r="DN154" s="75"/>
      <c r="DO154" s="75"/>
      <c r="DP154" s="81"/>
      <c r="DQ154" s="74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81"/>
      <c r="EC154" s="74"/>
      <c r="ED154" s="75"/>
      <c r="EE154" s="75"/>
      <c r="EF154" s="75"/>
      <c r="EG154" s="75"/>
      <c r="EH154" s="75"/>
      <c r="EI154" s="75"/>
      <c r="EJ154" s="75"/>
      <c r="EK154" s="75"/>
      <c r="EL154" s="75"/>
      <c r="EM154" s="75"/>
      <c r="EN154" s="81"/>
      <c r="EO154" s="74"/>
      <c r="EP154" s="75"/>
      <c r="EQ154" s="75"/>
      <c r="ER154" s="75"/>
      <c r="ES154" s="75"/>
      <c r="ET154" s="75"/>
      <c r="EU154" s="75"/>
      <c r="EV154" s="75"/>
      <c r="EW154" s="75"/>
      <c r="EX154" s="75"/>
      <c r="EY154" s="75"/>
      <c r="EZ154" s="81"/>
      <c r="FA154" s="74"/>
      <c r="FB154" s="75"/>
      <c r="FC154" s="75"/>
      <c r="FD154" s="75"/>
      <c r="FE154" s="75"/>
      <c r="FF154" s="75"/>
      <c r="FG154" s="75"/>
      <c r="FH154" s="75"/>
      <c r="FI154" s="75"/>
      <c r="FJ154" s="75"/>
      <c r="FK154" s="75"/>
      <c r="FL154" s="81"/>
      <c r="FM154" s="74"/>
      <c r="FN154" s="75"/>
      <c r="FO154" s="75"/>
      <c r="FP154" s="75"/>
      <c r="FQ154" s="75"/>
      <c r="FR154" s="75"/>
      <c r="FS154" s="75"/>
      <c r="FT154" s="75"/>
      <c r="FU154" s="75"/>
      <c r="FV154" s="75"/>
      <c r="FW154" s="75"/>
      <c r="FX154" s="81"/>
      <c r="FY154" s="74"/>
      <c r="FZ154" s="75"/>
      <c r="GA154" s="75"/>
      <c r="GB154" s="75"/>
      <c r="GC154" s="75"/>
      <c r="GD154" s="75"/>
      <c r="GE154" s="75"/>
      <c r="GF154" s="75"/>
      <c r="GG154" s="75"/>
      <c r="GH154" s="75"/>
      <c r="GI154" s="75"/>
      <c r="GJ154" s="81"/>
      <c r="GK154" s="74"/>
      <c r="GL154" s="75"/>
      <c r="GM154" s="75"/>
      <c r="GN154" s="75"/>
      <c r="GO154" s="75"/>
      <c r="GP154" s="75"/>
      <c r="GQ154" s="75"/>
      <c r="GR154" s="75"/>
      <c r="GS154" s="75"/>
      <c r="GT154" s="75"/>
      <c r="GU154" s="75"/>
      <c r="GV154" s="81"/>
      <c r="GW154" s="74"/>
      <c r="GX154" s="75"/>
      <c r="GY154" s="75"/>
      <c r="GZ154" s="75"/>
      <c r="HA154" s="75"/>
      <c r="HB154" s="75"/>
      <c r="HC154" s="75"/>
      <c r="HD154" s="75"/>
      <c r="HE154" s="75"/>
      <c r="HF154" s="75"/>
      <c r="HG154" s="75"/>
      <c r="HH154" s="81"/>
      <c r="HI154" s="75"/>
    </row>
    <row r="155" ht="15.0" customHeight="1">
      <c r="A155" s="74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81"/>
      <c r="M155" s="74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81"/>
      <c r="Y155" s="74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81"/>
      <c r="AK155" s="74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81"/>
      <c r="AW155" s="74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81"/>
      <c r="BI155" s="74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81"/>
      <c r="BU155" s="74"/>
      <c r="BV155" s="75"/>
      <c r="BW155" s="75"/>
      <c r="BX155" s="75"/>
      <c r="BY155" s="75"/>
      <c r="BZ155" s="75"/>
      <c r="CA155" s="75"/>
      <c r="CB155" s="75"/>
      <c r="CC155" s="75"/>
      <c r="CD155" s="75"/>
      <c r="CE155" s="75"/>
      <c r="CF155" s="81"/>
      <c r="CG155" s="74"/>
      <c r="CH155" s="75"/>
      <c r="CI155" s="75"/>
      <c r="CJ155" s="75"/>
      <c r="CK155" s="75"/>
      <c r="CL155" s="75"/>
      <c r="CM155" s="75"/>
      <c r="CN155" s="75"/>
      <c r="CO155" s="75"/>
      <c r="CP155" s="75"/>
      <c r="CQ155" s="75"/>
      <c r="CR155" s="81"/>
      <c r="CS155" s="74"/>
      <c r="CT155" s="75"/>
      <c r="CU155" s="75"/>
      <c r="CV155" s="75"/>
      <c r="CW155" s="75"/>
      <c r="CX155" s="75"/>
      <c r="CY155" s="75"/>
      <c r="CZ155" s="75"/>
      <c r="DA155" s="75"/>
      <c r="DB155" s="75"/>
      <c r="DC155" s="75"/>
      <c r="DD155" s="81"/>
      <c r="DE155" s="74"/>
      <c r="DF155" s="75"/>
      <c r="DG155" s="75"/>
      <c r="DH155" s="75"/>
      <c r="DI155" s="75"/>
      <c r="DJ155" s="75"/>
      <c r="DK155" s="75"/>
      <c r="DL155" s="75"/>
      <c r="DM155" s="75"/>
      <c r="DN155" s="75"/>
      <c r="DO155" s="75"/>
      <c r="DP155" s="81"/>
      <c r="DQ155" s="74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81"/>
      <c r="EC155" s="74"/>
      <c r="ED155" s="75"/>
      <c r="EE155" s="75"/>
      <c r="EF155" s="75"/>
      <c r="EG155" s="75"/>
      <c r="EH155" s="75"/>
      <c r="EI155" s="75"/>
      <c r="EJ155" s="75"/>
      <c r="EK155" s="75"/>
      <c r="EL155" s="75"/>
      <c r="EM155" s="75"/>
      <c r="EN155" s="81"/>
      <c r="EO155" s="74"/>
      <c r="EP155" s="75"/>
      <c r="EQ155" s="75"/>
      <c r="ER155" s="75"/>
      <c r="ES155" s="75"/>
      <c r="ET155" s="75"/>
      <c r="EU155" s="75"/>
      <c r="EV155" s="75"/>
      <c r="EW155" s="75"/>
      <c r="EX155" s="75"/>
      <c r="EY155" s="75"/>
      <c r="EZ155" s="81"/>
      <c r="FA155" s="74"/>
      <c r="FB155" s="75"/>
      <c r="FC155" s="75"/>
      <c r="FD155" s="75"/>
      <c r="FE155" s="75"/>
      <c r="FF155" s="75"/>
      <c r="FG155" s="75"/>
      <c r="FH155" s="75"/>
      <c r="FI155" s="75"/>
      <c r="FJ155" s="75"/>
      <c r="FK155" s="75"/>
      <c r="FL155" s="81"/>
      <c r="FM155" s="74"/>
      <c r="FN155" s="75"/>
      <c r="FO155" s="75"/>
      <c r="FP155" s="75"/>
      <c r="FQ155" s="75"/>
      <c r="FR155" s="75"/>
      <c r="FS155" s="75"/>
      <c r="FT155" s="75"/>
      <c r="FU155" s="75"/>
      <c r="FV155" s="75"/>
      <c r="FW155" s="75"/>
      <c r="FX155" s="81"/>
      <c r="FY155" s="74"/>
      <c r="FZ155" s="75"/>
      <c r="GA155" s="75"/>
      <c r="GB155" s="75"/>
      <c r="GC155" s="75"/>
      <c r="GD155" s="75"/>
      <c r="GE155" s="75"/>
      <c r="GF155" s="75"/>
      <c r="GG155" s="75"/>
      <c r="GH155" s="75"/>
      <c r="GI155" s="75"/>
      <c r="GJ155" s="81"/>
      <c r="GK155" s="74"/>
      <c r="GL155" s="75"/>
      <c r="GM155" s="75"/>
      <c r="GN155" s="75"/>
      <c r="GO155" s="75"/>
      <c r="GP155" s="75"/>
      <c r="GQ155" s="75"/>
      <c r="GR155" s="75"/>
      <c r="GS155" s="75"/>
      <c r="GT155" s="75"/>
      <c r="GU155" s="75"/>
      <c r="GV155" s="81"/>
      <c r="GW155" s="74"/>
      <c r="GX155" s="75"/>
      <c r="GY155" s="75"/>
      <c r="GZ155" s="75"/>
      <c r="HA155" s="75"/>
      <c r="HB155" s="75"/>
      <c r="HC155" s="75"/>
      <c r="HD155" s="75"/>
      <c r="HE155" s="75"/>
      <c r="HF155" s="75"/>
      <c r="HG155" s="75"/>
      <c r="HH155" s="81"/>
      <c r="HI155" s="75"/>
    </row>
    <row r="156" ht="15.0" customHeight="1">
      <c r="A156" s="74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81"/>
      <c r="M156" s="74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81"/>
      <c r="Y156" s="74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81"/>
      <c r="AK156" s="74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81"/>
      <c r="AW156" s="74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81"/>
      <c r="BI156" s="74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81"/>
      <c r="BU156" s="74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81"/>
      <c r="CG156" s="74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81"/>
      <c r="CS156" s="74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81"/>
      <c r="DE156" s="74"/>
      <c r="DF156" s="75"/>
      <c r="DG156" s="75"/>
      <c r="DH156" s="75"/>
      <c r="DI156" s="75"/>
      <c r="DJ156" s="75"/>
      <c r="DK156" s="75"/>
      <c r="DL156" s="75"/>
      <c r="DM156" s="75"/>
      <c r="DN156" s="75"/>
      <c r="DO156" s="75"/>
      <c r="DP156" s="81"/>
      <c r="DQ156" s="74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81"/>
      <c r="EC156" s="74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81"/>
      <c r="EO156" s="74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81"/>
      <c r="FA156" s="74"/>
      <c r="FB156" s="75"/>
      <c r="FC156" s="75"/>
      <c r="FD156" s="75"/>
      <c r="FE156" s="75"/>
      <c r="FF156" s="75"/>
      <c r="FG156" s="75"/>
      <c r="FH156" s="75"/>
      <c r="FI156" s="75"/>
      <c r="FJ156" s="75"/>
      <c r="FK156" s="75"/>
      <c r="FL156" s="81"/>
      <c r="FM156" s="74"/>
      <c r="FN156" s="75"/>
      <c r="FO156" s="75"/>
      <c r="FP156" s="75"/>
      <c r="FQ156" s="75"/>
      <c r="FR156" s="75"/>
      <c r="FS156" s="75"/>
      <c r="FT156" s="75"/>
      <c r="FU156" s="75"/>
      <c r="FV156" s="75"/>
      <c r="FW156" s="75"/>
      <c r="FX156" s="81"/>
      <c r="FY156" s="74"/>
      <c r="FZ156" s="75"/>
      <c r="GA156" s="75"/>
      <c r="GB156" s="75"/>
      <c r="GC156" s="75"/>
      <c r="GD156" s="75"/>
      <c r="GE156" s="75"/>
      <c r="GF156" s="75"/>
      <c r="GG156" s="75"/>
      <c r="GH156" s="75"/>
      <c r="GI156" s="75"/>
      <c r="GJ156" s="81"/>
      <c r="GK156" s="74"/>
      <c r="GL156" s="75"/>
      <c r="GM156" s="75"/>
      <c r="GN156" s="75"/>
      <c r="GO156" s="75"/>
      <c r="GP156" s="75"/>
      <c r="GQ156" s="75"/>
      <c r="GR156" s="75"/>
      <c r="GS156" s="75"/>
      <c r="GT156" s="75"/>
      <c r="GU156" s="75"/>
      <c r="GV156" s="81"/>
      <c r="GW156" s="74"/>
      <c r="GX156" s="75"/>
      <c r="GY156" s="75"/>
      <c r="GZ156" s="75"/>
      <c r="HA156" s="75"/>
      <c r="HB156" s="75"/>
      <c r="HC156" s="75"/>
      <c r="HD156" s="75"/>
      <c r="HE156" s="75"/>
      <c r="HF156" s="75"/>
      <c r="HG156" s="75"/>
      <c r="HH156" s="81"/>
      <c r="HI156" s="75"/>
    </row>
    <row r="157" ht="15.0" customHeight="1">
      <c r="A157" s="74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81"/>
      <c r="M157" s="74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81"/>
      <c r="Y157" s="74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81"/>
      <c r="AK157" s="74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81"/>
      <c r="AW157" s="74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81"/>
      <c r="BI157" s="74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81"/>
      <c r="BU157" s="74"/>
      <c r="BV157" s="75"/>
      <c r="BW157" s="75"/>
      <c r="BX157" s="75"/>
      <c r="BY157" s="75"/>
      <c r="BZ157" s="75"/>
      <c r="CA157" s="75"/>
      <c r="CB157" s="75"/>
      <c r="CC157" s="75"/>
      <c r="CD157" s="75"/>
      <c r="CE157" s="75"/>
      <c r="CF157" s="81"/>
      <c r="CG157" s="74"/>
      <c r="CH157" s="75"/>
      <c r="CI157" s="75"/>
      <c r="CJ157" s="75"/>
      <c r="CK157" s="75"/>
      <c r="CL157" s="75"/>
      <c r="CM157" s="75"/>
      <c r="CN157" s="75"/>
      <c r="CO157" s="75"/>
      <c r="CP157" s="75"/>
      <c r="CQ157" s="75"/>
      <c r="CR157" s="81"/>
      <c r="CS157" s="74"/>
      <c r="CT157" s="75"/>
      <c r="CU157" s="75"/>
      <c r="CV157" s="75"/>
      <c r="CW157" s="75"/>
      <c r="CX157" s="75"/>
      <c r="CY157" s="75"/>
      <c r="CZ157" s="75"/>
      <c r="DA157" s="75"/>
      <c r="DB157" s="75"/>
      <c r="DC157" s="75"/>
      <c r="DD157" s="81"/>
      <c r="DE157" s="74"/>
      <c r="DF157" s="75"/>
      <c r="DG157" s="75"/>
      <c r="DH157" s="75"/>
      <c r="DI157" s="75"/>
      <c r="DJ157" s="75"/>
      <c r="DK157" s="75"/>
      <c r="DL157" s="75"/>
      <c r="DM157" s="75"/>
      <c r="DN157" s="75"/>
      <c r="DO157" s="75"/>
      <c r="DP157" s="81"/>
      <c r="DQ157" s="74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81"/>
      <c r="EC157" s="74"/>
      <c r="ED157" s="75"/>
      <c r="EE157" s="75"/>
      <c r="EF157" s="75"/>
      <c r="EG157" s="75"/>
      <c r="EH157" s="75"/>
      <c r="EI157" s="75"/>
      <c r="EJ157" s="75"/>
      <c r="EK157" s="75"/>
      <c r="EL157" s="75"/>
      <c r="EM157" s="75"/>
      <c r="EN157" s="81"/>
      <c r="EO157" s="74"/>
      <c r="EP157" s="75"/>
      <c r="EQ157" s="75"/>
      <c r="ER157" s="75"/>
      <c r="ES157" s="75"/>
      <c r="ET157" s="75"/>
      <c r="EU157" s="75"/>
      <c r="EV157" s="75"/>
      <c r="EW157" s="75"/>
      <c r="EX157" s="75"/>
      <c r="EY157" s="75"/>
      <c r="EZ157" s="81"/>
      <c r="FA157" s="74"/>
      <c r="FB157" s="75"/>
      <c r="FC157" s="75"/>
      <c r="FD157" s="75"/>
      <c r="FE157" s="75"/>
      <c r="FF157" s="75"/>
      <c r="FG157" s="75"/>
      <c r="FH157" s="75"/>
      <c r="FI157" s="75"/>
      <c r="FJ157" s="75"/>
      <c r="FK157" s="75"/>
      <c r="FL157" s="81"/>
      <c r="FM157" s="74"/>
      <c r="FN157" s="75"/>
      <c r="FO157" s="75"/>
      <c r="FP157" s="75"/>
      <c r="FQ157" s="75"/>
      <c r="FR157" s="75"/>
      <c r="FS157" s="75"/>
      <c r="FT157" s="75"/>
      <c r="FU157" s="75"/>
      <c r="FV157" s="75"/>
      <c r="FW157" s="75"/>
      <c r="FX157" s="81"/>
      <c r="FY157" s="74"/>
      <c r="FZ157" s="75"/>
      <c r="GA157" s="75"/>
      <c r="GB157" s="75"/>
      <c r="GC157" s="75"/>
      <c r="GD157" s="75"/>
      <c r="GE157" s="75"/>
      <c r="GF157" s="75"/>
      <c r="GG157" s="75"/>
      <c r="GH157" s="75"/>
      <c r="GI157" s="75"/>
      <c r="GJ157" s="81"/>
      <c r="GK157" s="74"/>
      <c r="GL157" s="75"/>
      <c r="GM157" s="75"/>
      <c r="GN157" s="75"/>
      <c r="GO157" s="75"/>
      <c r="GP157" s="75"/>
      <c r="GQ157" s="75"/>
      <c r="GR157" s="75"/>
      <c r="GS157" s="75"/>
      <c r="GT157" s="75"/>
      <c r="GU157" s="75"/>
      <c r="GV157" s="81"/>
      <c r="GW157" s="74"/>
      <c r="GX157" s="75"/>
      <c r="GY157" s="75"/>
      <c r="GZ157" s="75"/>
      <c r="HA157" s="75"/>
      <c r="HB157" s="75"/>
      <c r="HC157" s="75"/>
      <c r="HD157" s="75"/>
      <c r="HE157" s="75"/>
      <c r="HF157" s="75"/>
      <c r="HG157" s="75"/>
      <c r="HH157" s="81"/>
      <c r="HI157" s="75"/>
    </row>
    <row r="158" ht="15.0" customHeight="1">
      <c r="A158" s="74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81"/>
      <c r="M158" s="74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81"/>
      <c r="Y158" s="74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81"/>
      <c r="AK158" s="74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81"/>
      <c r="AW158" s="74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81"/>
      <c r="BI158" s="74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81"/>
      <c r="BU158" s="74"/>
      <c r="BV158" s="75"/>
      <c r="BW158" s="75"/>
      <c r="BX158" s="75"/>
      <c r="BY158" s="75"/>
      <c r="BZ158" s="75"/>
      <c r="CA158" s="75"/>
      <c r="CB158" s="75"/>
      <c r="CC158" s="75"/>
      <c r="CD158" s="75"/>
      <c r="CE158" s="75"/>
      <c r="CF158" s="81"/>
      <c r="CG158" s="74"/>
      <c r="CH158" s="75"/>
      <c r="CI158" s="75"/>
      <c r="CJ158" s="75"/>
      <c r="CK158" s="75"/>
      <c r="CL158" s="75"/>
      <c r="CM158" s="75"/>
      <c r="CN158" s="75"/>
      <c r="CO158" s="75"/>
      <c r="CP158" s="75"/>
      <c r="CQ158" s="75"/>
      <c r="CR158" s="81"/>
      <c r="CS158" s="74"/>
      <c r="CT158" s="75"/>
      <c r="CU158" s="75"/>
      <c r="CV158" s="75"/>
      <c r="CW158" s="75"/>
      <c r="CX158" s="75"/>
      <c r="CY158" s="75"/>
      <c r="CZ158" s="75"/>
      <c r="DA158" s="75"/>
      <c r="DB158" s="75"/>
      <c r="DC158" s="75"/>
      <c r="DD158" s="81"/>
      <c r="DE158" s="74"/>
      <c r="DF158" s="75"/>
      <c r="DG158" s="75"/>
      <c r="DH158" s="75"/>
      <c r="DI158" s="75"/>
      <c r="DJ158" s="75"/>
      <c r="DK158" s="75"/>
      <c r="DL158" s="75"/>
      <c r="DM158" s="75"/>
      <c r="DN158" s="75"/>
      <c r="DO158" s="75"/>
      <c r="DP158" s="81"/>
      <c r="DQ158" s="74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81"/>
      <c r="EC158" s="74"/>
      <c r="ED158" s="75"/>
      <c r="EE158" s="75"/>
      <c r="EF158" s="75"/>
      <c r="EG158" s="75"/>
      <c r="EH158" s="75"/>
      <c r="EI158" s="75"/>
      <c r="EJ158" s="75"/>
      <c r="EK158" s="75"/>
      <c r="EL158" s="75"/>
      <c r="EM158" s="75"/>
      <c r="EN158" s="81"/>
      <c r="EO158" s="74"/>
      <c r="EP158" s="75"/>
      <c r="EQ158" s="75"/>
      <c r="ER158" s="75"/>
      <c r="ES158" s="75"/>
      <c r="ET158" s="75"/>
      <c r="EU158" s="75"/>
      <c r="EV158" s="75"/>
      <c r="EW158" s="75"/>
      <c r="EX158" s="75"/>
      <c r="EY158" s="75"/>
      <c r="EZ158" s="81"/>
      <c r="FA158" s="74"/>
      <c r="FB158" s="75"/>
      <c r="FC158" s="75"/>
      <c r="FD158" s="75"/>
      <c r="FE158" s="75"/>
      <c r="FF158" s="75"/>
      <c r="FG158" s="75"/>
      <c r="FH158" s="75"/>
      <c r="FI158" s="75"/>
      <c r="FJ158" s="75"/>
      <c r="FK158" s="75"/>
      <c r="FL158" s="81"/>
      <c r="FM158" s="74"/>
      <c r="FN158" s="75"/>
      <c r="FO158" s="75"/>
      <c r="FP158" s="75"/>
      <c r="FQ158" s="75"/>
      <c r="FR158" s="75"/>
      <c r="FS158" s="75"/>
      <c r="FT158" s="75"/>
      <c r="FU158" s="75"/>
      <c r="FV158" s="75"/>
      <c r="FW158" s="75"/>
      <c r="FX158" s="81"/>
      <c r="FY158" s="74"/>
      <c r="FZ158" s="75"/>
      <c r="GA158" s="75"/>
      <c r="GB158" s="75"/>
      <c r="GC158" s="75"/>
      <c r="GD158" s="75"/>
      <c r="GE158" s="75"/>
      <c r="GF158" s="75"/>
      <c r="GG158" s="75"/>
      <c r="GH158" s="75"/>
      <c r="GI158" s="75"/>
      <c r="GJ158" s="81"/>
      <c r="GK158" s="74"/>
      <c r="GL158" s="75"/>
      <c r="GM158" s="75"/>
      <c r="GN158" s="75"/>
      <c r="GO158" s="75"/>
      <c r="GP158" s="75"/>
      <c r="GQ158" s="75"/>
      <c r="GR158" s="75"/>
      <c r="GS158" s="75"/>
      <c r="GT158" s="75"/>
      <c r="GU158" s="75"/>
      <c r="GV158" s="81"/>
      <c r="GW158" s="74"/>
      <c r="GX158" s="75"/>
      <c r="GY158" s="75"/>
      <c r="GZ158" s="75"/>
      <c r="HA158" s="75"/>
      <c r="HB158" s="75"/>
      <c r="HC158" s="75"/>
      <c r="HD158" s="75"/>
      <c r="HE158" s="75"/>
      <c r="HF158" s="75"/>
      <c r="HG158" s="75"/>
      <c r="HH158" s="81"/>
      <c r="HI158" s="75"/>
    </row>
    <row r="159" ht="15.0" customHeight="1">
      <c r="A159" s="74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81"/>
      <c r="M159" s="74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81"/>
      <c r="Y159" s="74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81"/>
      <c r="AK159" s="74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81"/>
      <c r="AW159" s="74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81"/>
      <c r="BI159" s="74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81"/>
      <c r="BU159" s="74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81"/>
      <c r="CG159" s="74"/>
      <c r="CH159" s="75"/>
      <c r="CI159" s="75"/>
      <c r="CJ159" s="75"/>
      <c r="CK159" s="75"/>
      <c r="CL159" s="75"/>
      <c r="CM159" s="75"/>
      <c r="CN159" s="75"/>
      <c r="CO159" s="75"/>
      <c r="CP159" s="75"/>
      <c r="CQ159" s="75"/>
      <c r="CR159" s="81"/>
      <c r="CS159" s="74"/>
      <c r="CT159" s="75"/>
      <c r="CU159" s="75"/>
      <c r="CV159" s="75"/>
      <c r="CW159" s="75"/>
      <c r="CX159" s="75"/>
      <c r="CY159" s="75"/>
      <c r="CZ159" s="75"/>
      <c r="DA159" s="75"/>
      <c r="DB159" s="75"/>
      <c r="DC159" s="75"/>
      <c r="DD159" s="81"/>
      <c r="DE159" s="74"/>
      <c r="DF159" s="75"/>
      <c r="DG159" s="75"/>
      <c r="DH159" s="75"/>
      <c r="DI159" s="75"/>
      <c r="DJ159" s="75"/>
      <c r="DK159" s="75"/>
      <c r="DL159" s="75"/>
      <c r="DM159" s="75"/>
      <c r="DN159" s="75"/>
      <c r="DO159" s="75"/>
      <c r="DP159" s="81"/>
      <c r="DQ159" s="74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81"/>
      <c r="EC159" s="74"/>
      <c r="ED159" s="75"/>
      <c r="EE159" s="75"/>
      <c r="EF159" s="75"/>
      <c r="EG159" s="75"/>
      <c r="EH159" s="75"/>
      <c r="EI159" s="75"/>
      <c r="EJ159" s="75"/>
      <c r="EK159" s="75"/>
      <c r="EL159" s="75"/>
      <c r="EM159" s="75"/>
      <c r="EN159" s="81"/>
      <c r="EO159" s="74"/>
      <c r="EP159" s="75"/>
      <c r="EQ159" s="75"/>
      <c r="ER159" s="75"/>
      <c r="ES159" s="75"/>
      <c r="ET159" s="75"/>
      <c r="EU159" s="75"/>
      <c r="EV159" s="75"/>
      <c r="EW159" s="75"/>
      <c r="EX159" s="75"/>
      <c r="EY159" s="75"/>
      <c r="EZ159" s="81"/>
      <c r="FA159" s="74"/>
      <c r="FB159" s="75"/>
      <c r="FC159" s="75"/>
      <c r="FD159" s="75"/>
      <c r="FE159" s="75"/>
      <c r="FF159" s="75"/>
      <c r="FG159" s="75"/>
      <c r="FH159" s="75"/>
      <c r="FI159" s="75"/>
      <c r="FJ159" s="75"/>
      <c r="FK159" s="75"/>
      <c r="FL159" s="81"/>
      <c r="FM159" s="74"/>
      <c r="FN159" s="75"/>
      <c r="FO159" s="75"/>
      <c r="FP159" s="75"/>
      <c r="FQ159" s="75"/>
      <c r="FR159" s="75"/>
      <c r="FS159" s="75"/>
      <c r="FT159" s="75"/>
      <c r="FU159" s="75"/>
      <c r="FV159" s="75"/>
      <c r="FW159" s="75"/>
      <c r="FX159" s="81"/>
      <c r="FY159" s="74"/>
      <c r="FZ159" s="75"/>
      <c r="GA159" s="75"/>
      <c r="GB159" s="75"/>
      <c r="GC159" s="75"/>
      <c r="GD159" s="75"/>
      <c r="GE159" s="75"/>
      <c r="GF159" s="75"/>
      <c r="GG159" s="75"/>
      <c r="GH159" s="75"/>
      <c r="GI159" s="75"/>
      <c r="GJ159" s="81"/>
      <c r="GK159" s="74"/>
      <c r="GL159" s="75"/>
      <c r="GM159" s="75"/>
      <c r="GN159" s="75"/>
      <c r="GO159" s="75"/>
      <c r="GP159" s="75"/>
      <c r="GQ159" s="75"/>
      <c r="GR159" s="75"/>
      <c r="GS159" s="75"/>
      <c r="GT159" s="75"/>
      <c r="GU159" s="75"/>
      <c r="GV159" s="81"/>
      <c r="GW159" s="74"/>
      <c r="GX159" s="75"/>
      <c r="GY159" s="75"/>
      <c r="GZ159" s="75"/>
      <c r="HA159" s="75"/>
      <c r="HB159" s="75"/>
      <c r="HC159" s="75"/>
      <c r="HD159" s="75"/>
      <c r="HE159" s="75"/>
      <c r="HF159" s="75"/>
      <c r="HG159" s="75"/>
      <c r="HH159" s="81"/>
      <c r="HI159" s="75"/>
    </row>
    <row r="160" ht="15.0" customHeight="1">
      <c r="A160" s="74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81"/>
      <c r="M160" s="74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81"/>
      <c r="Y160" s="74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81"/>
      <c r="AK160" s="74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81"/>
      <c r="AW160" s="74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81"/>
      <c r="BI160" s="74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81"/>
      <c r="BU160" s="74"/>
      <c r="BV160" s="75"/>
      <c r="BW160" s="75"/>
      <c r="BX160" s="75"/>
      <c r="BY160" s="75"/>
      <c r="BZ160" s="75"/>
      <c r="CA160" s="75"/>
      <c r="CB160" s="75"/>
      <c r="CC160" s="75"/>
      <c r="CD160" s="75"/>
      <c r="CE160" s="75"/>
      <c r="CF160" s="81"/>
      <c r="CG160" s="74"/>
      <c r="CH160" s="75"/>
      <c r="CI160" s="75"/>
      <c r="CJ160" s="75"/>
      <c r="CK160" s="75"/>
      <c r="CL160" s="75"/>
      <c r="CM160" s="75"/>
      <c r="CN160" s="75"/>
      <c r="CO160" s="75"/>
      <c r="CP160" s="75"/>
      <c r="CQ160" s="75"/>
      <c r="CR160" s="81"/>
      <c r="CS160" s="74"/>
      <c r="CT160" s="75"/>
      <c r="CU160" s="75"/>
      <c r="CV160" s="75"/>
      <c r="CW160" s="75"/>
      <c r="CX160" s="75"/>
      <c r="CY160" s="75"/>
      <c r="CZ160" s="75"/>
      <c r="DA160" s="75"/>
      <c r="DB160" s="75"/>
      <c r="DC160" s="75"/>
      <c r="DD160" s="81"/>
      <c r="DE160" s="74"/>
      <c r="DF160" s="75"/>
      <c r="DG160" s="75"/>
      <c r="DH160" s="75"/>
      <c r="DI160" s="75"/>
      <c r="DJ160" s="75"/>
      <c r="DK160" s="75"/>
      <c r="DL160" s="75"/>
      <c r="DM160" s="75"/>
      <c r="DN160" s="75"/>
      <c r="DO160" s="75"/>
      <c r="DP160" s="81"/>
      <c r="DQ160" s="74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81"/>
      <c r="EC160" s="74"/>
      <c r="ED160" s="75"/>
      <c r="EE160" s="75"/>
      <c r="EF160" s="75"/>
      <c r="EG160" s="75"/>
      <c r="EH160" s="75"/>
      <c r="EI160" s="75"/>
      <c r="EJ160" s="75"/>
      <c r="EK160" s="75"/>
      <c r="EL160" s="75"/>
      <c r="EM160" s="75"/>
      <c r="EN160" s="81"/>
      <c r="EO160" s="74"/>
      <c r="EP160" s="75"/>
      <c r="EQ160" s="75"/>
      <c r="ER160" s="75"/>
      <c r="ES160" s="75"/>
      <c r="ET160" s="75"/>
      <c r="EU160" s="75"/>
      <c r="EV160" s="75"/>
      <c r="EW160" s="75"/>
      <c r="EX160" s="75"/>
      <c r="EY160" s="75"/>
      <c r="EZ160" s="81"/>
      <c r="FA160" s="74"/>
      <c r="FB160" s="75"/>
      <c r="FC160" s="75"/>
      <c r="FD160" s="75"/>
      <c r="FE160" s="75"/>
      <c r="FF160" s="75"/>
      <c r="FG160" s="75"/>
      <c r="FH160" s="75"/>
      <c r="FI160" s="75"/>
      <c r="FJ160" s="75"/>
      <c r="FK160" s="75"/>
      <c r="FL160" s="81"/>
      <c r="FM160" s="74"/>
      <c r="FN160" s="75"/>
      <c r="FO160" s="75"/>
      <c r="FP160" s="75"/>
      <c r="FQ160" s="75"/>
      <c r="FR160" s="75"/>
      <c r="FS160" s="75"/>
      <c r="FT160" s="75"/>
      <c r="FU160" s="75"/>
      <c r="FV160" s="75"/>
      <c r="FW160" s="75"/>
      <c r="FX160" s="81"/>
      <c r="FY160" s="74"/>
      <c r="FZ160" s="75"/>
      <c r="GA160" s="75"/>
      <c r="GB160" s="75"/>
      <c r="GC160" s="75"/>
      <c r="GD160" s="75"/>
      <c r="GE160" s="75"/>
      <c r="GF160" s="75"/>
      <c r="GG160" s="75"/>
      <c r="GH160" s="75"/>
      <c r="GI160" s="75"/>
      <c r="GJ160" s="81"/>
      <c r="GK160" s="74"/>
      <c r="GL160" s="75"/>
      <c r="GM160" s="75"/>
      <c r="GN160" s="75"/>
      <c r="GO160" s="75"/>
      <c r="GP160" s="75"/>
      <c r="GQ160" s="75"/>
      <c r="GR160" s="75"/>
      <c r="GS160" s="75"/>
      <c r="GT160" s="75"/>
      <c r="GU160" s="75"/>
      <c r="GV160" s="81"/>
      <c r="GW160" s="74"/>
      <c r="GX160" s="75"/>
      <c r="GY160" s="75"/>
      <c r="GZ160" s="75"/>
      <c r="HA160" s="75"/>
      <c r="HB160" s="75"/>
      <c r="HC160" s="75"/>
      <c r="HD160" s="75"/>
      <c r="HE160" s="75"/>
      <c r="HF160" s="75"/>
      <c r="HG160" s="75"/>
      <c r="HH160" s="81"/>
      <c r="HI160" s="75"/>
    </row>
    <row r="161" ht="15.0" customHeight="1">
      <c r="A161" s="74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81"/>
      <c r="M161" s="74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81"/>
      <c r="Y161" s="74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81"/>
      <c r="AK161" s="74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81"/>
      <c r="AW161" s="74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81"/>
      <c r="BI161" s="74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81"/>
      <c r="BU161" s="74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81"/>
      <c r="CG161" s="74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/>
      <c r="CR161" s="81"/>
      <c r="CS161" s="74"/>
      <c r="CT161" s="75"/>
      <c r="CU161" s="75"/>
      <c r="CV161" s="75"/>
      <c r="CW161" s="75"/>
      <c r="CX161" s="75"/>
      <c r="CY161" s="75"/>
      <c r="CZ161" s="75"/>
      <c r="DA161" s="75"/>
      <c r="DB161" s="75"/>
      <c r="DC161" s="75"/>
      <c r="DD161" s="81"/>
      <c r="DE161" s="74"/>
      <c r="DF161" s="75"/>
      <c r="DG161" s="75"/>
      <c r="DH161" s="75"/>
      <c r="DI161" s="75"/>
      <c r="DJ161" s="75"/>
      <c r="DK161" s="75"/>
      <c r="DL161" s="75"/>
      <c r="DM161" s="75"/>
      <c r="DN161" s="75"/>
      <c r="DO161" s="75"/>
      <c r="DP161" s="81"/>
      <c r="DQ161" s="74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81"/>
      <c r="EC161" s="74"/>
      <c r="ED161" s="75"/>
      <c r="EE161" s="75"/>
      <c r="EF161" s="75"/>
      <c r="EG161" s="75"/>
      <c r="EH161" s="75"/>
      <c r="EI161" s="75"/>
      <c r="EJ161" s="75"/>
      <c r="EK161" s="75"/>
      <c r="EL161" s="75"/>
      <c r="EM161" s="75"/>
      <c r="EN161" s="81"/>
      <c r="EO161" s="74"/>
      <c r="EP161" s="75"/>
      <c r="EQ161" s="75"/>
      <c r="ER161" s="75"/>
      <c r="ES161" s="75"/>
      <c r="ET161" s="75"/>
      <c r="EU161" s="75"/>
      <c r="EV161" s="75"/>
      <c r="EW161" s="75"/>
      <c r="EX161" s="75"/>
      <c r="EY161" s="75"/>
      <c r="EZ161" s="81"/>
      <c r="FA161" s="74"/>
      <c r="FB161" s="75"/>
      <c r="FC161" s="75"/>
      <c r="FD161" s="75"/>
      <c r="FE161" s="75"/>
      <c r="FF161" s="75"/>
      <c r="FG161" s="75"/>
      <c r="FH161" s="75"/>
      <c r="FI161" s="75"/>
      <c r="FJ161" s="75"/>
      <c r="FK161" s="75"/>
      <c r="FL161" s="81"/>
      <c r="FM161" s="74"/>
      <c r="FN161" s="75"/>
      <c r="FO161" s="75"/>
      <c r="FP161" s="75"/>
      <c r="FQ161" s="75"/>
      <c r="FR161" s="75"/>
      <c r="FS161" s="75"/>
      <c r="FT161" s="75"/>
      <c r="FU161" s="75"/>
      <c r="FV161" s="75"/>
      <c r="FW161" s="75"/>
      <c r="FX161" s="81"/>
      <c r="FY161" s="74"/>
      <c r="FZ161" s="75"/>
      <c r="GA161" s="75"/>
      <c r="GB161" s="75"/>
      <c r="GC161" s="75"/>
      <c r="GD161" s="75"/>
      <c r="GE161" s="75"/>
      <c r="GF161" s="75"/>
      <c r="GG161" s="75"/>
      <c r="GH161" s="75"/>
      <c r="GI161" s="75"/>
      <c r="GJ161" s="81"/>
      <c r="GK161" s="74"/>
      <c r="GL161" s="75"/>
      <c r="GM161" s="75"/>
      <c r="GN161" s="75"/>
      <c r="GO161" s="75"/>
      <c r="GP161" s="75"/>
      <c r="GQ161" s="75"/>
      <c r="GR161" s="75"/>
      <c r="GS161" s="75"/>
      <c r="GT161" s="75"/>
      <c r="GU161" s="75"/>
      <c r="GV161" s="81"/>
      <c r="GW161" s="74"/>
      <c r="GX161" s="75"/>
      <c r="GY161" s="75"/>
      <c r="GZ161" s="75"/>
      <c r="HA161" s="75"/>
      <c r="HB161" s="75"/>
      <c r="HC161" s="75"/>
      <c r="HD161" s="75"/>
      <c r="HE161" s="75"/>
      <c r="HF161" s="75"/>
      <c r="HG161" s="75"/>
      <c r="HH161" s="81"/>
      <c r="HI161" s="75"/>
    </row>
    <row r="162" ht="15.0" customHeight="1">
      <c r="A162" s="74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81"/>
      <c r="M162" s="74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81"/>
      <c r="Y162" s="74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81"/>
      <c r="AK162" s="74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81"/>
      <c r="AW162" s="74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81"/>
      <c r="BI162" s="74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81"/>
      <c r="BU162" s="74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81"/>
      <c r="CG162" s="74"/>
      <c r="CH162" s="75"/>
      <c r="CI162" s="75"/>
      <c r="CJ162" s="75"/>
      <c r="CK162" s="75"/>
      <c r="CL162" s="75"/>
      <c r="CM162" s="75"/>
      <c r="CN162" s="75"/>
      <c r="CO162" s="75"/>
      <c r="CP162" s="75"/>
      <c r="CQ162" s="75"/>
      <c r="CR162" s="81"/>
      <c r="CS162" s="74"/>
      <c r="CT162" s="75"/>
      <c r="CU162" s="75"/>
      <c r="CV162" s="75"/>
      <c r="CW162" s="75"/>
      <c r="CX162" s="75"/>
      <c r="CY162" s="75"/>
      <c r="CZ162" s="75"/>
      <c r="DA162" s="75"/>
      <c r="DB162" s="75"/>
      <c r="DC162" s="75"/>
      <c r="DD162" s="81"/>
      <c r="DE162" s="74"/>
      <c r="DF162" s="75"/>
      <c r="DG162" s="75"/>
      <c r="DH162" s="75"/>
      <c r="DI162" s="75"/>
      <c r="DJ162" s="75"/>
      <c r="DK162" s="75"/>
      <c r="DL162" s="75"/>
      <c r="DM162" s="75"/>
      <c r="DN162" s="75"/>
      <c r="DO162" s="75"/>
      <c r="DP162" s="81"/>
      <c r="DQ162" s="74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81"/>
      <c r="EC162" s="74"/>
      <c r="ED162" s="75"/>
      <c r="EE162" s="75"/>
      <c r="EF162" s="75"/>
      <c r="EG162" s="75"/>
      <c r="EH162" s="75"/>
      <c r="EI162" s="75"/>
      <c r="EJ162" s="75"/>
      <c r="EK162" s="75"/>
      <c r="EL162" s="75"/>
      <c r="EM162" s="75"/>
      <c r="EN162" s="81"/>
      <c r="EO162" s="74"/>
      <c r="EP162" s="75"/>
      <c r="EQ162" s="75"/>
      <c r="ER162" s="75"/>
      <c r="ES162" s="75"/>
      <c r="ET162" s="75"/>
      <c r="EU162" s="75"/>
      <c r="EV162" s="75"/>
      <c r="EW162" s="75"/>
      <c r="EX162" s="75"/>
      <c r="EY162" s="75"/>
      <c r="EZ162" s="81"/>
      <c r="FA162" s="74"/>
      <c r="FB162" s="75"/>
      <c r="FC162" s="75"/>
      <c r="FD162" s="75"/>
      <c r="FE162" s="75"/>
      <c r="FF162" s="75"/>
      <c r="FG162" s="75"/>
      <c r="FH162" s="75"/>
      <c r="FI162" s="75"/>
      <c r="FJ162" s="75"/>
      <c r="FK162" s="75"/>
      <c r="FL162" s="81"/>
      <c r="FM162" s="74"/>
      <c r="FN162" s="75"/>
      <c r="FO162" s="75"/>
      <c r="FP162" s="75"/>
      <c r="FQ162" s="75"/>
      <c r="FR162" s="75"/>
      <c r="FS162" s="75"/>
      <c r="FT162" s="75"/>
      <c r="FU162" s="75"/>
      <c r="FV162" s="75"/>
      <c r="FW162" s="75"/>
      <c r="FX162" s="81"/>
      <c r="FY162" s="74"/>
      <c r="FZ162" s="75"/>
      <c r="GA162" s="75"/>
      <c r="GB162" s="75"/>
      <c r="GC162" s="75"/>
      <c r="GD162" s="75"/>
      <c r="GE162" s="75"/>
      <c r="GF162" s="75"/>
      <c r="GG162" s="75"/>
      <c r="GH162" s="75"/>
      <c r="GI162" s="75"/>
      <c r="GJ162" s="81"/>
      <c r="GK162" s="74"/>
      <c r="GL162" s="75"/>
      <c r="GM162" s="75"/>
      <c r="GN162" s="75"/>
      <c r="GO162" s="75"/>
      <c r="GP162" s="75"/>
      <c r="GQ162" s="75"/>
      <c r="GR162" s="75"/>
      <c r="GS162" s="75"/>
      <c r="GT162" s="75"/>
      <c r="GU162" s="75"/>
      <c r="GV162" s="81"/>
      <c r="GW162" s="74"/>
      <c r="GX162" s="75"/>
      <c r="GY162" s="75"/>
      <c r="GZ162" s="75"/>
      <c r="HA162" s="75"/>
      <c r="HB162" s="75"/>
      <c r="HC162" s="75"/>
      <c r="HD162" s="75"/>
      <c r="HE162" s="75"/>
      <c r="HF162" s="75"/>
      <c r="HG162" s="75"/>
      <c r="HH162" s="81"/>
      <c r="HI162" s="75"/>
    </row>
    <row r="163" ht="15.0" customHeight="1">
      <c r="A163" s="74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81"/>
      <c r="M163" s="74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81"/>
      <c r="Y163" s="74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81"/>
      <c r="AK163" s="74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81"/>
      <c r="AW163" s="74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81"/>
      <c r="BI163" s="74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81"/>
      <c r="BU163" s="74"/>
      <c r="BV163" s="75"/>
      <c r="BW163" s="75"/>
      <c r="BX163" s="75"/>
      <c r="BY163" s="75"/>
      <c r="BZ163" s="75"/>
      <c r="CA163" s="75"/>
      <c r="CB163" s="75"/>
      <c r="CC163" s="75"/>
      <c r="CD163" s="75"/>
      <c r="CE163" s="75"/>
      <c r="CF163" s="81"/>
      <c r="CG163" s="74"/>
      <c r="CH163" s="75"/>
      <c r="CI163" s="75"/>
      <c r="CJ163" s="75"/>
      <c r="CK163" s="75"/>
      <c r="CL163" s="75"/>
      <c r="CM163" s="75"/>
      <c r="CN163" s="75"/>
      <c r="CO163" s="75"/>
      <c r="CP163" s="75"/>
      <c r="CQ163" s="75"/>
      <c r="CR163" s="81"/>
      <c r="CS163" s="74"/>
      <c r="CT163" s="75"/>
      <c r="CU163" s="75"/>
      <c r="CV163" s="75"/>
      <c r="CW163" s="75"/>
      <c r="CX163" s="75"/>
      <c r="CY163" s="75"/>
      <c r="CZ163" s="75"/>
      <c r="DA163" s="75"/>
      <c r="DB163" s="75"/>
      <c r="DC163" s="75"/>
      <c r="DD163" s="81"/>
      <c r="DE163" s="74"/>
      <c r="DF163" s="75"/>
      <c r="DG163" s="75"/>
      <c r="DH163" s="75"/>
      <c r="DI163" s="75"/>
      <c r="DJ163" s="75"/>
      <c r="DK163" s="75"/>
      <c r="DL163" s="75"/>
      <c r="DM163" s="75"/>
      <c r="DN163" s="75"/>
      <c r="DO163" s="75"/>
      <c r="DP163" s="81"/>
      <c r="DQ163" s="74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81"/>
      <c r="EC163" s="74"/>
      <c r="ED163" s="75"/>
      <c r="EE163" s="75"/>
      <c r="EF163" s="75"/>
      <c r="EG163" s="75"/>
      <c r="EH163" s="75"/>
      <c r="EI163" s="75"/>
      <c r="EJ163" s="75"/>
      <c r="EK163" s="75"/>
      <c r="EL163" s="75"/>
      <c r="EM163" s="75"/>
      <c r="EN163" s="81"/>
      <c r="EO163" s="74"/>
      <c r="EP163" s="75"/>
      <c r="EQ163" s="75"/>
      <c r="ER163" s="75"/>
      <c r="ES163" s="75"/>
      <c r="ET163" s="75"/>
      <c r="EU163" s="75"/>
      <c r="EV163" s="75"/>
      <c r="EW163" s="75"/>
      <c r="EX163" s="75"/>
      <c r="EY163" s="75"/>
      <c r="EZ163" s="81"/>
      <c r="FA163" s="74"/>
      <c r="FB163" s="75"/>
      <c r="FC163" s="75"/>
      <c r="FD163" s="75"/>
      <c r="FE163" s="75"/>
      <c r="FF163" s="75"/>
      <c r="FG163" s="75"/>
      <c r="FH163" s="75"/>
      <c r="FI163" s="75"/>
      <c r="FJ163" s="75"/>
      <c r="FK163" s="75"/>
      <c r="FL163" s="81"/>
      <c r="FM163" s="74"/>
      <c r="FN163" s="75"/>
      <c r="FO163" s="75"/>
      <c r="FP163" s="75"/>
      <c r="FQ163" s="75"/>
      <c r="FR163" s="75"/>
      <c r="FS163" s="75"/>
      <c r="FT163" s="75"/>
      <c r="FU163" s="75"/>
      <c r="FV163" s="75"/>
      <c r="FW163" s="75"/>
      <c r="FX163" s="81"/>
      <c r="FY163" s="74"/>
      <c r="FZ163" s="75"/>
      <c r="GA163" s="75"/>
      <c r="GB163" s="75"/>
      <c r="GC163" s="75"/>
      <c r="GD163" s="75"/>
      <c r="GE163" s="75"/>
      <c r="GF163" s="75"/>
      <c r="GG163" s="75"/>
      <c r="GH163" s="75"/>
      <c r="GI163" s="75"/>
      <c r="GJ163" s="81"/>
      <c r="GK163" s="74"/>
      <c r="GL163" s="75"/>
      <c r="GM163" s="75"/>
      <c r="GN163" s="75"/>
      <c r="GO163" s="75"/>
      <c r="GP163" s="75"/>
      <c r="GQ163" s="75"/>
      <c r="GR163" s="75"/>
      <c r="GS163" s="75"/>
      <c r="GT163" s="75"/>
      <c r="GU163" s="75"/>
      <c r="GV163" s="81"/>
      <c r="GW163" s="74"/>
      <c r="GX163" s="75"/>
      <c r="GY163" s="75"/>
      <c r="GZ163" s="75"/>
      <c r="HA163" s="75"/>
      <c r="HB163" s="75"/>
      <c r="HC163" s="75"/>
      <c r="HD163" s="75"/>
      <c r="HE163" s="75"/>
      <c r="HF163" s="75"/>
      <c r="HG163" s="75"/>
      <c r="HH163" s="81"/>
      <c r="HI163" s="75"/>
    </row>
    <row r="164" ht="15.0" customHeight="1">
      <c r="A164" s="74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81"/>
      <c r="M164" s="74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81"/>
      <c r="Y164" s="74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81"/>
      <c r="AK164" s="74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81"/>
      <c r="AW164" s="74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81"/>
      <c r="BI164" s="74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81"/>
      <c r="BU164" s="74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81"/>
      <c r="CG164" s="74"/>
      <c r="CH164" s="75"/>
      <c r="CI164" s="75"/>
      <c r="CJ164" s="75"/>
      <c r="CK164" s="75"/>
      <c r="CL164" s="75"/>
      <c r="CM164" s="75"/>
      <c r="CN164" s="75"/>
      <c r="CO164" s="75"/>
      <c r="CP164" s="75"/>
      <c r="CQ164" s="75"/>
      <c r="CR164" s="81"/>
      <c r="CS164" s="74"/>
      <c r="CT164" s="75"/>
      <c r="CU164" s="75"/>
      <c r="CV164" s="75"/>
      <c r="CW164" s="75"/>
      <c r="CX164" s="75"/>
      <c r="CY164" s="75"/>
      <c r="CZ164" s="75"/>
      <c r="DA164" s="75"/>
      <c r="DB164" s="75"/>
      <c r="DC164" s="75"/>
      <c r="DD164" s="81"/>
      <c r="DE164" s="74"/>
      <c r="DF164" s="75"/>
      <c r="DG164" s="75"/>
      <c r="DH164" s="75"/>
      <c r="DI164" s="75"/>
      <c r="DJ164" s="75"/>
      <c r="DK164" s="75"/>
      <c r="DL164" s="75"/>
      <c r="DM164" s="75"/>
      <c r="DN164" s="75"/>
      <c r="DO164" s="75"/>
      <c r="DP164" s="81"/>
      <c r="DQ164" s="74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81"/>
      <c r="EC164" s="74"/>
      <c r="ED164" s="75"/>
      <c r="EE164" s="75"/>
      <c r="EF164" s="75"/>
      <c r="EG164" s="75"/>
      <c r="EH164" s="75"/>
      <c r="EI164" s="75"/>
      <c r="EJ164" s="75"/>
      <c r="EK164" s="75"/>
      <c r="EL164" s="75"/>
      <c r="EM164" s="75"/>
      <c r="EN164" s="81"/>
      <c r="EO164" s="74"/>
      <c r="EP164" s="75"/>
      <c r="EQ164" s="75"/>
      <c r="ER164" s="75"/>
      <c r="ES164" s="75"/>
      <c r="ET164" s="75"/>
      <c r="EU164" s="75"/>
      <c r="EV164" s="75"/>
      <c r="EW164" s="75"/>
      <c r="EX164" s="75"/>
      <c r="EY164" s="75"/>
      <c r="EZ164" s="81"/>
      <c r="FA164" s="74"/>
      <c r="FB164" s="75"/>
      <c r="FC164" s="75"/>
      <c r="FD164" s="75"/>
      <c r="FE164" s="75"/>
      <c r="FF164" s="75"/>
      <c r="FG164" s="75"/>
      <c r="FH164" s="75"/>
      <c r="FI164" s="75"/>
      <c r="FJ164" s="75"/>
      <c r="FK164" s="75"/>
      <c r="FL164" s="81"/>
      <c r="FM164" s="74"/>
      <c r="FN164" s="75"/>
      <c r="FO164" s="75"/>
      <c r="FP164" s="75"/>
      <c r="FQ164" s="75"/>
      <c r="FR164" s="75"/>
      <c r="FS164" s="75"/>
      <c r="FT164" s="75"/>
      <c r="FU164" s="75"/>
      <c r="FV164" s="75"/>
      <c r="FW164" s="75"/>
      <c r="FX164" s="81"/>
      <c r="FY164" s="74"/>
      <c r="FZ164" s="75"/>
      <c r="GA164" s="75"/>
      <c r="GB164" s="75"/>
      <c r="GC164" s="75"/>
      <c r="GD164" s="75"/>
      <c r="GE164" s="75"/>
      <c r="GF164" s="75"/>
      <c r="GG164" s="75"/>
      <c r="GH164" s="75"/>
      <c r="GI164" s="75"/>
      <c r="GJ164" s="81"/>
      <c r="GK164" s="74"/>
      <c r="GL164" s="75"/>
      <c r="GM164" s="75"/>
      <c r="GN164" s="75"/>
      <c r="GO164" s="75"/>
      <c r="GP164" s="75"/>
      <c r="GQ164" s="75"/>
      <c r="GR164" s="75"/>
      <c r="GS164" s="75"/>
      <c r="GT164" s="75"/>
      <c r="GU164" s="75"/>
      <c r="GV164" s="81"/>
      <c r="GW164" s="74"/>
      <c r="GX164" s="75"/>
      <c r="GY164" s="75"/>
      <c r="GZ164" s="75"/>
      <c r="HA164" s="75"/>
      <c r="HB164" s="75"/>
      <c r="HC164" s="75"/>
      <c r="HD164" s="75"/>
      <c r="HE164" s="75"/>
      <c r="HF164" s="75"/>
      <c r="HG164" s="75"/>
      <c r="HH164" s="81"/>
      <c r="HI164" s="75"/>
    </row>
    <row r="165" ht="15.0" customHeight="1">
      <c r="A165" s="74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81"/>
      <c r="M165" s="74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81"/>
      <c r="Y165" s="74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81"/>
      <c r="AK165" s="74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81"/>
      <c r="AW165" s="74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81"/>
      <c r="BI165" s="74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81"/>
      <c r="BU165" s="74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81"/>
      <c r="CG165" s="74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81"/>
      <c r="CS165" s="74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81"/>
      <c r="DE165" s="74"/>
      <c r="DF165" s="75"/>
      <c r="DG165" s="75"/>
      <c r="DH165" s="75"/>
      <c r="DI165" s="75"/>
      <c r="DJ165" s="75"/>
      <c r="DK165" s="75"/>
      <c r="DL165" s="75"/>
      <c r="DM165" s="75"/>
      <c r="DN165" s="75"/>
      <c r="DO165" s="75"/>
      <c r="DP165" s="81"/>
      <c r="DQ165" s="74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81"/>
      <c r="EC165" s="74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81"/>
      <c r="EO165" s="74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81"/>
      <c r="FA165" s="74"/>
      <c r="FB165" s="75"/>
      <c r="FC165" s="75"/>
      <c r="FD165" s="75"/>
      <c r="FE165" s="75"/>
      <c r="FF165" s="75"/>
      <c r="FG165" s="75"/>
      <c r="FH165" s="75"/>
      <c r="FI165" s="75"/>
      <c r="FJ165" s="75"/>
      <c r="FK165" s="75"/>
      <c r="FL165" s="81"/>
      <c r="FM165" s="74"/>
      <c r="FN165" s="75"/>
      <c r="FO165" s="75"/>
      <c r="FP165" s="75"/>
      <c r="FQ165" s="75"/>
      <c r="FR165" s="75"/>
      <c r="FS165" s="75"/>
      <c r="FT165" s="75"/>
      <c r="FU165" s="75"/>
      <c r="FV165" s="75"/>
      <c r="FW165" s="75"/>
      <c r="FX165" s="81"/>
      <c r="FY165" s="74"/>
      <c r="FZ165" s="75"/>
      <c r="GA165" s="75"/>
      <c r="GB165" s="75"/>
      <c r="GC165" s="75"/>
      <c r="GD165" s="75"/>
      <c r="GE165" s="75"/>
      <c r="GF165" s="75"/>
      <c r="GG165" s="75"/>
      <c r="GH165" s="75"/>
      <c r="GI165" s="75"/>
      <c r="GJ165" s="81"/>
      <c r="GK165" s="74"/>
      <c r="GL165" s="75"/>
      <c r="GM165" s="75"/>
      <c r="GN165" s="75"/>
      <c r="GO165" s="75"/>
      <c r="GP165" s="75"/>
      <c r="GQ165" s="75"/>
      <c r="GR165" s="75"/>
      <c r="GS165" s="75"/>
      <c r="GT165" s="75"/>
      <c r="GU165" s="75"/>
      <c r="GV165" s="81"/>
      <c r="GW165" s="74"/>
      <c r="GX165" s="75"/>
      <c r="GY165" s="75"/>
      <c r="GZ165" s="75"/>
      <c r="HA165" s="75"/>
      <c r="HB165" s="75"/>
      <c r="HC165" s="75"/>
      <c r="HD165" s="75"/>
      <c r="HE165" s="75"/>
      <c r="HF165" s="75"/>
      <c r="HG165" s="75"/>
      <c r="HH165" s="81"/>
      <c r="HI165" s="75"/>
    </row>
    <row r="166" ht="15.0" customHeight="1">
      <c r="A166" s="74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81"/>
      <c r="M166" s="74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81"/>
      <c r="Y166" s="74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81"/>
      <c r="AK166" s="74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81"/>
      <c r="AW166" s="74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81"/>
      <c r="BI166" s="74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81"/>
      <c r="BU166" s="74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81"/>
      <c r="CG166" s="74"/>
      <c r="CH166" s="75"/>
      <c r="CI166" s="75"/>
      <c r="CJ166" s="75"/>
      <c r="CK166" s="75"/>
      <c r="CL166" s="75"/>
      <c r="CM166" s="75"/>
      <c r="CN166" s="75"/>
      <c r="CO166" s="75"/>
      <c r="CP166" s="75"/>
      <c r="CQ166" s="75"/>
      <c r="CR166" s="81"/>
      <c r="CS166" s="74"/>
      <c r="CT166" s="75"/>
      <c r="CU166" s="75"/>
      <c r="CV166" s="75"/>
      <c r="CW166" s="75"/>
      <c r="CX166" s="75"/>
      <c r="CY166" s="75"/>
      <c r="CZ166" s="75"/>
      <c r="DA166" s="75"/>
      <c r="DB166" s="75"/>
      <c r="DC166" s="75"/>
      <c r="DD166" s="81"/>
      <c r="DE166" s="74"/>
      <c r="DF166" s="75"/>
      <c r="DG166" s="75"/>
      <c r="DH166" s="75"/>
      <c r="DI166" s="75"/>
      <c r="DJ166" s="75"/>
      <c r="DK166" s="75"/>
      <c r="DL166" s="75"/>
      <c r="DM166" s="75"/>
      <c r="DN166" s="75"/>
      <c r="DO166" s="75"/>
      <c r="DP166" s="81"/>
      <c r="DQ166" s="74"/>
      <c r="DR166" s="75"/>
      <c r="DS166" s="75"/>
      <c r="DT166" s="75"/>
      <c r="DU166" s="75"/>
      <c r="DV166" s="75"/>
      <c r="DW166" s="75"/>
      <c r="DX166" s="75"/>
      <c r="DY166" s="75"/>
      <c r="DZ166" s="75"/>
      <c r="EA166" s="75"/>
      <c r="EB166" s="81"/>
      <c r="EC166" s="74"/>
      <c r="ED166" s="75"/>
      <c r="EE166" s="75"/>
      <c r="EF166" s="75"/>
      <c r="EG166" s="75"/>
      <c r="EH166" s="75"/>
      <c r="EI166" s="75"/>
      <c r="EJ166" s="75"/>
      <c r="EK166" s="75"/>
      <c r="EL166" s="75"/>
      <c r="EM166" s="75"/>
      <c r="EN166" s="81"/>
      <c r="EO166" s="74"/>
      <c r="EP166" s="75"/>
      <c r="EQ166" s="75"/>
      <c r="ER166" s="75"/>
      <c r="ES166" s="75"/>
      <c r="ET166" s="75"/>
      <c r="EU166" s="75"/>
      <c r="EV166" s="75"/>
      <c r="EW166" s="75"/>
      <c r="EX166" s="75"/>
      <c r="EY166" s="75"/>
      <c r="EZ166" s="81"/>
      <c r="FA166" s="74"/>
      <c r="FB166" s="75"/>
      <c r="FC166" s="75"/>
      <c r="FD166" s="75"/>
      <c r="FE166" s="75"/>
      <c r="FF166" s="75"/>
      <c r="FG166" s="75"/>
      <c r="FH166" s="75"/>
      <c r="FI166" s="75"/>
      <c r="FJ166" s="75"/>
      <c r="FK166" s="75"/>
      <c r="FL166" s="81"/>
      <c r="FM166" s="74"/>
      <c r="FN166" s="75"/>
      <c r="FO166" s="75"/>
      <c r="FP166" s="75"/>
      <c r="FQ166" s="75"/>
      <c r="FR166" s="75"/>
      <c r="FS166" s="75"/>
      <c r="FT166" s="75"/>
      <c r="FU166" s="75"/>
      <c r="FV166" s="75"/>
      <c r="FW166" s="75"/>
      <c r="FX166" s="81"/>
      <c r="FY166" s="74"/>
      <c r="FZ166" s="75"/>
      <c r="GA166" s="75"/>
      <c r="GB166" s="75"/>
      <c r="GC166" s="75"/>
      <c r="GD166" s="75"/>
      <c r="GE166" s="75"/>
      <c r="GF166" s="75"/>
      <c r="GG166" s="75"/>
      <c r="GH166" s="75"/>
      <c r="GI166" s="75"/>
      <c r="GJ166" s="81"/>
      <c r="GK166" s="74"/>
      <c r="GL166" s="75"/>
      <c r="GM166" s="75"/>
      <c r="GN166" s="75"/>
      <c r="GO166" s="75"/>
      <c r="GP166" s="75"/>
      <c r="GQ166" s="75"/>
      <c r="GR166" s="75"/>
      <c r="GS166" s="75"/>
      <c r="GT166" s="75"/>
      <c r="GU166" s="75"/>
      <c r="GV166" s="81"/>
      <c r="GW166" s="74"/>
      <c r="GX166" s="75"/>
      <c r="GY166" s="75"/>
      <c r="GZ166" s="75"/>
      <c r="HA166" s="75"/>
      <c r="HB166" s="75"/>
      <c r="HC166" s="75"/>
      <c r="HD166" s="75"/>
      <c r="HE166" s="75"/>
      <c r="HF166" s="75"/>
      <c r="HG166" s="75"/>
      <c r="HH166" s="81"/>
      <c r="HI166" s="75"/>
    </row>
    <row r="167" ht="15.0" customHeight="1">
      <c r="A167" s="74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81"/>
      <c r="M167" s="74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81"/>
      <c r="Y167" s="74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81"/>
      <c r="AK167" s="74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81"/>
      <c r="AW167" s="74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81"/>
      <c r="BI167" s="74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81"/>
      <c r="BU167" s="74"/>
      <c r="BV167" s="75"/>
      <c r="BW167" s="75"/>
      <c r="BX167" s="75"/>
      <c r="BY167" s="75"/>
      <c r="BZ167" s="75"/>
      <c r="CA167" s="75"/>
      <c r="CB167" s="75"/>
      <c r="CC167" s="75"/>
      <c r="CD167" s="75"/>
      <c r="CE167" s="75"/>
      <c r="CF167" s="81"/>
      <c r="CG167" s="74"/>
      <c r="CH167" s="75"/>
      <c r="CI167" s="75"/>
      <c r="CJ167" s="75"/>
      <c r="CK167" s="75"/>
      <c r="CL167" s="75"/>
      <c r="CM167" s="75"/>
      <c r="CN167" s="75"/>
      <c r="CO167" s="75"/>
      <c r="CP167" s="75"/>
      <c r="CQ167" s="75"/>
      <c r="CR167" s="81"/>
      <c r="CS167" s="74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81"/>
      <c r="DE167" s="74"/>
      <c r="DF167" s="75"/>
      <c r="DG167" s="75"/>
      <c r="DH167" s="75"/>
      <c r="DI167" s="75"/>
      <c r="DJ167" s="75"/>
      <c r="DK167" s="75"/>
      <c r="DL167" s="75"/>
      <c r="DM167" s="75"/>
      <c r="DN167" s="75"/>
      <c r="DO167" s="75"/>
      <c r="DP167" s="81"/>
      <c r="DQ167" s="74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81"/>
      <c r="EC167" s="74"/>
      <c r="ED167" s="75"/>
      <c r="EE167" s="75"/>
      <c r="EF167" s="75"/>
      <c r="EG167" s="75"/>
      <c r="EH167" s="75"/>
      <c r="EI167" s="75"/>
      <c r="EJ167" s="75"/>
      <c r="EK167" s="75"/>
      <c r="EL167" s="75"/>
      <c r="EM167" s="75"/>
      <c r="EN167" s="81"/>
      <c r="EO167" s="74"/>
      <c r="EP167" s="75"/>
      <c r="EQ167" s="75"/>
      <c r="ER167" s="75"/>
      <c r="ES167" s="75"/>
      <c r="ET167" s="75"/>
      <c r="EU167" s="75"/>
      <c r="EV167" s="75"/>
      <c r="EW167" s="75"/>
      <c r="EX167" s="75"/>
      <c r="EY167" s="75"/>
      <c r="EZ167" s="81"/>
      <c r="FA167" s="74"/>
      <c r="FB167" s="75"/>
      <c r="FC167" s="75"/>
      <c r="FD167" s="75"/>
      <c r="FE167" s="75"/>
      <c r="FF167" s="75"/>
      <c r="FG167" s="75"/>
      <c r="FH167" s="75"/>
      <c r="FI167" s="75"/>
      <c r="FJ167" s="75"/>
      <c r="FK167" s="75"/>
      <c r="FL167" s="81"/>
      <c r="FM167" s="74"/>
      <c r="FN167" s="75"/>
      <c r="FO167" s="75"/>
      <c r="FP167" s="75"/>
      <c r="FQ167" s="75"/>
      <c r="FR167" s="75"/>
      <c r="FS167" s="75"/>
      <c r="FT167" s="75"/>
      <c r="FU167" s="75"/>
      <c r="FV167" s="75"/>
      <c r="FW167" s="75"/>
      <c r="FX167" s="81"/>
      <c r="FY167" s="74"/>
      <c r="FZ167" s="75"/>
      <c r="GA167" s="75"/>
      <c r="GB167" s="75"/>
      <c r="GC167" s="75"/>
      <c r="GD167" s="75"/>
      <c r="GE167" s="75"/>
      <c r="GF167" s="75"/>
      <c r="GG167" s="75"/>
      <c r="GH167" s="75"/>
      <c r="GI167" s="75"/>
      <c r="GJ167" s="81"/>
      <c r="GK167" s="74"/>
      <c r="GL167" s="75"/>
      <c r="GM167" s="75"/>
      <c r="GN167" s="75"/>
      <c r="GO167" s="75"/>
      <c r="GP167" s="75"/>
      <c r="GQ167" s="75"/>
      <c r="GR167" s="75"/>
      <c r="GS167" s="75"/>
      <c r="GT167" s="75"/>
      <c r="GU167" s="75"/>
      <c r="GV167" s="81"/>
      <c r="GW167" s="74"/>
      <c r="GX167" s="75"/>
      <c r="GY167" s="75"/>
      <c r="GZ167" s="75"/>
      <c r="HA167" s="75"/>
      <c r="HB167" s="75"/>
      <c r="HC167" s="75"/>
      <c r="HD167" s="75"/>
      <c r="HE167" s="75"/>
      <c r="HF167" s="75"/>
      <c r="HG167" s="75"/>
      <c r="HH167" s="81"/>
      <c r="HI167" s="75"/>
    </row>
    <row r="168" ht="15.0" customHeight="1">
      <c r="A168" s="74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81"/>
      <c r="M168" s="74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81"/>
      <c r="Y168" s="74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81"/>
      <c r="AK168" s="74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81"/>
      <c r="AW168" s="74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81"/>
      <c r="BI168" s="74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81"/>
      <c r="BU168" s="74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81"/>
      <c r="CG168" s="74"/>
      <c r="CH168" s="75"/>
      <c r="CI168" s="75"/>
      <c r="CJ168" s="75"/>
      <c r="CK168" s="75"/>
      <c r="CL168" s="75"/>
      <c r="CM168" s="75"/>
      <c r="CN168" s="75"/>
      <c r="CO168" s="75"/>
      <c r="CP168" s="75"/>
      <c r="CQ168" s="75"/>
      <c r="CR168" s="81"/>
      <c r="CS168" s="74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81"/>
      <c r="DE168" s="74"/>
      <c r="DF168" s="75"/>
      <c r="DG168" s="75"/>
      <c r="DH168" s="75"/>
      <c r="DI168" s="75"/>
      <c r="DJ168" s="75"/>
      <c r="DK168" s="75"/>
      <c r="DL168" s="75"/>
      <c r="DM168" s="75"/>
      <c r="DN168" s="75"/>
      <c r="DO168" s="75"/>
      <c r="DP168" s="81"/>
      <c r="DQ168" s="74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81"/>
      <c r="EC168" s="74"/>
      <c r="ED168" s="75"/>
      <c r="EE168" s="75"/>
      <c r="EF168" s="75"/>
      <c r="EG168" s="75"/>
      <c r="EH168" s="75"/>
      <c r="EI168" s="75"/>
      <c r="EJ168" s="75"/>
      <c r="EK168" s="75"/>
      <c r="EL168" s="75"/>
      <c r="EM168" s="75"/>
      <c r="EN168" s="81"/>
      <c r="EO168" s="74"/>
      <c r="EP168" s="75"/>
      <c r="EQ168" s="75"/>
      <c r="ER168" s="75"/>
      <c r="ES168" s="75"/>
      <c r="ET168" s="75"/>
      <c r="EU168" s="75"/>
      <c r="EV168" s="75"/>
      <c r="EW168" s="75"/>
      <c r="EX168" s="75"/>
      <c r="EY168" s="75"/>
      <c r="EZ168" s="81"/>
      <c r="FA168" s="74"/>
      <c r="FB168" s="75"/>
      <c r="FC168" s="75"/>
      <c r="FD168" s="75"/>
      <c r="FE168" s="75"/>
      <c r="FF168" s="75"/>
      <c r="FG168" s="75"/>
      <c r="FH168" s="75"/>
      <c r="FI168" s="75"/>
      <c r="FJ168" s="75"/>
      <c r="FK168" s="75"/>
      <c r="FL168" s="81"/>
      <c r="FM168" s="74"/>
      <c r="FN168" s="75"/>
      <c r="FO168" s="75"/>
      <c r="FP168" s="75"/>
      <c r="FQ168" s="75"/>
      <c r="FR168" s="75"/>
      <c r="FS168" s="75"/>
      <c r="FT168" s="75"/>
      <c r="FU168" s="75"/>
      <c r="FV168" s="75"/>
      <c r="FW168" s="75"/>
      <c r="FX168" s="81"/>
      <c r="FY168" s="74"/>
      <c r="FZ168" s="75"/>
      <c r="GA168" s="75"/>
      <c r="GB168" s="75"/>
      <c r="GC168" s="75"/>
      <c r="GD168" s="75"/>
      <c r="GE168" s="75"/>
      <c r="GF168" s="75"/>
      <c r="GG168" s="75"/>
      <c r="GH168" s="75"/>
      <c r="GI168" s="75"/>
      <c r="GJ168" s="81"/>
      <c r="GK168" s="74"/>
      <c r="GL168" s="75"/>
      <c r="GM168" s="75"/>
      <c r="GN168" s="75"/>
      <c r="GO168" s="75"/>
      <c r="GP168" s="75"/>
      <c r="GQ168" s="75"/>
      <c r="GR168" s="75"/>
      <c r="GS168" s="75"/>
      <c r="GT168" s="75"/>
      <c r="GU168" s="75"/>
      <c r="GV168" s="81"/>
      <c r="GW168" s="74"/>
      <c r="GX168" s="75"/>
      <c r="GY168" s="75"/>
      <c r="GZ168" s="75"/>
      <c r="HA168" s="75"/>
      <c r="HB168" s="75"/>
      <c r="HC168" s="75"/>
      <c r="HD168" s="75"/>
      <c r="HE168" s="75"/>
      <c r="HF168" s="75"/>
      <c r="HG168" s="75"/>
      <c r="HH168" s="81"/>
      <c r="HI168" s="75"/>
    </row>
    <row r="169" ht="15.0" customHeight="1">
      <c r="A169" s="74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81"/>
      <c r="M169" s="74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81"/>
      <c r="Y169" s="74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81"/>
      <c r="AK169" s="74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81"/>
      <c r="AW169" s="74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81"/>
      <c r="BI169" s="74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81"/>
      <c r="BU169" s="74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81"/>
      <c r="CG169" s="74"/>
      <c r="CH169" s="75"/>
      <c r="CI169" s="75"/>
      <c r="CJ169" s="75"/>
      <c r="CK169" s="75"/>
      <c r="CL169" s="75"/>
      <c r="CM169" s="75"/>
      <c r="CN169" s="75"/>
      <c r="CO169" s="75"/>
      <c r="CP169" s="75"/>
      <c r="CQ169" s="75"/>
      <c r="CR169" s="81"/>
      <c r="CS169" s="74"/>
      <c r="CT169" s="75"/>
      <c r="CU169" s="75"/>
      <c r="CV169" s="75"/>
      <c r="CW169" s="75"/>
      <c r="CX169" s="75"/>
      <c r="CY169" s="75"/>
      <c r="CZ169" s="75"/>
      <c r="DA169" s="75"/>
      <c r="DB169" s="75"/>
      <c r="DC169" s="75"/>
      <c r="DD169" s="81"/>
      <c r="DE169" s="74"/>
      <c r="DF169" s="75"/>
      <c r="DG169" s="75"/>
      <c r="DH169" s="75"/>
      <c r="DI169" s="75"/>
      <c r="DJ169" s="75"/>
      <c r="DK169" s="75"/>
      <c r="DL169" s="75"/>
      <c r="DM169" s="75"/>
      <c r="DN169" s="75"/>
      <c r="DO169" s="75"/>
      <c r="DP169" s="81"/>
      <c r="DQ169" s="74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81"/>
      <c r="EC169" s="74"/>
      <c r="ED169" s="75"/>
      <c r="EE169" s="75"/>
      <c r="EF169" s="75"/>
      <c r="EG169" s="75"/>
      <c r="EH169" s="75"/>
      <c r="EI169" s="75"/>
      <c r="EJ169" s="75"/>
      <c r="EK169" s="75"/>
      <c r="EL169" s="75"/>
      <c r="EM169" s="75"/>
      <c r="EN169" s="81"/>
      <c r="EO169" s="74"/>
      <c r="EP169" s="75"/>
      <c r="EQ169" s="75"/>
      <c r="ER169" s="75"/>
      <c r="ES169" s="75"/>
      <c r="ET169" s="75"/>
      <c r="EU169" s="75"/>
      <c r="EV169" s="75"/>
      <c r="EW169" s="75"/>
      <c r="EX169" s="75"/>
      <c r="EY169" s="75"/>
      <c r="EZ169" s="81"/>
      <c r="FA169" s="74"/>
      <c r="FB169" s="75"/>
      <c r="FC169" s="75"/>
      <c r="FD169" s="75"/>
      <c r="FE169" s="75"/>
      <c r="FF169" s="75"/>
      <c r="FG169" s="75"/>
      <c r="FH169" s="75"/>
      <c r="FI169" s="75"/>
      <c r="FJ169" s="75"/>
      <c r="FK169" s="75"/>
      <c r="FL169" s="81"/>
      <c r="FM169" s="74"/>
      <c r="FN169" s="75"/>
      <c r="FO169" s="75"/>
      <c r="FP169" s="75"/>
      <c r="FQ169" s="75"/>
      <c r="FR169" s="75"/>
      <c r="FS169" s="75"/>
      <c r="FT169" s="75"/>
      <c r="FU169" s="75"/>
      <c r="FV169" s="75"/>
      <c r="FW169" s="75"/>
      <c r="FX169" s="81"/>
      <c r="FY169" s="74"/>
      <c r="FZ169" s="75"/>
      <c r="GA169" s="75"/>
      <c r="GB169" s="75"/>
      <c r="GC169" s="75"/>
      <c r="GD169" s="75"/>
      <c r="GE169" s="75"/>
      <c r="GF169" s="75"/>
      <c r="GG169" s="75"/>
      <c r="GH169" s="75"/>
      <c r="GI169" s="75"/>
      <c r="GJ169" s="81"/>
      <c r="GK169" s="74"/>
      <c r="GL169" s="75"/>
      <c r="GM169" s="75"/>
      <c r="GN169" s="75"/>
      <c r="GO169" s="75"/>
      <c r="GP169" s="75"/>
      <c r="GQ169" s="75"/>
      <c r="GR169" s="75"/>
      <c r="GS169" s="75"/>
      <c r="GT169" s="75"/>
      <c r="GU169" s="75"/>
      <c r="GV169" s="81"/>
      <c r="GW169" s="74"/>
      <c r="GX169" s="75"/>
      <c r="GY169" s="75"/>
      <c r="GZ169" s="75"/>
      <c r="HA169" s="75"/>
      <c r="HB169" s="75"/>
      <c r="HC169" s="75"/>
      <c r="HD169" s="75"/>
      <c r="HE169" s="75"/>
      <c r="HF169" s="75"/>
      <c r="HG169" s="75"/>
      <c r="HH169" s="81"/>
      <c r="HI169" s="75"/>
    </row>
    <row r="170" ht="15.0" customHeight="1">
      <c r="A170" s="74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81"/>
      <c r="M170" s="74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81"/>
      <c r="Y170" s="74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81"/>
      <c r="AK170" s="74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81"/>
      <c r="AW170" s="74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81"/>
      <c r="BI170" s="74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81"/>
      <c r="BU170" s="74"/>
      <c r="BV170" s="75"/>
      <c r="BW170" s="75"/>
      <c r="BX170" s="75"/>
      <c r="BY170" s="75"/>
      <c r="BZ170" s="75"/>
      <c r="CA170" s="75"/>
      <c r="CB170" s="75"/>
      <c r="CC170" s="75"/>
      <c r="CD170" s="75"/>
      <c r="CE170" s="75"/>
      <c r="CF170" s="81"/>
      <c r="CG170" s="74"/>
      <c r="CH170" s="75"/>
      <c r="CI170" s="75"/>
      <c r="CJ170" s="75"/>
      <c r="CK170" s="75"/>
      <c r="CL170" s="75"/>
      <c r="CM170" s="75"/>
      <c r="CN170" s="75"/>
      <c r="CO170" s="75"/>
      <c r="CP170" s="75"/>
      <c r="CQ170" s="75"/>
      <c r="CR170" s="81"/>
      <c r="CS170" s="74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81"/>
      <c r="DE170" s="74"/>
      <c r="DF170" s="75"/>
      <c r="DG170" s="75"/>
      <c r="DH170" s="75"/>
      <c r="DI170" s="75"/>
      <c r="DJ170" s="75"/>
      <c r="DK170" s="75"/>
      <c r="DL170" s="75"/>
      <c r="DM170" s="75"/>
      <c r="DN170" s="75"/>
      <c r="DO170" s="75"/>
      <c r="DP170" s="81"/>
      <c r="DQ170" s="74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81"/>
      <c r="EC170" s="74"/>
      <c r="ED170" s="75"/>
      <c r="EE170" s="75"/>
      <c r="EF170" s="75"/>
      <c r="EG170" s="75"/>
      <c r="EH170" s="75"/>
      <c r="EI170" s="75"/>
      <c r="EJ170" s="75"/>
      <c r="EK170" s="75"/>
      <c r="EL170" s="75"/>
      <c r="EM170" s="75"/>
      <c r="EN170" s="81"/>
      <c r="EO170" s="74"/>
      <c r="EP170" s="75"/>
      <c r="EQ170" s="75"/>
      <c r="ER170" s="75"/>
      <c r="ES170" s="75"/>
      <c r="ET170" s="75"/>
      <c r="EU170" s="75"/>
      <c r="EV170" s="75"/>
      <c r="EW170" s="75"/>
      <c r="EX170" s="75"/>
      <c r="EY170" s="75"/>
      <c r="EZ170" s="81"/>
      <c r="FA170" s="74"/>
      <c r="FB170" s="75"/>
      <c r="FC170" s="75"/>
      <c r="FD170" s="75"/>
      <c r="FE170" s="75"/>
      <c r="FF170" s="75"/>
      <c r="FG170" s="75"/>
      <c r="FH170" s="75"/>
      <c r="FI170" s="75"/>
      <c r="FJ170" s="75"/>
      <c r="FK170" s="75"/>
      <c r="FL170" s="81"/>
      <c r="FM170" s="74"/>
      <c r="FN170" s="75"/>
      <c r="FO170" s="75"/>
      <c r="FP170" s="75"/>
      <c r="FQ170" s="75"/>
      <c r="FR170" s="75"/>
      <c r="FS170" s="75"/>
      <c r="FT170" s="75"/>
      <c r="FU170" s="75"/>
      <c r="FV170" s="75"/>
      <c r="FW170" s="75"/>
      <c r="FX170" s="81"/>
      <c r="FY170" s="74"/>
      <c r="FZ170" s="75"/>
      <c r="GA170" s="75"/>
      <c r="GB170" s="75"/>
      <c r="GC170" s="75"/>
      <c r="GD170" s="75"/>
      <c r="GE170" s="75"/>
      <c r="GF170" s="75"/>
      <c r="GG170" s="75"/>
      <c r="GH170" s="75"/>
      <c r="GI170" s="75"/>
      <c r="GJ170" s="81"/>
      <c r="GK170" s="74"/>
      <c r="GL170" s="75"/>
      <c r="GM170" s="75"/>
      <c r="GN170" s="75"/>
      <c r="GO170" s="75"/>
      <c r="GP170" s="75"/>
      <c r="GQ170" s="75"/>
      <c r="GR170" s="75"/>
      <c r="GS170" s="75"/>
      <c r="GT170" s="75"/>
      <c r="GU170" s="75"/>
      <c r="GV170" s="81"/>
      <c r="GW170" s="74"/>
      <c r="GX170" s="75"/>
      <c r="GY170" s="75"/>
      <c r="GZ170" s="75"/>
      <c r="HA170" s="75"/>
      <c r="HB170" s="75"/>
      <c r="HC170" s="75"/>
      <c r="HD170" s="75"/>
      <c r="HE170" s="75"/>
      <c r="HF170" s="75"/>
      <c r="HG170" s="75"/>
      <c r="HH170" s="81"/>
      <c r="HI170" s="75"/>
    </row>
    <row r="171" ht="15.0" customHeight="1">
      <c r="A171" s="74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81"/>
      <c r="M171" s="74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81"/>
      <c r="Y171" s="74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81"/>
      <c r="AK171" s="74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81"/>
      <c r="AW171" s="74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81"/>
      <c r="BI171" s="74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81"/>
      <c r="BU171" s="74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81"/>
      <c r="CG171" s="74"/>
      <c r="CH171" s="75"/>
      <c r="CI171" s="75"/>
      <c r="CJ171" s="75"/>
      <c r="CK171" s="75"/>
      <c r="CL171" s="75"/>
      <c r="CM171" s="75"/>
      <c r="CN171" s="75"/>
      <c r="CO171" s="75"/>
      <c r="CP171" s="75"/>
      <c r="CQ171" s="75"/>
      <c r="CR171" s="81"/>
      <c r="CS171" s="74"/>
      <c r="CT171" s="75"/>
      <c r="CU171" s="75"/>
      <c r="CV171" s="75"/>
      <c r="CW171" s="75"/>
      <c r="CX171" s="75"/>
      <c r="CY171" s="75"/>
      <c r="CZ171" s="75"/>
      <c r="DA171" s="75"/>
      <c r="DB171" s="75"/>
      <c r="DC171" s="75"/>
      <c r="DD171" s="81"/>
      <c r="DE171" s="74"/>
      <c r="DF171" s="75"/>
      <c r="DG171" s="75"/>
      <c r="DH171" s="75"/>
      <c r="DI171" s="75"/>
      <c r="DJ171" s="75"/>
      <c r="DK171" s="75"/>
      <c r="DL171" s="75"/>
      <c r="DM171" s="75"/>
      <c r="DN171" s="75"/>
      <c r="DO171" s="75"/>
      <c r="DP171" s="81"/>
      <c r="DQ171" s="74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81"/>
      <c r="EC171" s="74"/>
      <c r="ED171" s="75"/>
      <c r="EE171" s="75"/>
      <c r="EF171" s="75"/>
      <c r="EG171" s="75"/>
      <c r="EH171" s="75"/>
      <c r="EI171" s="75"/>
      <c r="EJ171" s="75"/>
      <c r="EK171" s="75"/>
      <c r="EL171" s="75"/>
      <c r="EM171" s="75"/>
      <c r="EN171" s="81"/>
      <c r="EO171" s="74"/>
      <c r="EP171" s="75"/>
      <c r="EQ171" s="75"/>
      <c r="ER171" s="75"/>
      <c r="ES171" s="75"/>
      <c r="ET171" s="75"/>
      <c r="EU171" s="75"/>
      <c r="EV171" s="75"/>
      <c r="EW171" s="75"/>
      <c r="EX171" s="75"/>
      <c r="EY171" s="75"/>
      <c r="EZ171" s="81"/>
      <c r="FA171" s="74"/>
      <c r="FB171" s="75"/>
      <c r="FC171" s="75"/>
      <c r="FD171" s="75"/>
      <c r="FE171" s="75"/>
      <c r="FF171" s="75"/>
      <c r="FG171" s="75"/>
      <c r="FH171" s="75"/>
      <c r="FI171" s="75"/>
      <c r="FJ171" s="75"/>
      <c r="FK171" s="75"/>
      <c r="FL171" s="81"/>
      <c r="FM171" s="74"/>
      <c r="FN171" s="75"/>
      <c r="FO171" s="75"/>
      <c r="FP171" s="75"/>
      <c r="FQ171" s="75"/>
      <c r="FR171" s="75"/>
      <c r="FS171" s="75"/>
      <c r="FT171" s="75"/>
      <c r="FU171" s="75"/>
      <c r="FV171" s="75"/>
      <c r="FW171" s="75"/>
      <c r="FX171" s="81"/>
      <c r="FY171" s="74"/>
      <c r="FZ171" s="75"/>
      <c r="GA171" s="75"/>
      <c r="GB171" s="75"/>
      <c r="GC171" s="75"/>
      <c r="GD171" s="75"/>
      <c r="GE171" s="75"/>
      <c r="GF171" s="75"/>
      <c r="GG171" s="75"/>
      <c r="GH171" s="75"/>
      <c r="GI171" s="75"/>
      <c r="GJ171" s="81"/>
      <c r="GK171" s="74"/>
      <c r="GL171" s="75"/>
      <c r="GM171" s="75"/>
      <c r="GN171" s="75"/>
      <c r="GO171" s="75"/>
      <c r="GP171" s="75"/>
      <c r="GQ171" s="75"/>
      <c r="GR171" s="75"/>
      <c r="GS171" s="75"/>
      <c r="GT171" s="75"/>
      <c r="GU171" s="75"/>
      <c r="GV171" s="81"/>
      <c r="GW171" s="74"/>
      <c r="GX171" s="75"/>
      <c r="GY171" s="75"/>
      <c r="GZ171" s="75"/>
      <c r="HA171" s="75"/>
      <c r="HB171" s="75"/>
      <c r="HC171" s="75"/>
      <c r="HD171" s="75"/>
      <c r="HE171" s="75"/>
      <c r="HF171" s="75"/>
      <c r="HG171" s="75"/>
      <c r="HH171" s="81"/>
      <c r="HI171" s="75"/>
    </row>
    <row r="172" ht="15.0" customHeight="1">
      <c r="A172" s="74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81"/>
      <c r="M172" s="74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81"/>
      <c r="Y172" s="74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81"/>
      <c r="AK172" s="74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81"/>
      <c r="AW172" s="74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81"/>
      <c r="BI172" s="74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81"/>
      <c r="BU172" s="74"/>
      <c r="BV172" s="75"/>
      <c r="BW172" s="75"/>
      <c r="BX172" s="75"/>
      <c r="BY172" s="75"/>
      <c r="BZ172" s="75"/>
      <c r="CA172" s="75"/>
      <c r="CB172" s="75"/>
      <c r="CC172" s="75"/>
      <c r="CD172" s="75"/>
      <c r="CE172" s="75"/>
      <c r="CF172" s="81"/>
      <c r="CG172" s="74"/>
      <c r="CH172" s="75"/>
      <c r="CI172" s="75"/>
      <c r="CJ172" s="75"/>
      <c r="CK172" s="75"/>
      <c r="CL172" s="75"/>
      <c r="CM172" s="75"/>
      <c r="CN172" s="75"/>
      <c r="CO172" s="75"/>
      <c r="CP172" s="75"/>
      <c r="CQ172" s="75"/>
      <c r="CR172" s="81"/>
      <c r="CS172" s="74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81"/>
      <c r="DE172" s="74"/>
      <c r="DF172" s="75"/>
      <c r="DG172" s="75"/>
      <c r="DH172" s="75"/>
      <c r="DI172" s="75"/>
      <c r="DJ172" s="75"/>
      <c r="DK172" s="75"/>
      <c r="DL172" s="75"/>
      <c r="DM172" s="75"/>
      <c r="DN172" s="75"/>
      <c r="DO172" s="75"/>
      <c r="DP172" s="81"/>
      <c r="DQ172" s="74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81"/>
      <c r="EC172" s="74"/>
      <c r="ED172" s="75"/>
      <c r="EE172" s="75"/>
      <c r="EF172" s="75"/>
      <c r="EG172" s="75"/>
      <c r="EH172" s="75"/>
      <c r="EI172" s="75"/>
      <c r="EJ172" s="75"/>
      <c r="EK172" s="75"/>
      <c r="EL172" s="75"/>
      <c r="EM172" s="75"/>
      <c r="EN172" s="81"/>
      <c r="EO172" s="74"/>
      <c r="EP172" s="75"/>
      <c r="EQ172" s="75"/>
      <c r="ER172" s="75"/>
      <c r="ES172" s="75"/>
      <c r="ET172" s="75"/>
      <c r="EU172" s="75"/>
      <c r="EV172" s="75"/>
      <c r="EW172" s="75"/>
      <c r="EX172" s="75"/>
      <c r="EY172" s="75"/>
      <c r="EZ172" s="81"/>
      <c r="FA172" s="74"/>
      <c r="FB172" s="75"/>
      <c r="FC172" s="75"/>
      <c r="FD172" s="75"/>
      <c r="FE172" s="75"/>
      <c r="FF172" s="75"/>
      <c r="FG172" s="75"/>
      <c r="FH172" s="75"/>
      <c r="FI172" s="75"/>
      <c r="FJ172" s="75"/>
      <c r="FK172" s="75"/>
      <c r="FL172" s="81"/>
      <c r="FM172" s="74"/>
      <c r="FN172" s="75"/>
      <c r="FO172" s="75"/>
      <c r="FP172" s="75"/>
      <c r="FQ172" s="75"/>
      <c r="FR172" s="75"/>
      <c r="FS172" s="75"/>
      <c r="FT172" s="75"/>
      <c r="FU172" s="75"/>
      <c r="FV172" s="75"/>
      <c r="FW172" s="75"/>
      <c r="FX172" s="81"/>
      <c r="FY172" s="74"/>
      <c r="FZ172" s="75"/>
      <c r="GA172" s="75"/>
      <c r="GB172" s="75"/>
      <c r="GC172" s="75"/>
      <c r="GD172" s="75"/>
      <c r="GE172" s="75"/>
      <c r="GF172" s="75"/>
      <c r="GG172" s="75"/>
      <c r="GH172" s="75"/>
      <c r="GI172" s="75"/>
      <c r="GJ172" s="81"/>
      <c r="GK172" s="74"/>
      <c r="GL172" s="75"/>
      <c r="GM172" s="75"/>
      <c r="GN172" s="75"/>
      <c r="GO172" s="75"/>
      <c r="GP172" s="75"/>
      <c r="GQ172" s="75"/>
      <c r="GR172" s="75"/>
      <c r="GS172" s="75"/>
      <c r="GT172" s="75"/>
      <c r="GU172" s="75"/>
      <c r="GV172" s="81"/>
      <c r="GW172" s="74"/>
      <c r="GX172" s="75"/>
      <c r="GY172" s="75"/>
      <c r="GZ172" s="75"/>
      <c r="HA172" s="75"/>
      <c r="HB172" s="75"/>
      <c r="HC172" s="75"/>
      <c r="HD172" s="75"/>
      <c r="HE172" s="75"/>
      <c r="HF172" s="75"/>
      <c r="HG172" s="75"/>
      <c r="HH172" s="81"/>
      <c r="HI172" s="75"/>
    </row>
    <row r="173" ht="15.0" customHeight="1">
      <c r="A173" s="74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81"/>
      <c r="M173" s="74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81"/>
      <c r="Y173" s="74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81"/>
      <c r="AK173" s="74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81"/>
      <c r="AW173" s="74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81"/>
      <c r="BI173" s="74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81"/>
      <c r="BU173" s="74"/>
      <c r="BV173" s="75"/>
      <c r="BW173" s="75"/>
      <c r="BX173" s="75"/>
      <c r="BY173" s="75"/>
      <c r="BZ173" s="75"/>
      <c r="CA173" s="75"/>
      <c r="CB173" s="75"/>
      <c r="CC173" s="75"/>
      <c r="CD173" s="75"/>
      <c r="CE173" s="75"/>
      <c r="CF173" s="81"/>
      <c r="CG173" s="74"/>
      <c r="CH173" s="75"/>
      <c r="CI173" s="75"/>
      <c r="CJ173" s="75"/>
      <c r="CK173" s="75"/>
      <c r="CL173" s="75"/>
      <c r="CM173" s="75"/>
      <c r="CN173" s="75"/>
      <c r="CO173" s="75"/>
      <c r="CP173" s="75"/>
      <c r="CQ173" s="75"/>
      <c r="CR173" s="81"/>
      <c r="CS173" s="74"/>
      <c r="CT173" s="75"/>
      <c r="CU173" s="75"/>
      <c r="CV173" s="75"/>
      <c r="CW173" s="75"/>
      <c r="CX173" s="75"/>
      <c r="CY173" s="75"/>
      <c r="CZ173" s="75"/>
      <c r="DA173" s="75"/>
      <c r="DB173" s="75"/>
      <c r="DC173" s="75"/>
      <c r="DD173" s="81"/>
      <c r="DE173" s="74"/>
      <c r="DF173" s="75"/>
      <c r="DG173" s="75"/>
      <c r="DH173" s="75"/>
      <c r="DI173" s="75"/>
      <c r="DJ173" s="75"/>
      <c r="DK173" s="75"/>
      <c r="DL173" s="75"/>
      <c r="DM173" s="75"/>
      <c r="DN173" s="75"/>
      <c r="DO173" s="75"/>
      <c r="DP173" s="81"/>
      <c r="DQ173" s="74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81"/>
      <c r="EC173" s="74"/>
      <c r="ED173" s="75"/>
      <c r="EE173" s="75"/>
      <c r="EF173" s="75"/>
      <c r="EG173" s="75"/>
      <c r="EH173" s="75"/>
      <c r="EI173" s="75"/>
      <c r="EJ173" s="75"/>
      <c r="EK173" s="75"/>
      <c r="EL173" s="75"/>
      <c r="EM173" s="75"/>
      <c r="EN173" s="81"/>
      <c r="EO173" s="74"/>
      <c r="EP173" s="75"/>
      <c r="EQ173" s="75"/>
      <c r="ER173" s="75"/>
      <c r="ES173" s="75"/>
      <c r="ET173" s="75"/>
      <c r="EU173" s="75"/>
      <c r="EV173" s="75"/>
      <c r="EW173" s="75"/>
      <c r="EX173" s="75"/>
      <c r="EY173" s="75"/>
      <c r="EZ173" s="81"/>
      <c r="FA173" s="74"/>
      <c r="FB173" s="75"/>
      <c r="FC173" s="75"/>
      <c r="FD173" s="75"/>
      <c r="FE173" s="75"/>
      <c r="FF173" s="75"/>
      <c r="FG173" s="75"/>
      <c r="FH173" s="75"/>
      <c r="FI173" s="75"/>
      <c r="FJ173" s="75"/>
      <c r="FK173" s="75"/>
      <c r="FL173" s="81"/>
      <c r="FM173" s="74"/>
      <c r="FN173" s="75"/>
      <c r="FO173" s="75"/>
      <c r="FP173" s="75"/>
      <c r="FQ173" s="75"/>
      <c r="FR173" s="75"/>
      <c r="FS173" s="75"/>
      <c r="FT173" s="75"/>
      <c r="FU173" s="75"/>
      <c r="FV173" s="75"/>
      <c r="FW173" s="75"/>
      <c r="FX173" s="81"/>
      <c r="FY173" s="74"/>
      <c r="FZ173" s="75"/>
      <c r="GA173" s="75"/>
      <c r="GB173" s="75"/>
      <c r="GC173" s="75"/>
      <c r="GD173" s="75"/>
      <c r="GE173" s="75"/>
      <c r="GF173" s="75"/>
      <c r="GG173" s="75"/>
      <c r="GH173" s="75"/>
      <c r="GI173" s="75"/>
      <c r="GJ173" s="81"/>
      <c r="GK173" s="74"/>
      <c r="GL173" s="75"/>
      <c r="GM173" s="75"/>
      <c r="GN173" s="75"/>
      <c r="GO173" s="75"/>
      <c r="GP173" s="75"/>
      <c r="GQ173" s="75"/>
      <c r="GR173" s="75"/>
      <c r="GS173" s="75"/>
      <c r="GT173" s="75"/>
      <c r="GU173" s="75"/>
      <c r="GV173" s="81"/>
      <c r="GW173" s="74"/>
      <c r="GX173" s="75"/>
      <c r="GY173" s="75"/>
      <c r="GZ173" s="75"/>
      <c r="HA173" s="75"/>
      <c r="HB173" s="75"/>
      <c r="HC173" s="75"/>
      <c r="HD173" s="75"/>
      <c r="HE173" s="75"/>
      <c r="HF173" s="75"/>
      <c r="HG173" s="75"/>
      <c r="HH173" s="81"/>
      <c r="HI173" s="75"/>
    </row>
    <row r="174" ht="15.0" customHeight="1">
      <c r="A174" s="74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81"/>
      <c r="M174" s="74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81"/>
      <c r="Y174" s="74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81"/>
      <c r="AK174" s="74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81"/>
      <c r="AW174" s="74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81"/>
      <c r="BI174" s="74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81"/>
      <c r="BU174" s="74"/>
      <c r="BV174" s="75"/>
      <c r="BW174" s="75"/>
      <c r="BX174" s="75"/>
      <c r="BY174" s="75"/>
      <c r="BZ174" s="75"/>
      <c r="CA174" s="75"/>
      <c r="CB174" s="75"/>
      <c r="CC174" s="75"/>
      <c r="CD174" s="75"/>
      <c r="CE174" s="75"/>
      <c r="CF174" s="81"/>
      <c r="CG174" s="74"/>
      <c r="CH174" s="75"/>
      <c r="CI174" s="75"/>
      <c r="CJ174" s="75"/>
      <c r="CK174" s="75"/>
      <c r="CL174" s="75"/>
      <c r="CM174" s="75"/>
      <c r="CN174" s="75"/>
      <c r="CO174" s="75"/>
      <c r="CP174" s="75"/>
      <c r="CQ174" s="75"/>
      <c r="CR174" s="81"/>
      <c r="CS174" s="74"/>
      <c r="CT174" s="75"/>
      <c r="CU174" s="75"/>
      <c r="CV174" s="75"/>
      <c r="CW174" s="75"/>
      <c r="CX174" s="75"/>
      <c r="CY174" s="75"/>
      <c r="CZ174" s="75"/>
      <c r="DA174" s="75"/>
      <c r="DB174" s="75"/>
      <c r="DC174" s="75"/>
      <c r="DD174" s="81"/>
      <c r="DE174" s="74"/>
      <c r="DF174" s="75"/>
      <c r="DG174" s="75"/>
      <c r="DH174" s="75"/>
      <c r="DI174" s="75"/>
      <c r="DJ174" s="75"/>
      <c r="DK174" s="75"/>
      <c r="DL174" s="75"/>
      <c r="DM174" s="75"/>
      <c r="DN174" s="75"/>
      <c r="DO174" s="75"/>
      <c r="DP174" s="81"/>
      <c r="DQ174" s="74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81"/>
      <c r="EC174" s="74"/>
      <c r="ED174" s="75"/>
      <c r="EE174" s="75"/>
      <c r="EF174" s="75"/>
      <c r="EG174" s="75"/>
      <c r="EH174" s="75"/>
      <c r="EI174" s="75"/>
      <c r="EJ174" s="75"/>
      <c r="EK174" s="75"/>
      <c r="EL174" s="75"/>
      <c r="EM174" s="75"/>
      <c r="EN174" s="81"/>
      <c r="EO174" s="74"/>
      <c r="EP174" s="75"/>
      <c r="EQ174" s="75"/>
      <c r="ER174" s="75"/>
      <c r="ES174" s="75"/>
      <c r="ET174" s="75"/>
      <c r="EU174" s="75"/>
      <c r="EV174" s="75"/>
      <c r="EW174" s="75"/>
      <c r="EX174" s="75"/>
      <c r="EY174" s="75"/>
      <c r="EZ174" s="81"/>
      <c r="FA174" s="74"/>
      <c r="FB174" s="75"/>
      <c r="FC174" s="75"/>
      <c r="FD174" s="75"/>
      <c r="FE174" s="75"/>
      <c r="FF174" s="75"/>
      <c r="FG174" s="75"/>
      <c r="FH174" s="75"/>
      <c r="FI174" s="75"/>
      <c r="FJ174" s="75"/>
      <c r="FK174" s="75"/>
      <c r="FL174" s="81"/>
      <c r="FM174" s="74"/>
      <c r="FN174" s="75"/>
      <c r="FO174" s="75"/>
      <c r="FP174" s="75"/>
      <c r="FQ174" s="75"/>
      <c r="FR174" s="75"/>
      <c r="FS174" s="75"/>
      <c r="FT174" s="75"/>
      <c r="FU174" s="75"/>
      <c r="FV174" s="75"/>
      <c r="FW174" s="75"/>
      <c r="FX174" s="81"/>
      <c r="FY174" s="74"/>
      <c r="FZ174" s="75"/>
      <c r="GA174" s="75"/>
      <c r="GB174" s="75"/>
      <c r="GC174" s="75"/>
      <c r="GD174" s="75"/>
      <c r="GE174" s="75"/>
      <c r="GF174" s="75"/>
      <c r="GG174" s="75"/>
      <c r="GH174" s="75"/>
      <c r="GI174" s="75"/>
      <c r="GJ174" s="81"/>
      <c r="GK174" s="74"/>
      <c r="GL174" s="75"/>
      <c r="GM174" s="75"/>
      <c r="GN174" s="75"/>
      <c r="GO174" s="75"/>
      <c r="GP174" s="75"/>
      <c r="GQ174" s="75"/>
      <c r="GR174" s="75"/>
      <c r="GS174" s="75"/>
      <c r="GT174" s="75"/>
      <c r="GU174" s="75"/>
      <c r="GV174" s="81"/>
      <c r="GW174" s="74"/>
      <c r="GX174" s="75"/>
      <c r="GY174" s="75"/>
      <c r="GZ174" s="75"/>
      <c r="HA174" s="75"/>
      <c r="HB174" s="75"/>
      <c r="HC174" s="75"/>
      <c r="HD174" s="75"/>
      <c r="HE174" s="75"/>
      <c r="HF174" s="75"/>
      <c r="HG174" s="75"/>
      <c r="HH174" s="81"/>
      <c r="HI174" s="75"/>
    </row>
    <row r="175" ht="15.0" customHeight="1">
      <c r="A175" s="74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81"/>
      <c r="M175" s="74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81"/>
      <c r="Y175" s="74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81"/>
      <c r="AK175" s="74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81"/>
      <c r="AW175" s="74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81"/>
      <c r="BI175" s="74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81"/>
      <c r="BU175" s="74"/>
      <c r="BV175" s="75"/>
      <c r="BW175" s="75"/>
      <c r="BX175" s="75"/>
      <c r="BY175" s="75"/>
      <c r="BZ175" s="75"/>
      <c r="CA175" s="75"/>
      <c r="CB175" s="75"/>
      <c r="CC175" s="75"/>
      <c r="CD175" s="75"/>
      <c r="CE175" s="75"/>
      <c r="CF175" s="81"/>
      <c r="CG175" s="74"/>
      <c r="CH175" s="75"/>
      <c r="CI175" s="75"/>
      <c r="CJ175" s="75"/>
      <c r="CK175" s="75"/>
      <c r="CL175" s="75"/>
      <c r="CM175" s="75"/>
      <c r="CN175" s="75"/>
      <c r="CO175" s="75"/>
      <c r="CP175" s="75"/>
      <c r="CQ175" s="75"/>
      <c r="CR175" s="81"/>
      <c r="CS175" s="74"/>
      <c r="CT175" s="75"/>
      <c r="CU175" s="75"/>
      <c r="CV175" s="75"/>
      <c r="CW175" s="75"/>
      <c r="CX175" s="75"/>
      <c r="CY175" s="75"/>
      <c r="CZ175" s="75"/>
      <c r="DA175" s="75"/>
      <c r="DB175" s="75"/>
      <c r="DC175" s="75"/>
      <c r="DD175" s="81"/>
      <c r="DE175" s="74"/>
      <c r="DF175" s="75"/>
      <c r="DG175" s="75"/>
      <c r="DH175" s="75"/>
      <c r="DI175" s="75"/>
      <c r="DJ175" s="75"/>
      <c r="DK175" s="75"/>
      <c r="DL175" s="75"/>
      <c r="DM175" s="75"/>
      <c r="DN175" s="75"/>
      <c r="DO175" s="75"/>
      <c r="DP175" s="81"/>
      <c r="DQ175" s="74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81"/>
      <c r="EC175" s="74"/>
      <c r="ED175" s="75"/>
      <c r="EE175" s="75"/>
      <c r="EF175" s="75"/>
      <c r="EG175" s="75"/>
      <c r="EH175" s="75"/>
      <c r="EI175" s="75"/>
      <c r="EJ175" s="75"/>
      <c r="EK175" s="75"/>
      <c r="EL175" s="75"/>
      <c r="EM175" s="75"/>
      <c r="EN175" s="81"/>
      <c r="EO175" s="74"/>
      <c r="EP175" s="75"/>
      <c r="EQ175" s="75"/>
      <c r="ER175" s="75"/>
      <c r="ES175" s="75"/>
      <c r="ET175" s="75"/>
      <c r="EU175" s="75"/>
      <c r="EV175" s="75"/>
      <c r="EW175" s="75"/>
      <c r="EX175" s="75"/>
      <c r="EY175" s="75"/>
      <c r="EZ175" s="81"/>
      <c r="FA175" s="74"/>
      <c r="FB175" s="75"/>
      <c r="FC175" s="75"/>
      <c r="FD175" s="75"/>
      <c r="FE175" s="75"/>
      <c r="FF175" s="75"/>
      <c r="FG175" s="75"/>
      <c r="FH175" s="75"/>
      <c r="FI175" s="75"/>
      <c r="FJ175" s="75"/>
      <c r="FK175" s="75"/>
      <c r="FL175" s="81"/>
      <c r="FM175" s="74"/>
      <c r="FN175" s="75"/>
      <c r="FO175" s="75"/>
      <c r="FP175" s="75"/>
      <c r="FQ175" s="75"/>
      <c r="FR175" s="75"/>
      <c r="FS175" s="75"/>
      <c r="FT175" s="75"/>
      <c r="FU175" s="75"/>
      <c r="FV175" s="75"/>
      <c r="FW175" s="75"/>
      <c r="FX175" s="81"/>
      <c r="FY175" s="74"/>
      <c r="FZ175" s="75"/>
      <c r="GA175" s="75"/>
      <c r="GB175" s="75"/>
      <c r="GC175" s="75"/>
      <c r="GD175" s="75"/>
      <c r="GE175" s="75"/>
      <c r="GF175" s="75"/>
      <c r="GG175" s="75"/>
      <c r="GH175" s="75"/>
      <c r="GI175" s="75"/>
      <c r="GJ175" s="81"/>
      <c r="GK175" s="74"/>
      <c r="GL175" s="75"/>
      <c r="GM175" s="75"/>
      <c r="GN175" s="75"/>
      <c r="GO175" s="75"/>
      <c r="GP175" s="75"/>
      <c r="GQ175" s="75"/>
      <c r="GR175" s="75"/>
      <c r="GS175" s="75"/>
      <c r="GT175" s="75"/>
      <c r="GU175" s="75"/>
      <c r="GV175" s="81"/>
      <c r="GW175" s="74"/>
      <c r="GX175" s="75"/>
      <c r="GY175" s="75"/>
      <c r="GZ175" s="75"/>
      <c r="HA175" s="75"/>
      <c r="HB175" s="75"/>
      <c r="HC175" s="75"/>
      <c r="HD175" s="75"/>
      <c r="HE175" s="75"/>
      <c r="HF175" s="75"/>
      <c r="HG175" s="75"/>
      <c r="HH175" s="81"/>
      <c r="HI175" s="75"/>
    </row>
    <row r="176" ht="15.0" customHeight="1">
      <c r="A176" s="74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81"/>
      <c r="M176" s="74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81"/>
      <c r="Y176" s="74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81"/>
      <c r="AK176" s="74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81"/>
      <c r="AW176" s="74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81"/>
      <c r="BI176" s="74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81"/>
      <c r="BU176" s="74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81"/>
      <c r="CG176" s="74"/>
      <c r="CH176" s="75"/>
      <c r="CI176" s="75"/>
      <c r="CJ176" s="75"/>
      <c r="CK176" s="75"/>
      <c r="CL176" s="75"/>
      <c r="CM176" s="75"/>
      <c r="CN176" s="75"/>
      <c r="CO176" s="75"/>
      <c r="CP176" s="75"/>
      <c r="CQ176" s="75"/>
      <c r="CR176" s="81"/>
      <c r="CS176" s="74"/>
      <c r="CT176" s="75"/>
      <c r="CU176" s="75"/>
      <c r="CV176" s="75"/>
      <c r="CW176" s="75"/>
      <c r="CX176" s="75"/>
      <c r="CY176" s="75"/>
      <c r="CZ176" s="75"/>
      <c r="DA176" s="75"/>
      <c r="DB176" s="75"/>
      <c r="DC176" s="75"/>
      <c r="DD176" s="81"/>
      <c r="DE176" s="74"/>
      <c r="DF176" s="75"/>
      <c r="DG176" s="75"/>
      <c r="DH176" s="75"/>
      <c r="DI176" s="75"/>
      <c r="DJ176" s="75"/>
      <c r="DK176" s="75"/>
      <c r="DL176" s="75"/>
      <c r="DM176" s="75"/>
      <c r="DN176" s="75"/>
      <c r="DO176" s="75"/>
      <c r="DP176" s="81"/>
      <c r="DQ176" s="74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81"/>
      <c r="EC176" s="74"/>
      <c r="ED176" s="75"/>
      <c r="EE176" s="75"/>
      <c r="EF176" s="75"/>
      <c r="EG176" s="75"/>
      <c r="EH176" s="75"/>
      <c r="EI176" s="75"/>
      <c r="EJ176" s="75"/>
      <c r="EK176" s="75"/>
      <c r="EL176" s="75"/>
      <c r="EM176" s="75"/>
      <c r="EN176" s="81"/>
      <c r="EO176" s="74"/>
      <c r="EP176" s="75"/>
      <c r="EQ176" s="75"/>
      <c r="ER176" s="75"/>
      <c r="ES176" s="75"/>
      <c r="ET176" s="75"/>
      <c r="EU176" s="75"/>
      <c r="EV176" s="75"/>
      <c r="EW176" s="75"/>
      <c r="EX176" s="75"/>
      <c r="EY176" s="75"/>
      <c r="EZ176" s="81"/>
      <c r="FA176" s="74"/>
      <c r="FB176" s="75"/>
      <c r="FC176" s="75"/>
      <c r="FD176" s="75"/>
      <c r="FE176" s="75"/>
      <c r="FF176" s="75"/>
      <c r="FG176" s="75"/>
      <c r="FH176" s="75"/>
      <c r="FI176" s="75"/>
      <c r="FJ176" s="75"/>
      <c r="FK176" s="75"/>
      <c r="FL176" s="81"/>
      <c r="FM176" s="74"/>
      <c r="FN176" s="75"/>
      <c r="FO176" s="75"/>
      <c r="FP176" s="75"/>
      <c r="FQ176" s="75"/>
      <c r="FR176" s="75"/>
      <c r="FS176" s="75"/>
      <c r="FT176" s="75"/>
      <c r="FU176" s="75"/>
      <c r="FV176" s="75"/>
      <c r="FW176" s="75"/>
      <c r="FX176" s="81"/>
      <c r="FY176" s="74"/>
      <c r="FZ176" s="75"/>
      <c r="GA176" s="75"/>
      <c r="GB176" s="75"/>
      <c r="GC176" s="75"/>
      <c r="GD176" s="75"/>
      <c r="GE176" s="75"/>
      <c r="GF176" s="75"/>
      <c r="GG176" s="75"/>
      <c r="GH176" s="75"/>
      <c r="GI176" s="75"/>
      <c r="GJ176" s="81"/>
      <c r="GK176" s="74"/>
      <c r="GL176" s="75"/>
      <c r="GM176" s="75"/>
      <c r="GN176" s="75"/>
      <c r="GO176" s="75"/>
      <c r="GP176" s="75"/>
      <c r="GQ176" s="75"/>
      <c r="GR176" s="75"/>
      <c r="GS176" s="75"/>
      <c r="GT176" s="75"/>
      <c r="GU176" s="75"/>
      <c r="GV176" s="81"/>
      <c r="GW176" s="74"/>
      <c r="GX176" s="75"/>
      <c r="GY176" s="75"/>
      <c r="GZ176" s="75"/>
      <c r="HA176" s="75"/>
      <c r="HB176" s="75"/>
      <c r="HC176" s="75"/>
      <c r="HD176" s="75"/>
      <c r="HE176" s="75"/>
      <c r="HF176" s="75"/>
      <c r="HG176" s="75"/>
      <c r="HH176" s="81"/>
      <c r="HI176" s="75"/>
    </row>
    <row r="177" ht="15.0" customHeight="1">
      <c r="A177" s="74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81"/>
      <c r="M177" s="74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81"/>
      <c r="Y177" s="74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81"/>
      <c r="AK177" s="74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81"/>
      <c r="AW177" s="74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81"/>
      <c r="BI177" s="74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81"/>
      <c r="BU177" s="74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81"/>
      <c r="CG177" s="74"/>
      <c r="CH177" s="75"/>
      <c r="CI177" s="75"/>
      <c r="CJ177" s="75"/>
      <c r="CK177" s="75"/>
      <c r="CL177" s="75"/>
      <c r="CM177" s="75"/>
      <c r="CN177" s="75"/>
      <c r="CO177" s="75"/>
      <c r="CP177" s="75"/>
      <c r="CQ177" s="75"/>
      <c r="CR177" s="81"/>
      <c r="CS177" s="74"/>
      <c r="CT177" s="75"/>
      <c r="CU177" s="75"/>
      <c r="CV177" s="75"/>
      <c r="CW177" s="75"/>
      <c r="CX177" s="75"/>
      <c r="CY177" s="75"/>
      <c r="CZ177" s="75"/>
      <c r="DA177" s="75"/>
      <c r="DB177" s="75"/>
      <c r="DC177" s="75"/>
      <c r="DD177" s="81"/>
      <c r="DE177" s="74"/>
      <c r="DF177" s="75"/>
      <c r="DG177" s="75"/>
      <c r="DH177" s="75"/>
      <c r="DI177" s="75"/>
      <c r="DJ177" s="75"/>
      <c r="DK177" s="75"/>
      <c r="DL177" s="75"/>
      <c r="DM177" s="75"/>
      <c r="DN177" s="75"/>
      <c r="DO177" s="75"/>
      <c r="DP177" s="81"/>
      <c r="DQ177" s="74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81"/>
      <c r="EC177" s="74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81"/>
      <c r="EO177" s="74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81"/>
      <c r="FA177" s="74"/>
      <c r="FB177" s="75"/>
      <c r="FC177" s="75"/>
      <c r="FD177" s="75"/>
      <c r="FE177" s="75"/>
      <c r="FF177" s="75"/>
      <c r="FG177" s="75"/>
      <c r="FH177" s="75"/>
      <c r="FI177" s="75"/>
      <c r="FJ177" s="75"/>
      <c r="FK177" s="75"/>
      <c r="FL177" s="81"/>
      <c r="FM177" s="74"/>
      <c r="FN177" s="75"/>
      <c r="FO177" s="75"/>
      <c r="FP177" s="75"/>
      <c r="FQ177" s="75"/>
      <c r="FR177" s="75"/>
      <c r="FS177" s="75"/>
      <c r="FT177" s="75"/>
      <c r="FU177" s="75"/>
      <c r="FV177" s="75"/>
      <c r="FW177" s="75"/>
      <c r="FX177" s="81"/>
      <c r="FY177" s="74"/>
      <c r="FZ177" s="75"/>
      <c r="GA177" s="75"/>
      <c r="GB177" s="75"/>
      <c r="GC177" s="75"/>
      <c r="GD177" s="75"/>
      <c r="GE177" s="75"/>
      <c r="GF177" s="75"/>
      <c r="GG177" s="75"/>
      <c r="GH177" s="75"/>
      <c r="GI177" s="75"/>
      <c r="GJ177" s="81"/>
      <c r="GK177" s="74"/>
      <c r="GL177" s="75"/>
      <c r="GM177" s="75"/>
      <c r="GN177" s="75"/>
      <c r="GO177" s="75"/>
      <c r="GP177" s="75"/>
      <c r="GQ177" s="75"/>
      <c r="GR177" s="75"/>
      <c r="GS177" s="75"/>
      <c r="GT177" s="75"/>
      <c r="GU177" s="75"/>
      <c r="GV177" s="81"/>
      <c r="GW177" s="74"/>
      <c r="GX177" s="75"/>
      <c r="GY177" s="75"/>
      <c r="GZ177" s="75"/>
      <c r="HA177" s="75"/>
      <c r="HB177" s="75"/>
      <c r="HC177" s="75"/>
      <c r="HD177" s="75"/>
      <c r="HE177" s="75"/>
      <c r="HF177" s="75"/>
      <c r="HG177" s="75"/>
      <c r="HH177" s="81"/>
      <c r="HI177" s="75"/>
    </row>
    <row r="178" ht="15.0" customHeight="1">
      <c r="A178" s="74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81"/>
      <c r="M178" s="74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81"/>
      <c r="Y178" s="74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81"/>
      <c r="AK178" s="74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81"/>
      <c r="AW178" s="74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81"/>
      <c r="BI178" s="74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81"/>
      <c r="BU178" s="74"/>
      <c r="BV178" s="75"/>
      <c r="BW178" s="75"/>
      <c r="BX178" s="75"/>
      <c r="BY178" s="75"/>
      <c r="BZ178" s="75"/>
      <c r="CA178" s="75"/>
      <c r="CB178" s="75"/>
      <c r="CC178" s="75"/>
      <c r="CD178" s="75"/>
      <c r="CE178" s="75"/>
      <c r="CF178" s="81"/>
      <c r="CG178" s="74"/>
      <c r="CH178" s="75"/>
      <c r="CI178" s="75"/>
      <c r="CJ178" s="75"/>
      <c r="CK178" s="75"/>
      <c r="CL178" s="75"/>
      <c r="CM178" s="75"/>
      <c r="CN178" s="75"/>
      <c r="CO178" s="75"/>
      <c r="CP178" s="75"/>
      <c r="CQ178" s="75"/>
      <c r="CR178" s="81"/>
      <c r="CS178" s="74"/>
      <c r="CT178" s="75"/>
      <c r="CU178" s="75"/>
      <c r="CV178" s="75"/>
      <c r="CW178" s="75"/>
      <c r="CX178" s="75"/>
      <c r="CY178" s="75"/>
      <c r="CZ178" s="75"/>
      <c r="DA178" s="75"/>
      <c r="DB178" s="75"/>
      <c r="DC178" s="75"/>
      <c r="DD178" s="81"/>
      <c r="DE178" s="74"/>
      <c r="DF178" s="75"/>
      <c r="DG178" s="75"/>
      <c r="DH178" s="75"/>
      <c r="DI178" s="75"/>
      <c r="DJ178" s="75"/>
      <c r="DK178" s="75"/>
      <c r="DL178" s="75"/>
      <c r="DM178" s="75"/>
      <c r="DN178" s="75"/>
      <c r="DO178" s="75"/>
      <c r="DP178" s="81"/>
      <c r="DQ178" s="74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81"/>
      <c r="EC178" s="74"/>
      <c r="ED178" s="75"/>
      <c r="EE178" s="75"/>
      <c r="EF178" s="75"/>
      <c r="EG178" s="75"/>
      <c r="EH178" s="75"/>
      <c r="EI178" s="75"/>
      <c r="EJ178" s="75"/>
      <c r="EK178" s="75"/>
      <c r="EL178" s="75"/>
      <c r="EM178" s="75"/>
      <c r="EN178" s="81"/>
      <c r="EO178" s="74"/>
      <c r="EP178" s="75"/>
      <c r="EQ178" s="75"/>
      <c r="ER178" s="75"/>
      <c r="ES178" s="75"/>
      <c r="ET178" s="75"/>
      <c r="EU178" s="75"/>
      <c r="EV178" s="75"/>
      <c r="EW178" s="75"/>
      <c r="EX178" s="75"/>
      <c r="EY178" s="75"/>
      <c r="EZ178" s="81"/>
      <c r="FA178" s="74"/>
      <c r="FB178" s="75"/>
      <c r="FC178" s="75"/>
      <c r="FD178" s="75"/>
      <c r="FE178" s="75"/>
      <c r="FF178" s="75"/>
      <c r="FG178" s="75"/>
      <c r="FH178" s="75"/>
      <c r="FI178" s="75"/>
      <c r="FJ178" s="75"/>
      <c r="FK178" s="75"/>
      <c r="FL178" s="81"/>
      <c r="FM178" s="74"/>
      <c r="FN178" s="75"/>
      <c r="FO178" s="75"/>
      <c r="FP178" s="75"/>
      <c r="FQ178" s="75"/>
      <c r="FR178" s="75"/>
      <c r="FS178" s="75"/>
      <c r="FT178" s="75"/>
      <c r="FU178" s="75"/>
      <c r="FV178" s="75"/>
      <c r="FW178" s="75"/>
      <c r="FX178" s="81"/>
      <c r="FY178" s="74"/>
      <c r="FZ178" s="75"/>
      <c r="GA178" s="75"/>
      <c r="GB178" s="75"/>
      <c r="GC178" s="75"/>
      <c r="GD178" s="75"/>
      <c r="GE178" s="75"/>
      <c r="GF178" s="75"/>
      <c r="GG178" s="75"/>
      <c r="GH178" s="75"/>
      <c r="GI178" s="75"/>
      <c r="GJ178" s="81"/>
      <c r="GK178" s="74"/>
      <c r="GL178" s="75"/>
      <c r="GM178" s="75"/>
      <c r="GN178" s="75"/>
      <c r="GO178" s="75"/>
      <c r="GP178" s="75"/>
      <c r="GQ178" s="75"/>
      <c r="GR178" s="75"/>
      <c r="GS178" s="75"/>
      <c r="GT178" s="75"/>
      <c r="GU178" s="75"/>
      <c r="GV178" s="81"/>
      <c r="GW178" s="74"/>
      <c r="GX178" s="75"/>
      <c r="GY178" s="75"/>
      <c r="GZ178" s="75"/>
      <c r="HA178" s="75"/>
      <c r="HB178" s="75"/>
      <c r="HC178" s="75"/>
      <c r="HD178" s="75"/>
      <c r="HE178" s="75"/>
      <c r="HF178" s="75"/>
      <c r="HG178" s="75"/>
      <c r="HH178" s="81"/>
      <c r="HI178" s="75"/>
    </row>
    <row r="179" ht="15.0" customHeight="1">
      <c r="A179" s="74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81"/>
      <c r="M179" s="74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81"/>
      <c r="Y179" s="74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81"/>
      <c r="AK179" s="74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81"/>
      <c r="AW179" s="74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81"/>
      <c r="BI179" s="74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81"/>
      <c r="BU179" s="74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81"/>
      <c r="CG179" s="74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81"/>
      <c r="CS179" s="74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81"/>
      <c r="DE179" s="74"/>
      <c r="DF179" s="75"/>
      <c r="DG179" s="75"/>
      <c r="DH179" s="75"/>
      <c r="DI179" s="75"/>
      <c r="DJ179" s="75"/>
      <c r="DK179" s="75"/>
      <c r="DL179" s="75"/>
      <c r="DM179" s="75"/>
      <c r="DN179" s="75"/>
      <c r="DO179" s="75"/>
      <c r="DP179" s="81"/>
      <c r="DQ179" s="74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81"/>
      <c r="EC179" s="74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81"/>
      <c r="EO179" s="74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81"/>
      <c r="FA179" s="74"/>
      <c r="FB179" s="75"/>
      <c r="FC179" s="75"/>
      <c r="FD179" s="75"/>
      <c r="FE179" s="75"/>
      <c r="FF179" s="75"/>
      <c r="FG179" s="75"/>
      <c r="FH179" s="75"/>
      <c r="FI179" s="75"/>
      <c r="FJ179" s="75"/>
      <c r="FK179" s="75"/>
      <c r="FL179" s="81"/>
      <c r="FM179" s="74"/>
      <c r="FN179" s="75"/>
      <c r="FO179" s="75"/>
      <c r="FP179" s="75"/>
      <c r="FQ179" s="75"/>
      <c r="FR179" s="75"/>
      <c r="FS179" s="75"/>
      <c r="FT179" s="75"/>
      <c r="FU179" s="75"/>
      <c r="FV179" s="75"/>
      <c r="FW179" s="75"/>
      <c r="FX179" s="81"/>
      <c r="FY179" s="74"/>
      <c r="FZ179" s="75"/>
      <c r="GA179" s="75"/>
      <c r="GB179" s="75"/>
      <c r="GC179" s="75"/>
      <c r="GD179" s="75"/>
      <c r="GE179" s="75"/>
      <c r="GF179" s="75"/>
      <c r="GG179" s="75"/>
      <c r="GH179" s="75"/>
      <c r="GI179" s="75"/>
      <c r="GJ179" s="81"/>
      <c r="GK179" s="74"/>
      <c r="GL179" s="75"/>
      <c r="GM179" s="75"/>
      <c r="GN179" s="75"/>
      <c r="GO179" s="75"/>
      <c r="GP179" s="75"/>
      <c r="GQ179" s="75"/>
      <c r="GR179" s="75"/>
      <c r="GS179" s="75"/>
      <c r="GT179" s="75"/>
      <c r="GU179" s="75"/>
      <c r="GV179" s="81"/>
      <c r="GW179" s="74"/>
      <c r="GX179" s="75"/>
      <c r="GY179" s="75"/>
      <c r="GZ179" s="75"/>
      <c r="HA179" s="75"/>
      <c r="HB179" s="75"/>
      <c r="HC179" s="75"/>
      <c r="HD179" s="75"/>
      <c r="HE179" s="75"/>
      <c r="HF179" s="75"/>
      <c r="HG179" s="75"/>
      <c r="HH179" s="81"/>
      <c r="HI179" s="75"/>
    </row>
    <row r="180" ht="15.0" customHeight="1">
      <c r="A180" s="74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81"/>
      <c r="M180" s="74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81"/>
      <c r="Y180" s="74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81"/>
      <c r="AK180" s="74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81"/>
      <c r="AW180" s="74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81"/>
      <c r="BI180" s="74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81"/>
      <c r="BU180" s="74"/>
      <c r="BV180" s="75"/>
      <c r="BW180" s="75"/>
      <c r="BX180" s="75"/>
      <c r="BY180" s="75"/>
      <c r="BZ180" s="75"/>
      <c r="CA180" s="75"/>
      <c r="CB180" s="75"/>
      <c r="CC180" s="75"/>
      <c r="CD180" s="75"/>
      <c r="CE180" s="75"/>
      <c r="CF180" s="81"/>
      <c r="CG180" s="74"/>
      <c r="CH180" s="75"/>
      <c r="CI180" s="75"/>
      <c r="CJ180" s="75"/>
      <c r="CK180" s="75"/>
      <c r="CL180" s="75"/>
      <c r="CM180" s="75"/>
      <c r="CN180" s="75"/>
      <c r="CO180" s="75"/>
      <c r="CP180" s="75"/>
      <c r="CQ180" s="75"/>
      <c r="CR180" s="81"/>
      <c r="CS180" s="74"/>
      <c r="CT180" s="75"/>
      <c r="CU180" s="75"/>
      <c r="CV180" s="75"/>
      <c r="CW180" s="75"/>
      <c r="CX180" s="75"/>
      <c r="CY180" s="75"/>
      <c r="CZ180" s="75"/>
      <c r="DA180" s="75"/>
      <c r="DB180" s="75"/>
      <c r="DC180" s="75"/>
      <c r="DD180" s="81"/>
      <c r="DE180" s="74"/>
      <c r="DF180" s="75"/>
      <c r="DG180" s="75"/>
      <c r="DH180" s="75"/>
      <c r="DI180" s="75"/>
      <c r="DJ180" s="75"/>
      <c r="DK180" s="75"/>
      <c r="DL180" s="75"/>
      <c r="DM180" s="75"/>
      <c r="DN180" s="75"/>
      <c r="DO180" s="75"/>
      <c r="DP180" s="81"/>
      <c r="DQ180" s="74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81"/>
      <c r="EC180" s="74"/>
      <c r="ED180" s="75"/>
      <c r="EE180" s="75"/>
      <c r="EF180" s="75"/>
      <c r="EG180" s="75"/>
      <c r="EH180" s="75"/>
      <c r="EI180" s="75"/>
      <c r="EJ180" s="75"/>
      <c r="EK180" s="75"/>
      <c r="EL180" s="75"/>
      <c r="EM180" s="75"/>
      <c r="EN180" s="81"/>
      <c r="EO180" s="74"/>
      <c r="EP180" s="75"/>
      <c r="EQ180" s="75"/>
      <c r="ER180" s="75"/>
      <c r="ES180" s="75"/>
      <c r="ET180" s="75"/>
      <c r="EU180" s="75"/>
      <c r="EV180" s="75"/>
      <c r="EW180" s="75"/>
      <c r="EX180" s="75"/>
      <c r="EY180" s="75"/>
      <c r="EZ180" s="81"/>
      <c r="FA180" s="74"/>
      <c r="FB180" s="75"/>
      <c r="FC180" s="75"/>
      <c r="FD180" s="75"/>
      <c r="FE180" s="75"/>
      <c r="FF180" s="75"/>
      <c r="FG180" s="75"/>
      <c r="FH180" s="75"/>
      <c r="FI180" s="75"/>
      <c r="FJ180" s="75"/>
      <c r="FK180" s="75"/>
      <c r="FL180" s="81"/>
      <c r="FM180" s="74"/>
      <c r="FN180" s="75"/>
      <c r="FO180" s="75"/>
      <c r="FP180" s="75"/>
      <c r="FQ180" s="75"/>
      <c r="FR180" s="75"/>
      <c r="FS180" s="75"/>
      <c r="FT180" s="75"/>
      <c r="FU180" s="75"/>
      <c r="FV180" s="75"/>
      <c r="FW180" s="75"/>
      <c r="FX180" s="81"/>
      <c r="FY180" s="74"/>
      <c r="FZ180" s="75"/>
      <c r="GA180" s="75"/>
      <c r="GB180" s="75"/>
      <c r="GC180" s="75"/>
      <c r="GD180" s="75"/>
      <c r="GE180" s="75"/>
      <c r="GF180" s="75"/>
      <c r="GG180" s="75"/>
      <c r="GH180" s="75"/>
      <c r="GI180" s="75"/>
      <c r="GJ180" s="81"/>
      <c r="GK180" s="74"/>
      <c r="GL180" s="75"/>
      <c r="GM180" s="75"/>
      <c r="GN180" s="75"/>
      <c r="GO180" s="75"/>
      <c r="GP180" s="75"/>
      <c r="GQ180" s="75"/>
      <c r="GR180" s="75"/>
      <c r="GS180" s="75"/>
      <c r="GT180" s="75"/>
      <c r="GU180" s="75"/>
      <c r="GV180" s="81"/>
      <c r="GW180" s="74"/>
      <c r="GX180" s="75"/>
      <c r="GY180" s="75"/>
      <c r="GZ180" s="75"/>
      <c r="HA180" s="75"/>
      <c r="HB180" s="75"/>
      <c r="HC180" s="75"/>
      <c r="HD180" s="75"/>
      <c r="HE180" s="75"/>
      <c r="HF180" s="75"/>
      <c r="HG180" s="75"/>
      <c r="HH180" s="81"/>
      <c r="HI180" s="75"/>
    </row>
    <row r="181" ht="15.0" customHeight="1">
      <c r="A181" s="74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81"/>
      <c r="M181" s="74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81"/>
      <c r="Y181" s="74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81"/>
      <c r="AK181" s="74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81"/>
      <c r="AW181" s="74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81"/>
      <c r="BI181" s="74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81"/>
      <c r="BU181" s="74"/>
      <c r="BV181" s="75"/>
      <c r="BW181" s="75"/>
      <c r="BX181" s="75"/>
      <c r="BY181" s="75"/>
      <c r="BZ181" s="75"/>
      <c r="CA181" s="75"/>
      <c r="CB181" s="75"/>
      <c r="CC181" s="75"/>
      <c r="CD181" s="75"/>
      <c r="CE181" s="75"/>
      <c r="CF181" s="81"/>
      <c r="CG181" s="74"/>
      <c r="CH181" s="75"/>
      <c r="CI181" s="75"/>
      <c r="CJ181" s="75"/>
      <c r="CK181" s="75"/>
      <c r="CL181" s="75"/>
      <c r="CM181" s="75"/>
      <c r="CN181" s="75"/>
      <c r="CO181" s="75"/>
      <c r="CP181" s="75"/>
      <c r="CQ181" s="75"/>
      <c r="CR181" s="81"/>
      <c r="CS181" s="74"/>
      <c r="CT181" s="75"/>
      <c r="CU181" s="75"/>
      <c r="CV181" s="75"/>
      <c r="CW181" s="75"/>
      <c r="CX181" s="75"/>
      <c r="CY181" s="75"/>
      <c r="CZ181" s="75"/>
      <c r="DA181" s="75"/>
      <c r="DB181" s="75"/>
      <c r="DC181" s="75"/>
      <c r="DD181" s="81"/>
      <c r="DE181" s="74"/>
      <c r="DF181" s="75"/>
      <c r="DG181" s="75"/>
      <c r="DH181" s="75"/>
      <c r="DI181" s="75"/>
      <c r="DJ181" s="75"/>
      <c r="DK181" s="75"/>
      <c r="DL181" s="75"/>
      <c r="DM181" s="75"/>
      <c r="DN181" s="75"/>
      <c r="DO181" s="75"/>
      <c r="DP181" s="81"/>
      <c r="DQ181" s="74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81"/>
      <c r="EC181" s="74"/>
      <c r="ED181" s="75"/>
      <c r="EE181" s="75"/>
      <c r="EF181" s="75"/>
      <c r="EG181" s="75"/>
      <c r="EH181" s="75"/>
      <c r="EI181" s="75"/>
      <c r="EJ181" s="75"/>
      <c r="EK181" s="75"/>
      <c r="EL181" s="75"/>
      <c r="EM181" s="75"/>
      <c r="EN181" s="81"/>
      <c r="EO181" s="74"/>
      <c r="EP181" s="75"/>
      <c r="EQ181" s="75"/>
      <c r="ER181" s="75"/>
      <c r="ES181" s="75"/>
      <c r="ET181" s="75"/>
      <c r="EU181" s="75"/>
      <c r="EV181" s="75"/>
      <c r="EW181" s="75"/>
      <c r="EX181" s="75"/>
      <c r="EY181" s="75"/>
      <c r="EZ181" s="81"/>
      <c r="FA181" s="74"/>
      <c r="FB181" s="75"/>
      <c r="FC181" s="75"/>
      <c r="FD181" s="75"/>
      <c r="FE181" s="75"/>
      <c r="FF181" s="75"/>
      <c r="FG181" s="75"/>
      <c r="FH181" s="75"/>
      <c r="FI181" s="75"/>
      <c r="FJ181" s="75"/>
      <c r="FK181" s="75"/>
      <c r="FL181" s="81"/>
      <c r="FM181" s="74"/>
      <c r="FN181" s="75"/>
      <c r="FO181" s="75"/>
      <c r="FP181" s="75"/>
      <c r="FQ181" s="75"/>
      <c r="FR181" s="75"/>
      <c r="FS181" s="75"/>
      <c r="FT181" s="75"/>
      <c r="FU181" s="75"/>
      <c r="FV181" s="75"/>
      <c r="FW181" s="75"/>
      <c r="FX181" s="81"/>
      <c r="FY181" s="74"/>
      <c r="FZ181" s="75"/>
      <c r="GA181" s="75"/>
      <c r="GB181" s="75"/>
      <c r="GC181" s="75"/>
      <c r="GD181" s="75"/>
      <c r="GE181" s="75"/>
      <c r="GF181" s="75"/>
      <c r="GG181" s="75"/>
      <c r="GH181" s="75"/>
      <c r="GI181" s="75"/>
      <c r="GJ181" s="81"/>
      <c r="GK181" s="74"/>
      <c r="GL181" s="75"/>
      <c r="GM181" s="75"/>
      <c r="GN181" s="75"/>
      <c r="GO181" s="75"/>
      <c r="GP181" s="75"/>
      <c r="GQ181" s="75"/>
      <c r="GR181" s="75"/>
      <c r="GS181" s="75"/>
      <c r="GT181" s="75"/>
      <c r="GU181" s="75"/>
      <c r="GV181" s="81"/>
      <c r="GW181" s="74"/>
      <c r="GX181" s="75"/>
      <c r="GY181" s="75"/>
      <c r="GZ181" s="75"/>
      <c r="HA181" s="75"/>
      <c r="HB181" s="75"/>
      <c r="HC181" s="75"/>
      <c r="HD181" s="75"/>
      <c r="HE181" s="75"/>
      <c r="HF181" s="75"/>
      <c r="HG181" s="75"/>
      <c r="HH181" s="81"/>
      <c r="HI181" s="75"/>
    </row>
    <row r="182" ht="15.0" customHeight="1">
      <c r="A182" s="74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81"/>
      <c r="M182" s="74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81"/>
      <c r="Y182" s="74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81"/>
      <c r="AK182" s="74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81"/>
      <c r="AW182" s="74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81"/>
      <c r="BI182" s="74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81"/>
      <c r="BU182" s="74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81"/>
      <c r="CG182" s="74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81"/>
      <c r="CS182" s="74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81"/>
      <c r="DE182" s="74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81"/>
      <c r="DQ182" s="74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81"/>
      <c r="EC182" s="74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81"/>
      <c r="EO182" s="74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81"/>
      <c r="FA182" s="74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81"/>
      <c r="FM182" s="74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81"/>
      <c r="FY182" s="74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81"/>
      <c r="GK182" s="74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81"/>
      <c r="GW182" s="74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81"/>
      <c r="HI182" s="75"/>
    </row>
    <row r="183" ht="15.0" customHeight="1">
      <c r="A183" s="74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81"/>
      <c r="M183" s="74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81"/>
      <c r="Y183" s="74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81"/>
      <c r="AK183" s="74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81"/>
      <c r="AW183" s="74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81"/>
      <c r="BI183" s="74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81"/>
      <c r="BU183" s="74"/>
      <c r="BV183" s="75"/>
      <c r="BW183" s="75"/>
      <c r="BX183" s="75"/>
      <c r="BY183" s="75"/>
      <c r="BZ183" s="75"/>
      <c r="CA183" s="75"/>
      <c r="CB183" s="75"/>
      <c r="CC183" s="75"/>
      <c r="CD183" s="75"/>
      <c r="CE183" s="75"/>
      <c r="CF183" s="81"/>
      <c r="CG183" s="74"/>
      <c r="CH183" s="75"/>
      <c r="CI183" s="75"/>
      <c r="CJ183" s="75"/>
      <c r="CK183" s="75"/>
      <c r="CL183" s="75"/>
      <c r="CM183" s="75"/>
      <c r="CN183" s="75"/>
      <c r="CO183" s="75"/>
      <c r="CP183" s="75"/>
      <c r="CQ183" s="75"/>
      <c r="CR183" s="81"/>
      <c r="CS183" s="74"/>
      <c r="CT183" s="75"/>
      <c r="CU183" s="75"/>
      <c r="CV183" s="75"/>
      <c r="CW183" s="75"/>
      <c r="CX183" s="75"/>
      <c r="CY183" s="75"/>
      <c r="CZ183" s="75"/>
      <c r="DA183" s="75"/>
      <c r="DB183" s="75"/>
      <c r="DC183" s="75"/>
      <c r="DD183" s="81"/>
      <c r="DE183" s="74"/>
      <c r="DF183" s="75"/>
      <c r="DG183" s="75"/>
      <c r="DH183" s="75"/>
      <c r="DI183" s="75"/>
      <c r="DJ183" s="75"/>
      <c r="DK183" s="75"/>
      <c r="DL183" s="75"/>
      <c r="DM183" s="75"/>
      <c r="DN183" s="75"/>
      <c r="DO183" s="75"/>
      <c r="DP183" s="81"/>
      <c r="DQ183" s="74"/>
      <c r="DR183" s="75"/>
      <c r="DS183" s="75"/>
      <c r="DT183" s="75"/>
      <c r="DU183" s="75"/>
      <c r="DV183" s="75"/>
      <c r="DW183" s="75"/>
      <c r="DX183" s="75"/>
      <c r="DY183" s="75"/>
      <c r="DZ183" s="75"/>
      <c r="EA183" s="75"/>
      <c r="EB183" s="81"/>
      <c r="EC183" s="74"/>
      <c r="ED183" s="75"/>
      <c r="EE183" s="75"/>
      <c r="EF183" s="75"/>
      <c r="EG183" s="75"/>
      <c r="EH183" s="75"/>
      <c r="EI183" s="75"/>
      <c r="EJ183" s="75"/>
      <c r="EK183" s="75"/>
      <c r="EL183" s="75"/>
      <c r="EM183" s="75"/>
      <c r="EN183" s="81"/>
      <c r="EO183" s="74"/>
      <c r="EP183" s="75"/>
      <c r="EQ183" s="75"/>
      <c r="ER183" s="75"/>
      <c r="ES183" s="75"/>
      <c r="ET183" s="75"/>
      <c r="EU183" s="75"/>
      <c r="EV183" s="75"/>
      <c r="EW183" s="75"/>
      <c r="EX183" s="75"/>
      <c r="EY183" s="75"/>
      <c r="EZ183" s="81"/>
      <c r="FA183" s="74"/>
      <c r="FB183" s="75"/>
      <c r="FC183" s="75"/>
      <c r="FD183" s="75"/>
      <c r="FE183" s="75"/>
      <c r="FF183" s="75"/>
      <c r="FG183" s="75"/>
      <c r="FH183" s="75"/>
      <c r="FI183" s="75"/>
      <c r="FJ183" s="75"/>
      <c r="FK183" s="75"/>
      <c r="FL183" s="81"/>
      <c r="FM183" s="74"/>
      <c r="FN183" s="75"/>
      <c r="FO183" s="75"/>
      <c r="FP183" s="75"/>
      <c r="FQ183" s="75"/>
      <c r="FR183" s="75"/>
      <c r="FS183" s="75"/>
      <c r="FT183" s="75"/>
      <c r="FU183" s="75"/>
      <c r="FV183" s="75"/>
      <c r="FW183" s="75"/>
      <c r="FX183" s="81"/>
      <c r="FY183" s="74"/>
      <c r="FZ183" s="75"/>
      <c r="GA183" s="75"/>
      <c r="GB183" s="75"/>
      <c r="GC183" s="75"/>
      <c r="GD183" s="75"/>
      <c r="GE183" s="75"/>
      <c r="GF183" s="75"/>
      <c r="GG183" s="75"/>
      <c r="GH183" s="75"/>
      <c r="GI183" s="75"/>
      <c r="GJ183" s="81"/>
      <c r="GK183" s="74"/>
      <c r="GL183" s="75"/>
      <c r="GM183" s="75"/>
      <c r="GN183" s="75"/>
      <c r="GO183" s="75"/>
      <c r="GP183" s="75"/>
      <c r="GQ183" s="75"/>
      <c r="GR183" s="75"/>
      <c r="GS183" s="75"/>
      <c r="GT183" s="75"/>
      <c r="GU183" s="75"/>
      <c r="GV183" s="81"/>
      <c r="GW183" s="74"/>
      <c r="GX183" s="75"/>
      <c r="GY183" s="75"/>
      <c r="GZ183" s="75"/>
      <c r="HA183" s="75"/>
      <c r="HB183" s="75"/>
      <c r="HC183" s="75"/>
      <c r="HD183" s="75"/>
      <c r="HE183" s="75"/>
      <c r="HF183" s="75"/>
      <c r="HG183" s="75"/>
      <c r="HH183" s="81"/>
      <c r="HI183" s="75"/>
    </row>
    <row r="184" ht="15.0" customHeight="1">
      <c r="A184" s="74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81"/>
      <c r="M184" s="74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81"/>
      <c r="Y184" s="74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81"/>
      <c r="AK184" s="74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81"/>
      <c r="AW184" s="74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81"/>
      <c r="BI184" s="74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81"/>
      <c r="BU184" s="74"/>
      <c r="BV184" s="75"/>
      <c r="BW184" s="75"/>
      <c r="BX184" s="75"/>
      <c r="BY184" s="75"/>
      <c r="BZ184" s="75"/>
      <c r="CA184" s="75"/>
      <c r="CB184" s="75"/>
      <c r="CC184" s="75"/>
      <c r="CD184" s="75"/>
      <c r="CE184" s="75"/>
      <c r="CF184" s="81"/>
      <c r="CG184" s="74"/>
      <c r="CH184" s="75"/>
      <c r="CI184" s="75"/>
      <c r="CJ184" s="75"/>
      <c r="CK184" s="75"/>
      <c r="CL184" s="75"/>
      <c r="CM184" s="75"/>
      <c r="CN184" s="75"/>
      <c r="CO184" s="75"/>
      <c r="CP184" s="75"/>
      <c r="CQ184" s="75"/>
      <c r="CR184" s="81"/>
      <c r="CS184" s="74"/>
      <c r="CT184" s="75"/>
      <c r="CU184" s="75"/>
      <c r="CV184" s="75"/>
      <c r="CW184" s="75"/>
      <c r="CX184" s="75"/>
      <c r="CY184" s="75"/>
      <c r="CZ184" s="75"/>
      <c r="DA184" s="75"/>
      <c r="DB184" s="75"/>
      <c r="DC184" s="75"/>
      <c r="DD184" s="81"/>
      <c r="DE184" s="74"/>
      <c r="DF184" s="75"/>
      <c r="DG184" s="75"/>
      <c r="DH184" s="75"/>
      <c r="DI184" s="75"/>
      <c r="DJ184" s="75"/>
      <c r="DK184" s="75"/>
      <c r="DL184" s="75"/>
      <c r="DM184" s="75"/>
      <c r="DN184" s="75"/>
      <c r="DO184" s="75"/>
      <c r="DP184" s="81"/>
      <c r="DQ184" s="74"/>
      <c r="DR184" s="75"/>
      <c r="DS184" s="75"/>
      <c r="DT184" s="75"/>
      <c r="DU184" s="75"/>
      <c r="DV184" s="75"/>
      <c r="DW184" s="75"/>
      <c r="DX184" s="75"/>
      <c r="DY184" s="75"/>
      <c r="DZ184" s="75"/>
      <c r="EA184" s="75"/>
      <c r="EB184" s="81"/>
      <c r="EC184" s="74"/>
      <c r="ED184" s="75"/>
      <c r="EE184" s="75"/>
      <c r="EF184" s="75"/>
      <c r="EG184" s="75"/>
      <c r="EH184" s="75"/>
      <c r="EI184" s="75"/>
      <c r="EJ184" s="75"/>
      <c r="EK184" s="75"/>
      <c r="EL184" s="75"/>
      <c r="EM184" s="75"/>
      <c r="EN184" s="81"/>
      <c r="EO184" s="74"/>
      <c r="EP184" s="75"/>
      <c r="EQ184" s="75"/>
      <c r="ER184" s="75"/>
      <c r="ES184" s="75"/>
      <c r="ET184" s="75"/>
      <c r="EU184" s="75"/>
      <c r="EV184" s="75"/>
      <c r="EW184" s="75"/>
      <c r="EX184" s="75"/>
      <c r="EY184" s="75"/>
      <c r="EZ184" s="81"/>
      <c r="FA184" s="74"/>
      <c r="FB184" s="75"/>
      <c r="FC184" s="75"/>
      <c r="FD184" s="75"/>
      <c r="FE184" s="75"/>
      <c r="FF184" s="75"/>
      <c r="FG184" s="75"/>
      <c r="FH184" s="75"/>
      <c r="FI184" s="75"/>
      <c r="FJ184" s="75"/>
      <c r="FK184" s="75"/>
      <c r="FL184" s="81"/>
      <c r="FM184" s="74"/>
      <c r="FN184" s="75"/>
      <c r="FO184" s="75"/>
      <c r="FP184" s="75"/>
      <c r="FQ184" s="75"/>
      <c r="FR184" s="75"/>
      <c r="FS184" s="75"/>
      <c r="FT184" s="75"/>
      <c r="FU184" s="75"/>
      <c r="FV184" s="75"/>
      <c r="FW184" s="75"/>
      <c r="FX184" s="81"/>
      <c r="FY184" s="74"/>
      <c r="FZ184" s="75"/>
      <c r="GA184" s="75"/>
      <c r="GB184" s="75"/>
      <c r="GC184" s="75"/>
      <c r="GD184" s="75"/>
      <c r="GE184" s="75"/>
      <c r="GF184" s="75"/>
      <c r="GG184" s="75"/>
      <c r="GH184" s="75"/>
      <c r="GI184" s="75"/>
      <c r="GJ184" s="81"/>
      <c r="GK184" s="74"/>
      <c r="GL184" s="75"/>
      <c r="GM184" s="75"/>
      <c r="GN184" s="75"/>
      <c r="GO184" s="75"/>
      <c r="GP184" s="75"/>
      <c r="GQ184" s="75"/>
      <c r="GR184" s="75"/>
      <c r="GS184" s="75"/>
      <c r="GT184" s="75"/>
      <c r="GU184" s="75"/>
      <c r="GV184" s="81"/>
      <c r="GW184" s="74"/>
      <c r="GX184" s="75"/>
      <c r="GY184" s="75"/>
      <c r="GZ184" s="75"/>
      <c r="HA184" s="75"/>
      <c r="HB184" s="75"/>
      <c r="HC184" s="75"/>
      <c r="HD184" s="75"/>
      <c r="HE184" s="75"/>
      <c r="HF184" s="75"/>
      <c r="HG184" s="75"/>
      <c r="HH184" s="81"/>
      <c r="HI184" s="75"/>
    </row>
    <row r="185" ht="15.0" customHeight="1">
      <c r="A185" s="74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81"/>
      <c r="M185" s="74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81"/>
      <c r="Y185" s="74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81"/>
      <c r="AK185" s="74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81"/>
      <c r="AW185" s="74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81"/>
      <c r="BI185" s="74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81"/>
      <c r="BU185" s="74"/>
      <c r="BV185" s="75"/>
      <c r="BW185" s="75"/>
      <c r="BX185" s="75"/>
      <c r="BY185" s="75"/>
      <c r="BZ185" s="75"/>
      <c r="CA185" s="75"/>
      <c r="CB185" s="75"/>
      <c r="CC185" s="75"/>
      <c r="CD185" s="75"/>
      <c r="CE185" s="75"/>
      <c r="CF185" s="81"/>
      <c r="CG185" s="74"/>
      <c r="CH185" s="75"/>
      <c r="CI185" s="75"/>
      <c r="CJ185" s="75"/>
      <c r="CK185" s="75"/>
      <c r="CL185" s="75"/>
      <c r="CM185" s="75"/>
      <c r="CN185" s="75"/>
      <c r="CO185" s="75"/>
      <c r="CP185" s="75"/>
      <c r="CQ185" s="75"/>
      <c r="CR185" s="81"/>
      <c r="CS185" s="74"/>
      <c r="CT185" s="75"/>
      <c r="CU185" s="75"/>
      <c r="CV185" s="75"/>
      <c r="CW185" s="75"/>
      <c r="CX185" s="75"/>
      <c r="CY185" s="75"/>
      <c r="CZ185" s="75"/>
      <c r="DA185" s="75"/>
      <c r="DB185" s="75"/>
      <c r="DC185" s="75"/>
      <c r="DD185" s="81"/>
      <c r="DE185" s="74"/>
      <c r="DF185" s="75"/>
      <c r="DG185" s="75"/>
      <c r="DH185" s="75"/>
      <c r="DI185" s="75"/>
      <c r="DJ185" s="75"/>
      <c r="DK185" s="75"/>
      <c r="DL185" s="75"/>
      <c r="DM185" s="75"/>
      <c r="DN185" s="75"/>
      <c r="DO185" s="75"/>
      <c r="DP185" s="81"/>
      <c r="DQ185" s="74"/>
      <c r="DR185" s="75"/>
      <c r="DS185" s="75"/>
      <c r="DT185" s="75"/>
      <c r="DU185" s="75"/>
      <c r="DV185" s="75"/>
      <c r="DW185" s="75"/>
      <c r="DX185" s="75"/>
      <c r="DY185" s="75"/>
      <c r="DZ185" s="75"/>
      <c r="EA185" s="75"/>
      <c r="EB185" s="81"/>
      <c r="EC185" s="74"/>
      <c r="ED185" s="75"/>
      <c r="EE185" s="75"/>
      <c r="EF185" s="75"/>
      <c r="EG185" s="75"/>
      <c r="EH185" s="75"/>
      <c r="EI185" s="75"/>
      <c r="EJ185" s="75"/>
      <c r="EK185" s="75"/>
      <c r="EL185" s="75"/>
      <c r="EM185" s="75"/>
      <c r="EN185" s="81"/>
      <c r="EO185" s="74"/>
      <c r="EP185" s="75"/>
      <c r="EQ185" s="75"/>
      <c r="ER185" s="75"/>
      <c r="ES185" s="75"/>
      <c r="ET185" s="75"/>
      <c r="EU185" s="75"/>
      <c r="EV185" s="75"/>
      <c r="EW185" s="75"/>
      <c r="EX185" s="75"/>
      <c r="EY185" s="75"/>
      <c r="EZ185" s="81"/>
      <c r="FA185" s="74"/>
      <c r="FB185" s="75"/>
      <c r="FC185" s="75"/>
      <c r="FD185" s="75"/>
      <c r="FE185" s="75"/>
      <c r="FF185" s="75"/>
      <c r="FG185" s="75"/>
      <c r="FH185" s="75"/>
      <c r="FI185" s="75"/>
      <c r="FJ185" s="75"/>
      <c r="FK185" s="75"/>
      <c r="FL185" s="81"/>
      <c r="FM185" s="74"/>
      <c r="FN185" s="75"/>
      <c r="FO185" s="75"/>
      <c r="FP185" s="75"/>
      <c r="FQ185" s="75"/>
      <c r="FR185" s="75"/>
      <c r="FS185" s="75"/>
      <c r="FT185" s="75"/>
      <c r="FU185" s="75"/>
      <c r="FV185" s="75"/>
      <c r="FW185" s="75"/>
      <c r="FX185" s="81"/>
      <c r="FY185" s="74"/>
      <c r="FZ185" s="75"/>
      <c r="GA185" s="75"/>
      <c r="GB185" s="75"/>
      <c r="GC185" s="75"/>
      <c r="GD185" s="75"/>
      <c r="GE185" s="75"/>
      <c r="GF185" s="75"/>
      <c r="GG185" s="75"/>
      <c r="GH185" s="75"/>
      <c r="GI185" s="75"/>
      <c r="GJ185" s="81"/>
      <c r="GK185" s="74"/>
      <c r="GL185" s="75"/>
      <c r="GM185" s="75"/>
      <c r="GN185" s="75"/>
      <c r="GO185" s="75"/>
      <c r="GP185" s="75"/>
      <c r="GQ185" s="75"/>
      <c r="GR185" s="75"/>
      <c r="GS185" s="75"/>
      <c r="GT185" s="75"/>
      <c r="GU185" s="75"/>
      <c r="GV185" s="81"/>
      <c r="GW185" s="74"/>
      <c r="GX185" s="75"/>
      <c r="GY185" s="75"/>
      <c r="GZ185" s="75"/>
      <c r="HA185" s="75"/>
      <c r="HB185" s="75"/>
      <c r="HC185" s="75"/>
      <c r="HD185" s="75"/>
      <c r="HE185" s="75"/>
      <c r="HF185" s="75"/>
      <c r="HG185" s="75"/>
      <c r="HH185" s="81"/>
      <c r="HI185" s="75"/>
    </row>
    <row r="186" ht="15.0" customHeight="1">
      <c r="A186" s="74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81"/>
      <c r="M186" s="74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81"/>
      <c r="Y186" s="74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81"/>
      <c r="AK186" s="74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81"/>
      <c r="AW186" s="74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81"/>
      <c r="BI186" s="74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81"/>
      <c r="BU186" s="74"/>
      <c r="BV186" s="75"/>
      <c r="BW186" s="75"/>
      <c r="BX186" s="75"/>
      <c r="BY186" s="75"/>
      <c r="BZ186" s="75"/>
      <c r="CA186" s="75"/>
      <c r="CB186" s="75"/>
      <c r="CC186" s="75"/>
      <c r="CD186" s="75"/>
      <c r="CE186" s="75"/>
      <c r="CF186" s="81"/>
      <c r="CG186" s="74"/>
      <c r="CH186" s="75"/>
      <c r="CI186" s="75"/>
      <c r="CJ186" s="75"/>
      <c r="CK186" s="75"/>
      <c r="CL186" s="75"/>
      <c r="CM186" s="75"/>
      <c r="CN186" s="75"/>
      <c r="CO186" s="75"/>
      <c r="CP186" s="75"/>
      <c r="CQ186" s="75"/>
      <c r="CR186" s="81"/>
      <c r="CS186" s="74"/>
      <c r="CT186" s="75"/>
      <c r="CU186" s="75"/>
      <c r="CV186" s="75"/>
      <c r="CW186" s="75"/>
      <c r="CX186" s="75"/>
      <c r="CY186" s="75"/>
      <c r="CZ186" s="75"/>
      <c r="DA186" s="75"/>
      <c r="DB186" s="75"/>
      <c r="DC186" s="75"/>
      <c r="DD186" s="81"/>
      <c r="DE186" s="74"/>
      <c r="DF186" s="75"/>
      <c r="DG186" s="75"/>
      <c r="DH186" s="75"/>
      <c r="DI186" s="75"/>
      <c r="DJ186" s="75"/>
      <c r="DK186" s="75"/>
      <c r="DL186" s="75"/>
      <c r="DM186" s="75"/>
      <c r="DN186" s="75"/>
      <c r="DO186" s="75"/>
      <c r="DP186" s="81"/>
      <c r="DQ186" s="74"/>
      <c r="DR186" s="75"/>
      <c r="DS186" s="75"/>
      <c r="DT186" s="75"/>
      <c r="DU186" s="75"/>
      <c r="DV186" s="75"/>
      <c r="DW186" s="75"/>
      <c r="DX186" s="75"/>
      <c r="DY186" s="75"/>
      <c r="DZ186" s="75"/>
      <c r="EA186" s="75"/>
      <c r="EB186" s="81"/>
      <c r="EC186" s="74"/>
      <c r="ED186" s="75"/>
      <c r="EE186" s="75"/>
      <c r="EF186" s="75"/>
      <c r="EG186" s="75"/>
      <c r="EH186" s="75"/>
      <c r="EI186" s="75"/>
      <c r="EJ186" s="75"/>
      <c r="EK186" s="75"/>
      <c r="EL186" s="75"/>
      <c r="EM186" s="75"/>
      <c r="EN186" s="81"/>
      <c r="EO186" s="74"/>
      <c r="EP186" s="75"/>
      <c r="EQ186" s="75"/>
      <c r="ER186" s="75"/>
      <c r="ES186" s="75"/>
      <c r="ET186" s="75"/>
      <c r="EU186" s="75"/>
      <c r="EV186" s="75"/>
      <c r="EW186" s="75"/>
      <c r="EX186" s="75"/>
      <c r="EY186" s="75"/>
      <c r="EZ186" s="81"/>
      <c r="FA186" s="74"/>
      <c r="FB186" s="75"/>
      <c r="FC186" s="75"/>
      <c r="FD186" s="75"/>
      <c r="FE186" s="75"/>
      <c r="FF186" s="75"/>
      <c r="FG186" s="75"/>
      <c r="FH186" s="75"/>
      <c r="FI186" s="75"/>
      <c r="FJ186" s="75"/>
      <c r="FK186" s="75"/>
      <c r="FL186" s="81"/>
      <c r="FM186" s="74"/>
      <c r="FN186" s="75"/>
      <c r="FO186" s="75"/>
      <c r="FP186" s="75"/>
      <c r="FQ186" s="75"/>
      <c r="FR186" s="75"/>
      <c r="FS186" s="75"/>
      <c r="FT186" s="75"/>
      <c r="FU186" s="75"/>
      <c r="FV186" s="75"/>
      <c r="FW186" s="75"/>
      <c r="FX186" s="81"/>
      <c r="FY186" s="74"/>
      <c r="FZ186" s="75"/>
      <c r="GA186" s="75"/>
      <c r="GB186" s="75"/>
      <c r="GC186" s="75"/>
      <c r="GD186" s="75"/>
      <c r="GE186" s="75"/>
      <c r="GF186" s="75"/>
      <c r="GG186" s="75"/>
      <c r="GH186" s="75"/>
      <c r="GI186" s="75"/>
      <c r="GJ186" s="81"/>
      <c r="GK186" s="74"/>
      <c r="GL186" s="75"/>
      <c r="GM186" s="75"/>
      <c r="GN186" s="75"/>
      <c r="GO186" s="75"/>
      <c r="GP186" s="75"/>
      <c r="GQ186" s="75"/>
      <c r="GR186" s="75"/>
      <c r="GS186" s="75"/>
      <c r="GT186" s="75"/>
      <c r="GU186" s="75"/>
      <c r="GV186" s="81"/>
      <c r="GW186" s="74"/>
      <c r="GX186" s="75"/>
      <c r="GY186" s="75"/>
      <c r="GZ186" s="75"/>
      <c r="HA186" s="75"/>
      <c r="HB186" s="75"/>
      <c r="HC186" s="75"/>
      <c r="HD186" s="75"/>
      <c r="HE186" s="75"/>
      <c r="HF186" s="75"/>
      <c r="HG186" s="75"/>
      <c r="HH186" s="81"/>
      <c r="HI186" s="75"/>
    </row>
    <row r="187" ht="15.0" customHeight="1">
      <c r="A187" s="74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81"/>
      <c r="M187" s="74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81"/>
      <c r="Y187" s="74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81"/>
      <c r="AK187" s="74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81"/>
      <c r="AW187" s="74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81"/>
      <c r="BI187" s="74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81"/>
      <c r="BU187" s="74"/>
      <c r="BV187" s="75"/>
      <c r="BW187" s="75"/>
      <c r="BX187" s="75"/>
      <c r="BY187" s="75"/>
      <c r="BZ187" s="75"/>
      <c r="CA187" s="75"/>
      <c r="CB187" s="75"/>
      <c r="CC187" s="75"/>
      <c r="CD187" s="75"/>
      <c r="CE187" s="75"/>
      <c r="CF187" s="81"/>
      <c r="CG187" s="74"/>
      <c r="CH187" s="75"/>
      <c r="CI187" s="75"/>
      <c r="CJ187" s="75"/>
      <c r="CK187" s="75"/>
      <c r="CL187" s="75"/>
      <c r="CM187" s="75"/>
      <c r="CN187" s="75"/>
      <c r="CO187" s="75"/>
      <c r="CP187" s="75"/>
      <c r="CQ187" s="75"/>
      <c r="CR187" s="81"/>
      <c r="CS187" s="74"/>
      <c r="CT187" s="75"/>
      <c r="CU187" s="75"/>
      <c r="CV187" s="75"/>
      <c r="CW187" s="75"/>
      <c r="CX187" s="75"/>
      <c r="CY187" s="75"/>
      <c r="CZ187" s="75"/>
      <c r="DA187" s="75"/>
      <c r="DB187" s="75"/>
      <c r="DC187" s="75"/>
      <c r="DD187" s="81"/>
      <c r="DE187" s="74"/>
      <c r="DF187" s="75"/>
      <c r="DG187" s="75"/>
      <c r="DH187" s="75"/>
      <c r="DI187" s="75"/>
      <c r="DJ187" s="75"/>
      <c r="DK187" s="75"/>
      <c r="DL187" s="75"/>
      <c r="DM187" s="75"/>
      <c r="DN187" s="75"/>
      <c r="DO187" s="75"/>
      <c r="DP187" s="81"/>
      <c r="DQ187" s="74"/>
      <c r="DR187" s="75"/>
      <c r="DS187" s="75"/>
      <c r="DT187" s="75"/>
      <c r="DU187" s="75"/>
      <c r="DV187" s="75"/>
      <c r="DW187" s="75"/>
      <c r="DX187" s="75"/>
      <c r="DY187" s="75"/>
      <c r="DZ187" s="75"/>
      <c r="EA187" s="75"/>
      <c r="EB187" s="81"/>
      <c r="EC187" s="74"/>
      <c r="ED187" s="75"/>
      <c r="EE187" s="75"/>
      <c r="EF187" s="75"/>
      <c r="EG187" s="75"/>
      <c r="EH187" s="75"/>
      <c r="EI187" s="75"/>
      <c r="EJ187" s="75"/>
      <c r="EK187" s="75"/>
      <c r="EL187" s="75"/>
      <c r="EM187" s="75"/>
      <c r="EN187" s="81"/>
      <c r="EO187" s="74"/>
      <c r="EP187" s="75"/>
      <c r="EQ187" s="75"/>
      <c r="ER187" s="75"/>
      <c r="ES187" s="75"/>
      <c r="ET187" s="75"/>
      <c r="EU187" s="75"/>
      <c r="EV187" s="75"/>
      <c r="EW187" s="75"/>
      <c r="EX187" s="75"/>
      <c r="EY187" s="75"/>
      <c r="EZ187" s="81"/>
      <c r="FA187" s="74"/>
      <c r="FB187" s="75"/>
      <c r="FC187" s="75"/>
      <c r="FD187" s="75"/>
      <c r="FE187" s="75"/>
      <c r="FF187" s="75"/>
      <c r="FG187" s="75"/>
      <c r="FH187" s="75"/>
      <c r="FI187" s="75"/>
      <c r="FJ187" s="75"/>
      <c r="FK187" s="75"/>
      <c r="FL187" s="81"/>
      <c r="FM187" s="74"/>
      <c r="FN187" s="75"/>
      <c r="FO187" s="75"/>
      <c r="FP187" s="75"/>
      <c r="FQ187" s="75"/>
      <c r="FR187" s="75"/>
      <c r="FS187" s="75"/>
      <c r="FT187" s="75"/>
      <c r="FU187" s="75"/>
      <c r="FV187" s="75"/>
      <c r="FW187" s="75"/>
      <c r="FX187" s="81"/>
      <c r="FY187" s="74"/>
      <c r="FZ187" s="75"/>
      <c r="GA187" s="75"/>
      <c r="GB187" s="75"/>
      <c r="GC187" s="75"/>
      <c r="GD187" s="75"/>
      <c r="GE187" s="75"/>
      <c r="GF187" s="75"/>
      <c r="GG187" s="75"/>
      <c r="GH187" s="75"/>
      <c r="GI187" s="75"/>
      <c r="GJ187" s="81"/>
      <c r="GK187" s="74"/>
      <c r="GL187" s="75"/>
      <c r="GM187" s="75"/>
      <c r="GN187" s="75"/>
      <c r="GO187" s="75"/>
      <c r="GP187" s="75"/>
      <c r="GQ187" s="75"/>
      <c r="GR187" s="75"/>
      <c r="GS187" s="75"/>
      <c r="GT187" s="75"/>
      <c r="GU187" s="75"/>
      <c r="GV187" s="81"/>
      <c r="GW187" s="74"/>
      <c r="GX187" s="75"/>
      <c r="GY187" s="75"/>
      <c r="GZ187" s="75"/>
      <c r="HA187" s="75"/>
      <c r="HB187" s="75"/>
      <c r="HC187" s="75"/>
      <c r="HD187" s="75"/>
      <c r="HE187" s="75"/>
      <c r="HF187" s="75"/>
      <c r="HG187" s="75"/>
      <c r="HH187" s="81"/>
      <c r="HI187" s="75"/>
    </row>
    <row r="188" ht="15.0" customHeight="1">
      <c r="A188" s="74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81"/>
      <c r="M188" s="74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81"/>
      <c r="Y188" s="74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81"/>
      <c r="AK188" s="74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81"/>
      <c r="AW188" s="74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81"/>
      <c r="BI188" s="74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81"/>
      <c r="BU188" s="74"/>
      <c r="BV188" s="75"/>
      <c r="BW188" s="75"/>
      <c r="BX188" s="75"/>
      <c r="BY188" s="75"/>
      <c r="BZ188" s="75"/>
      <c r="CA188" s="75"/>
      <c r="CB188" s="75"/>
      <c r="CC188" s="75"/>
      <c r="CD188" s="75"/>
      <c r="CE188" s="75"/>
      <c r="CF188" s="81"/>
      <c r="CG188" s="74"/>
      <c r="CH188" s="75"/>
      <c r="CI188" s="75"/>
      <c r="CJ188" s="75"/>
      <c r="CK188" s="75"/>
      <c r="CL188" s="75"/>
      <c r="CM188" s="75"/>
      <c r="CN188" s="75"/>
      <c r="CO188" s="75"/>
      <c r="CP188" s="75"/>
      <c r="CQ188" s="75"/>
      <c r="CR188" s="81"/>
      <c r="CS188" s="74"/>
      <c r="CT188" s="75"/>
      <c r="CU188" s="75"/>
      <c r="CV188" s="75"/>
      <c r="CW188" s="75"/>
      <c r="CX188" s="75"/>
      <c r="CY188" s="75"/>
      <c r="CZ188" s="75"/>
      <c r="DA188" s="75"/>
      <c r="DB188" s="75"/>
      <c r="DC188" s="75"/>
      <c r="DD188" s="81"/>
      <c r="DE188" s="74"/>
      <c r="DF188" s="75"/>
      <c r="DG188" s="75"/>
      <c r="DH188" s="75"/>
      <c r="DI188" s="75"/>
      <c r="DJ188" s="75"/>
      <c r="DK188" s="75"/>
      <c r="DL188" s="75"/>
      <c r="DM188" s="75"/>
      <c r="DN188" s="75"/>
      <c r="DO188" s="75"/>
      <c r="DP188" s="81"/>
      <c r="DQ188" s="74"/>
      <c r="DR188" s="75"/>
      <c r="DS188" s="75"/>
      <c r="DT188" s="75"/>
      <c r="DU188" s="75"/>
      <c r="DV188" s="75"/>
      <c r="DW188" s="75"/>
      <c r="DX188" s="75"/>
      <c r="DY188" s="75"/>
      <c r="DZ188" s="75"/>
      <c r="EA188" s="75"/>
      <c r="EB188" s="81"/>
      <c r="EC188" s="74"/>
      <c r="ED188" s="75"/>
      <c r="EE188" s="75"/>
      <c r="EF188" s="75"/>
      <c r="EG188" s="75"/>
      <c r="EH188" s="75"/>
      <c r="EI188" s="75"/>
      <c r="EJ188" s="75"/>
      <c r="EK188" s="75"/>
      <c r="EL188" s="75"/>
      <c r="EM188" s="75"/>
      <c r="EN188" s="81"/>
      <c r="EO188" s="74"/>
      <c r="EP188" s="75"/>
      <c r="EQ188" s="75"/>
      <c r="ER188" s="75"/>
      <c r="ES188" s="75"/>
      <c r="ET188" s="75"/>
      <c r="EU188" s="75"/>
      <c r="EV188" s="75"/>
      <c r="EW188" s="75"/>
      <c r="EX188" s="75"/>
      <c r="EY188" s="75"/>
      <c r="EZ188" s="81"/>
      <c r="FA188" s="74"/>
      <c r="FB188" s="75"/>
      <c r="FC188" s="75"/>
      <c r="FD188" s="75"/>
      <c r="FE188" s="75"/>
      <c r="FF188" s="75"/>
      <c r="FG188" s="75"/>
      <c r="FH188" s="75"/>
      <c r="FI188" s="75"/>
      <c r="FJ188" s="75"/>
      <c r="FK188" s="75"/>
      <c r="FL188" s="81"/>
      <c r="FM188" s="74"/>
      <c r="FN188" s="75"/>
      <c r="FO188" s="75"/>
      <c r="FP188" s="75"/>
      <c r="FQ188" s="75"/>
      <c r="FR188" s="75"/>
      <c r="FS188" s="75"/>
      <c r="FT188" s="75"/>
      <c r="FU188" s="75"/>
      <c r="FV188" s="75"/>
      <c r="FW188" s="75"/>
      <c r="FX188" s="81"/>
      <c r="FY188" s="74"/>
      <c r="FZ188" s="75"/>
      <c r="GA188" s="75"/>
      <c r="GB188" s="75"/>
      <c r="GC188" s="75"/>
      <c r="GD188" s="75"/>
      <c r="GE188" s="75"/>
      <c r="GF188" s="75"/>
      <c r="GG188" s="75"/>
      <c r="GH188" s="75"/>
      <c r="GI188" s="75"/>
      <c r="GJ188" s="81"/>
      <c r="GK188" s="74"/>
      <c r="GL188" s="75"/>
      <c r="GM188" s="75"/>
      <c r="GN188" s="75"/>
      <c r="GO188" s="75"/>
      <c r="GP188" s="75"/>
      <c r="GQ188" s="75"/>
      <c r="GR188" s="75"/>
      <c r="GS188" s="75"/>
      <c r="GT188" s="75"/>
      <c r="GU188" s="75"/>
      <c r="GV188" s="81"/>
      <c r="GW188" s="74"/>
      <c r="GX188" s="75"/>
      <c r="GY188" s="75"/>
      <c r="GZ188" s="75"/>
      <c r="HA188" s="75"/>
      <c r="HB188" s="75"/>
      <c r="HC188" s="75"/>
      <c r="HD188" s="75"/>
      <c r="HE188" s="75"/>
      <c r="HF188" s="75"/>
      <c r="HG188" s="75"/>
      <c r="HH188" s="81"/>
      <c r="HI188" s="75"/>
    </row>
    <row r="189" ht="15.0" customHeight="1">
      <c r="A189" s="74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81"/>
      <c r="M189" s="74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81"/>
      <c r="Y189" s="74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81"/>
      <c r="AK189" s="74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81"/>
      <c r="AW189" s="74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81"/>
      <c r="BI189" s="74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81"/>
      <c r="BU189" s="74"/>
      <c r="BV189" s="75"/>
      <c r="BW189" s="75"/>
      <c r="BX189" s="75"/>
      <c r="BY189" s="75"/>
      <c r="BZ189" s="75"/>
      <c r="CA189" s="75"/>
      <c r="CB189" s="75"/>
      <c r="CC189" s="75"/>
      <c r="CD189" s="75"/>
      <c r="CE189" s="75"/>
      <c r="CF189" s="81"/>
      <c r="CG189" s="74"/>
      <c r="CH189" s="75"/>
      <c r="CI189" s="75"/>
      <c r="CJ189" s="75"/>
      <c r="CK189" s="75"/>
      <c r="CL189" s="75"/>
      <c r="CM189" s="75"/>
      <c r="CN189" s="75"/>
      <c r="CO189" s="75"/>
      <c r="CP189" s="75"/>
      <c r="CQ189" s="75"/>
      <c r="CR189" s="81"/>
      <c r="CS189" s="74"/>
      <c r="CT189" s="75"/>
      <c r="CU189" s="75"/>
      <c r="CV189" s="75"/>
      <c r="CW189" s="75"/>
      <c r="CX189" s="75"/>
      <c r="CY189" s="75"/>
      <c r="CZ189" s="75"/>
      <c r="DA189" s="75"/>
      <c r="DB189" s="75"/>
      <c r="DC189" s="75"/>
      <c r="DD189" s="81"/>
      <c r="DE189" s="74"/>
      <c r="DF189" s="75"/>
      <c r="DG189" s="75"/>
      <c r="DH189" s="75"/>
      <c r="DI189" s="75"/>
      <c r="DJ189" s="75"/>
      <c r="DK189" s="75"/>
      <c r="DL189" s="75"/>
      <c r="DM189" s="75"/>
      <c r="DN189" s="75"/>
      <c r="DO189" s="75"/>
      <c r="DP189" s="81"/>
      <c r="DQ189" s="74"/>
      <c r="DR189" s="75"/>
      <c r="DS189" s="75"/>
      <c r="DT189" s="75"/>
      <c r="DU189" s="75"/>
      <c r="DV189" s="75"/>
      <c r="DW189" s="75"/>
      <c r="DX189" s="75"/>
      <c r="DY189" s="75"/>
      <c r="DZ189" s="75"/>
      <c r="EA189" s="75"/>
      <c r="EB189" s="81"/>
      <c r="EC189" s="74"/>
      <c r="ED189" s="75"/>
      <c r="EE189" s="75"/>
      <c r="EF189" s="75"/>
      <c r="EG189" s="75"/>
      <c r="EH189" s="75"/>
      <c r="EI189" s="75"/>
      <c r="EJ189" s="75"/>
      <c r="EK189" s="75"/>
      <c r="EL189" s="75"/>
      <c r="EM189" s="75"/>
      <c r="EN189" s="81"/>
      <c r="EO189" s="74"/>
      <c r="EP189" s="75"/>
      <c r="EQ189" s="75"/>
      <c r="ER189" s="75"/>
      <c r="ES189" s="75"/>
      <c r="ET189" s="75"/>
      <c r="EU189" s="75"/>
      <c r="EV189" s="75"/>
      <c r="EW189" s="75"/>
      <c r="EX189" s="75"/>
      <c r="EY189" s="75"/>
      <c r="EZ189" s="81"/>
      <c r="FA189" s="74"/>
      <c r="FB189" s="75"/>
      <c r="FC189" s="75"/>
      <c r="FD189" s="75"/>
      <c r="FE189" s="75"/>
      <c r="FF189" s="75"/>
      <c r="FG189" s="75"/>
      <c r="FH189" s="75"/>
      <c r="FI189" s="75"/>
      <c r="FJ189" s="75"/>
      <c r="FK189" s="75"/>
      <c r="FL189" s="81"/>
      <c r="FM189" s="74"/>
      <c r="FN189" s="75"/>
      <c r="FO189" s="75"/>
      <c r="FP189" s="75"/>
      <c r="FQ189" s="75"/>
      <c r="FR189" s="75"/>
      <c r="FS189" s="75"/>
      <c r="FT189" s="75"/>
      <c r="FU189" s="75"/>
      <c r="FV189" s="75"/>
      <c r="FW189" s="75"/>
      <c r="FX189" s="81"/>
      <c r="FY189" s="74"/>
      <c r="FZ189" s="75"/>
      <c r="GA189" s="75"/>
      <c r="GB189" s="75"/>
      <c r="GC189" s="75"/>
      <c r="GD189" s="75"/>
      <c r="GE189" s="75"/>
      <c r="GF189" s="75"/>
      <c r="GG189" s="75"/>
      <c r="GH189" s="75"/>
      <c r="GI189" s="75"/>
      <c r="GJ189" s="81"/>
      <c r="GK189" s="74"/>
      <c r="GL189" s="75"/>
      <c r="GM189" s="75"/>
      <c r="GN189" s="75"/>
      <c r="GO189" s="75"/>
      <c r="GP189" s="75"/>
      <c r="GQ189" s="75"/>
      <c r="GR189" s="75"/>
      <c r="GS189" s="75"/>
      <c r="GT189" s="75"/>
      <c r="GU189" s="75"/>
      <c r="GV189" s="81"/>
      <c r="GW189" s="74"/>
      <c r="GX189" s="75"/>
      <c r="GY189" s="75"/>
      <c r="GZ189" s="75"/>
      <c r="HA189" s="75"/>
      <c r="HB189" s="75"/>
      <c r="HC189" s="75"/>
      <c r="HD189" s="75"/>
      <c r="HE189" s="75"/>
      <c r="HF189" s="75"/>
      <c r="HG189" s="75"/>
      <c r="HH189" s="81"/>
      <c r="HI189" s="75"/>
    </row>
    <row r="190" ht="15.0" customHeight="1">
      <c r="A190" s="74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81"/>
      <c r="M190" s="74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81"/>
      <c r="Y190" s="74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81"/>
      <c r="AK190" s="74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81"/>
      <c r="AW190" s="74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81"/>
      <c r="BI190" s="74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81"/>
      <c r="BU190" s="74"/>
      <c r="BV190" s="75"/>
      <c r="BW190" s="75"/>
      <c r="BX190" s="75"/>
      <c r="BY190" s="75"/>
      <c r="BZ190" s="75"/>
      <c r="CA190" s="75"/>
      <c r="CB190" s="75"/>
      <c r="CC190" s="75"/>
      <c r="CD190" s="75"/>
      <c r="CE190" s="75"/>
      <c r="CF190" s="81"/>
      <c r="CG190" s="74"/>
      <c r="CH190" s="75"/>
      <c r="CI190" s="75"/>
      <c r="CJ190" s="75"/>
      <c r="CK190" s="75"/>
      <c r="CL190" s="75"/>
      <c r="CM190" s="75"/>
      <c r="CN190" s="75"/>
      <c r="CO190" s="75"/>
      <c r="CP190" s="75"/>
      <c r="CQ190" s="75"/>
      <c r="CR190" s="81"/>
      <c r="CS190" s="74"/>
      <c r="CT190" s="75"/>
      <c r="CU190" s="75"/>
      <c r="CV190" s="75"/>
      <c r="CW190" s="75"/>
      <c r="CX190" s="75"/>
      <c r="CY190" s="75"/>
      <c r="CZ190" s="75"/>
      <c r="DA190" s="75"/>
      <c r="DB190" s="75"/>
      <c r="DC190" s="75"/>
      <c r="DD190" s="81"/>
      <c r="DE190" s="74"/>
      <c r="DF190" s="75"/>
      <c r="DG190" s="75"/>
      <c r="DH190" s="75"/>
      <c r="DI190" s="75"/>
      <c r="DJ190" s="75"/>
      <c r="DK190" s="75"/>
      <c r="DL190" s="75"/>
      <c r="DM190" s="75"/>
      <c r="DN190" s="75"/>
      <c r="DO190" s="75"/>
      <c r="DP190" s="81"/>
      <c r="DQ190" s="74"/>
      <c r="DR190" s="75"/>
      <c r="DS190" s="75"/>
      <c r="DT190" s="75"/>
      <c r="DU190" s="75"/>
      <c r="DV190" s="75"/>
      <c r="DW190" s="75"/>
      <c r="DX190" s="75"/>
      <c r="DY190" s="75"/>
      <c r="DZ190" s="75"/>
      <c r="EA190" s="75"/>
      <c r="EB190" s="81"/>
      <c r="EC190" s="74"/>
      <c r="ED190" s="75"/>
      <c r="EE190" s="75"/>
      <c r="EF190" s="75"/>
      <c r="EG190" s="75"/>
      <c r="EH190" s="75"/>
      <c r="EI190" s="75"/>
      <c r="EJ190" s="75"/>
      <c r="EK190" s="75"/>
      <c r="EL190" s="75"/>
      <c r="EM190" s="75"/>
      <c r="EN190" s="81"/>
      <c r="EO190" s="74"/>
      <c r="EP190" s="75"/>
      <c r="EQ190" s="75"/>
      <c r="ER190" s="75"/>
      <c r="ES190" s="75"/>
      <c r="ET190" s="75"/>
      <c r="EU190" s="75"/>
      <c r="EV190" s="75"/>
      <c r="EW190" s="75"/>
      <c r="EX190" s="75"/>
      <c r="EY190" s="75"/>
      <c r="EZ190" s="81"/>
      <c r="FA190" s="74"/>
      <c r="FB190" s="75"/>
      <c r="FC190" s="75"/>
      <c r="FD190" s="75"/>
      <c r="FE190" s="75"/>
      <c r="FF190" s="75"/>
      <c r="FG190" s="75"/>
      <c r="FH190" s="75"/>
      <c r="FI190" s="75"/>
      <c r="FJ190" s="75"/>
      <c r="FK190" s="75"/>
      <c r="FL190" s="81"/>
      <c r="FM190" s="74"/>
      <c r="FN190" s="75"/>
      <c r="FO190" s="75"/>
      <c r="FP190" s="75"/>
      <c r="FQ190" s="75"/>
      <c r="FR190" s="75"/>
      <c r="FS190" s="75"/>
      <c r="FT190" s="75"/>
      <c r="FU190" s="75"/>
      <c r="FV190" s="75"/>
      <c r="FW190" s="75"/>
      <c r="FX190" s="81"/>
      <c r="FY190" s="74"/>
      <c r="FZ190" s="75"/>
      <c r="GA190" s="75"/>
      <c r="GB190" s="75"/>
      <c r="GC190" s="75"/>
      <c r="GD190" s="75"/>
      <c r="GE190" s="75"/>
      <c r="GF190" s="75"/>
      <c r="GG190" s="75"/>
      <c r="GH190" s="75"/>
      <c r="GI190" s="75"/>
      <c r="GJ190" s="81"/>
      <c r="GK190" s="74"/>
      <c r="GL190" s="75"/>
      <c r="GM190" s="75"/>
      <c r="GN190" s="75"/>
      <c r="GO190" s="75"/>
      <c r="GP190" s="75"/>
      <c r="GQ190" s="75"/>
      <c r="GR190" s="75"/>
      <c r="GS190" s="75"/>
      <c r="GT190" s="75"/>
      <c r="GU190" s="75"/>
      <c r="GV190" s="81"/>
      <c r="GW190" s="74"/>
      <c r="GX190" s="75"/>
      <c r="GY190" s="75"/>
      <c r="GZ190" s="75"/>
      <c r="HA190" s="75"/>
      <c r="HB190" s="75"/>
      <c r="HC190" s="75"/>
      <c r="HD190" s="75"/>
      <c r="HE190" s="75"/>
      <c r="HF190" s="75"/>
      <c r="HG190" s="75"/>
      <c r="HH190" s="81"/>
      <c r="HI190" s="75"/>
    </row>
    <row r="191" ht="15.0" customHeight="1">
      <c r="A191" s="74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81"/>
      <c r="M191" s="74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81"/>
      <c r="Y191" s="74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81"/>
      <c r="AK191" s="74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81"/>
      <c r="AW191" s="74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81"/>
      <c r="BI191" s="74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81"/>
      <c r="BU191" s="74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81"/>
      <c r="CG191" s="74"/>
      <c r="CH191" s="75"/>
      <c r="CI191" s="75"/>
      <c r="CJ191" s="75"/>
      <c r="CK191" s="75"/>
      <c r="CL191" s="75"/>
      <c r="CM191" s="75"/>
      <c r="CN191" s="75"/>
      <c r="CO191" s="75"/>
      <c r="CP191" s="75"/>
      <c r="CQ191" s="75"/>
      <c r="CR191" s="81"/>
      <c r="CS191" s="74"/>
      <c r="CT191" s="75"/>
      <c r="CU191" s="75"/>
      <c r="CV191" s="75"/>
      <c r="CW191" s="75"/>
      <c r="CX191" s="75"/>
      <c r="CY191" s="75"/>
      <c r="CZ191" s="75"/>
      <c r="DA191" s="75"/>
      <c r="DB191" s="75"/>
      <c r="DC191" s="75"/>
      <c r="DD191" s="81"/>
      <c r="DE191" s="74"/>
      <c r="DF191" s="75"/>
      <c r="DG191" s="75"/>
      <c r="DH191" s="75"/>
      <c r="DI191" s="75"/>
      <c r="DJ191" s="75"/>
      <c r="DK191" s="75"/>
      <c r="DL191" s="75"/>
      <c r="DM191" s="75"/>
      <c r="DN191" s="75"/>
      <c r="DO191" s="75"/>
      <c r="DP191" s="81"/>
      <c r="DQ191" s="74"/>
      <c r="DR191" s="75"/>
      <c r="DS191" s="75"/>
      <c r="DT191" s="75"/>
      <c r="DU191" s="75"/>
      <c r="DV191" s="75"/>
      <c r="DW191" s="75"/>
      <c r="DX191" s="75"/>
      <c r="DY191" s="75"/>
      <c r="DZ191" s="75"/>
      <c r="EA191" s="75"/>
      <c r="EB191" s="81"/>
      <c r="EC191" s="74"/>
      <c r="ED191" s="75"/>
      <c r="EE191" s="75"/>
      <c r="EF191" s="75"/>
      <c r="EG191" s="75"/>
      <c r="EH191" s="75"/>
      <c r="EI191" s="75"/>
      <c r="EJ191" s="75"/>
      <c r="EK191" s="75"/>
      <c r="EL191" s="75"/>
      <c r="EM191" s="75"/>
      <c r="EN191" s="81"/>
      <c r="EO191" s="74"/>
      <c r="EP191" s="75"/>
      <c r="EQ191" s="75"/>
      <c r="ER191" s="75"/>
      <c r="ES191" s="75"/>
      <c r="ET191" s="75"/>
      <c r="EU191" s="75"/>
      <c r="EV191" s="75"/>
      <c r="EW191" s="75"/>
      <c r="EX191" s="75"/>
      <c r="EY191" s="75"/>
      <c r="EZ191" s="81"/>
      <c r="FA191" s="74"/>
      <c r="FB191" s="75"/>
      <c r="FC191" s="75"/>
      <c r="FD191" s="75"/>
      <c r="FE191" s="75"/>
      <c r="FF191" s="75"/>
      <c r="FG191" s="75"/>
      <c r="FH191" s="75"/>
      <c r="FI191" s="75"/>
      <c r="FJ191" s="75"/>
      <c r="FK191" s="75"/>
      <c r="FL191" s="81"/>
      <c r="FM191" s="74"/>
      <c r="FN191" s="75"/>
      <c r="FO191" s="75"/>
      <c r="FP191" s="75"/>
      <c r="FQ191" s="75"/>
      <c r="FR191" s="75"/>
      <c r="FS191" s="75"/>
      <c r="FT191" s="75"/>
      <c r="FU191" s="75"/>
      <c r="FV191" s="75"/>
      <c r="FW191" s="75"/>
      <c r="FX191" s="81"/>
      <c r="FY191" s="74"/>
      <c r="FZ191" s="75"/>
      <c r="GA191" s="75"/>
      <c r="GB191" s="75"/>
      <c r="GC191" s="75"/>
      <c r="GD191" s="75"/>
      <c r="GE191" s="75"/>
      <c r="GF191" s="75"/>
      <c r="GG191" s="75"/>
      <c r="GH191" s="75"/>
      <c r="GI191" s="75"/>
      <c r="GJ191" s="81"/>
      <c r="GK191" s="74"/>
      <c r="GL191" s="75"/>
      <c r="GM191" s="75"/>
      <c r="GN191" s="75"/>
      <c r="GO191" s="75"/>
      <c r="GP191" s="75"/>
      <c r="GQ191" s="75"/>
      <c r="GR191" s="75"/>
      <c r="GS191" s="75"/>
      <c r="GT191" s="75"/>
      <c r="GU191" s="75"/>
      <c r="GV191" s="81"/>
      <c r="GW191" s="74"/>
      <c r="GX191" s="75"/>
      <c r="GY191" s="75"/>
      <c r="GZ191" s="75"/>
      <c r="HA191" s="75"/>
      <c r="HB191" s="75"/>
      <c r="HC191" s="75"/>
      <c r="HD191" s="75"/>
      <c r="HE191" s="75"/>
      <c r="HF191" s="75"/>
      <c r="HG191" s="75"/>
      <c r="HH191" s="81"/>
      <c r="HI191" s="75"/>
    </row>
    <row r="192" ht="15.0" customHeight="1">
      <c r="A192" s="74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81"/>
      <c r="M192" s="74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81"/>
      <c r="Y192" s="74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81"/>
      <c r="AK192" s="74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81"/>
      <c r="AW192" s="74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81"/>
      <c r="BI192" s="74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81"/>
      <c r="BU192" s="74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81"/>
      <c r="CG192" s="74"/>
      <c r="CH192" s="75"/>
      <c r="CI192" s="75"/>
      <c r="CJ192" s="75"/>
      <c r="CK192" s="75"/>
      <c r="CL192" s="75"/>
      <c r="CM192" s="75"/>
      <c r="CN192" s="75"/>
      <c r="CO192" s="75"/>
      <c r="CP192" s="75"/>
      <c r="CQ192" s="75"/>
      <c r="CR192" s="81"/>
      <c r="CS192" s="74"/>
      <c r="CT192" s="75"/>
      <c r="CU192" s="75"/>
      <c r="CV192" s="75"/>
      <c r="CW192" s="75"/>
      <c r="CX192" s="75"/>
      <c r="CY192" s="75"/>
      <c r="CZ192" s="75"/>
      <c r="DA192" s="75"/>
      <c r="DB192" s="75"/>
      <c r="DC192" s="75"/>
      <c r="DD192" s="81"/>
      <c r="DE192" s="74"/>
      <c r="DF192" s="75"/>
      <c r="DG192" s="75"/>
      <c r="DH192" s="75"/>
      <c r="DI192" s="75"/>
      <c r="DJ192" s="75"/>
      <c r="DK192" s="75"/>
      <c r="DL192" s="75"/>
      <c r="DM192" s="75"/>
      <c r="DN192" s="75"/>
      <c r="DO192" s="75"/>
      <c r="DP192" s="81"/>
      <c r="DQ192" s="74"/>
      <c r="DR192" s="75"/>
      <c r="DS192" s="75"/>
      <c r="DT192" s="75"/>
      <c r="DU192" s="75"/>
      <c r="DV192" s="75"/>
      <c r="DW192" s="75"/>
      <c r="DX192" s="75"/>
      <c r="DY192" s="75"/>
      <c r="DZ192" s="75"/>
      <c r="EA192" s="75"/>
      <c r="EB192" s="81"/>
      <c r="EC192" s="74"/>
      <c r="ED192" s="75"/>
      <c r="EE192" s="75"/>
      <c r="EF192" s="75"/>
      <c r="EG192" s="75"/>
      <c r="EH192" s="75"/>
      <c r="EI192" s="75"/>
      <c r="EJ192" s="75"/>
      <c r="EK192" s="75"/>
      <c r="EL192" s="75"/>
      <c r="EM192" s="75"/>
      <c r="EN192" s="81"/>
      <c r="EO192" s="74"/>
      <c r="EP192" s="75"/>
      <c r="EQ192" s="75"/>
      <c r="ER192" s="75"/>
      <c r="ES192" s="75"/>
      <c r="ET192" s="75"/>
      <c r="EU192" s="75"/>
      <c r="EV192" s="75"/>
      <c r="EW192" s="75"/>
      <c r="EX192" s="75"/>
      <c r="EY192" s="75"/>
      <c r="EZ192" s="81"/>
      <c r="FA192" s="74"/>
      <c r="FB192" s="75"/>
      <c r="FC192" s="75"/>
      <c r="FD192" s="75"/>
      <c r="FE192" s="75"/>
      <c r="FF192" s="75"/>
      <c r="FG192" s="75"/>
      <c r="FH192" s="75"/>
      <c r="FI192" s="75"/>
      <c r="FJ192" s="75"/>
      <c r="FK192" s="75"/>
      <c r="FL192" s="81"/>
      <c r="FM192" s="74"/>
      <c r="FN192" s="75"/>
      <c r="FO192" s="75"/>
      <c r="FP192" s="75"/>
      <c r="FQ192" s="75"/>
      <c r="FR192" s="75"/>
      <c r="FS192" s="75"/>
      <c r="FT192" s="75"/>
      <c r="FU192" s="75"/>
      <c r="FV192" s="75"/>
      <c r="FW192" s="75"/>
      <c r="FX192" s="81"/>
      <c r="FY192" s="74"/>
      <c r="FZ192" s="75"/>
      <c r="GA192" s="75"/>
      <c r="GB192" s="75"/>
      <c r="GC192" s="75"/>
      <c r="GD192" s="75"/>
      <c r="GE192" s="75"/>
      <c r="GF192" s="75"/>
      <c r="GG192" s="75"/>
      <c r="GH192" s="75"/>
      <c r="GI192" s="75"/>
      <c r="GJ192" s="81"/>
      <c r="GK192" s="74"/>
      <c r="GL192" s="75"/>
      <c r="GM192" s="75"/>
      <c r="GN192" s="75"/>
      <c r="GO192" s="75"/>
      <c r="GP192" s="75"/>
      <c r="GQ192" s="75"/>
      <c r="GR192" s="75"/>
      <c r="GS192" s="75"/>
      <c r="GT192" s="75"/>
      <c r="GU192" s="75"/>
      <c r="GV192" s="81"/>
      <c r="GW192" s="74"/>
      <c r="GX192" s="75"/>
      <c r="GY192" s="75"/>
      <c r="GZ192" s="75"/>
      <c r="HA192" s="75"/>
      <c r="HB192" s="75"/>
      <c r="HC192" s="75"/>
      <c r="HD192" s="75"/>
      <c r="HE192" s="75"/>
      <c r="HF192" s="75"/>
      <c r="HG192" s="75"/>
      <c r="HH192" s="81"/>
      <c r="HI192" s="75"/>
    </row>
    <row r="193" ht="15.0" customHeight="1">
      <c r="A193" s="74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81"/>
      <c r="M193" s="74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81"/>
      <c r="Y193" s="74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81"/>
      <c r="AK193" s="74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81"/>
      <c r="AW193" s="74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81"/>
      <c r="BI193" s="74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81"/>
      <c r="BU193" s="74"/>
      <c r="BV193" s="75"/>
      <c r="BW193" s="75"/>
      <c r="BX193" s="75"/>
      <c r="BY193" s="75"/>
      <c r="BZ193" s="75"/>
      <c r="CA193" s="75"/>
      <c r="CB193" s="75"/>
      <c r="CC193" s="75"/>
      <c r="CD193" s="75"/>
      <c r="CE193" s="75"/>
      <c r="CF193" s="81"/>
      <c r="CG193" s="74"/>
      <c r="CH193" s="75"/>
      <c r="CI193" s="75"/>
      <c r="CJ193" s="75"/>
      <c r="CK193" s="75"/>
      <c r="CL193" s="75"/>
      <c r="CM193" s="75"/>
      <c r="CN193" s="75"/>
      <c r="CO193" s="75"/>
      <c r="CP193" s="75"/>
      <c r="CQ193" s="75"/>
      <c r="CR193" s="81"/>
      <c r="CS193" s="74"/>
      <c r="CT193" s="75"/>
      <c r="CU193" s="75"/>
      <c r="CV193" s="75"/>
      <c r="CW193" s="75"/>
      <c r="CX193" s="75"/>
      <c r="CY193" s="75"/>
      <c r="CZ193" s="75"/>
      <c r="DA193" s="75"/>
      <c r="DB193" s="75"/>
      <c r="DC193" s="75"/>
      <c r="DD193" s="81"/>
      <c r="DE193" s="74"/>
      <c r="DF193" s="75"/>
      <c r="DG193" s="75"/>
      <c r="DH193" s="75"/>
      <c r="DI193" s="75"/>
      <c r="DJ193" s="75"/>
      <c r="DK193" s="75"/>
      <c r="DL193" s="75"/>
      <c r="DM193" s="75"/>
      <c r="DN193" s="75"/>
      <c r="DO193" s="75"/>
      <c r="DP193" s="81"/>
      <c r="DQ193" s="74"/>
      <c r="DR193" s="75"/>
      <c r="DS193" s="75"/>
      <c r="DT193" s="75"/>
      <c r="DU193" s="75"/>
      <c r="DV193" s="75"/>
      <c r="DW193" s="75"/>
      <c r="DX193" s="75"/>
      <c r="DY193" s="75"/>
      <c r="DZ193" s="75"/>
      <c r="EA193" s="75"/>
      <c r="EB193" s="81"/>
      <c r="EC193" s="74"/>
      <c r="ED193" s="75"/>
      <c r="EE193" s="75"/>
      <c r="EF193" s="75"/>
      <c r="EG193" s="75"/>
      <c r="EH193" s="75"/>
      <c r="EI193" s="75"/>
      <c r="EJ193" s="75"/>
      <c r="EK193" s="75"/>
      <c r="EL193" s="75"/>
      <c r="EM193" s="75"/>
      <c r="EN193" s="81"/>
      <c r="EO193" s="74"/>
      <c r="EP193" s="75"/>
      <c r="EQ193" s="75"/>
      <c r="ER193" s="75"/>
      <c r="ES193" s="75"/>
      <c r="ET193" s="75"/>
      <c r="EU193" s="75"/>
      <c r="EV193" s="75"/>
      <c r="EW193" s="75"/>
      <c r="EX193" s="75"/>
      <c r="EY193" s="75"/>
      <c r="EZ193" s="81"/>
      <c r="FA193" s="74"/>
      <c r="FB193" s="75"/>
      <c r="FC193" s="75"/>
      <c r="FD193" s="75"/>
      <c r="FE193" s="75"/>
      <c r="FF193" s="75"/>
      <c r="FG193" s="75"/>
      <c r="FH193" s="75"/>
      <c r="FI193" s="75"/>
      <c r="FJ193" s="75"/>
      <c r="FK193" s="75"/>
      <c r="FL193" s="81"/>
      <c r="FM193" s="74"/>
      <c r="FN193" s="75"/>
      <c r="FO193" s="75"/>
      <c r="FP193" s="75"/>
      <c r="FQ193" s="75"/>
      <c r="FR193" s="75"/>
      <c r="FS193" s="75"/>
      <c r="FT193" s="75"/>
      <c r="FU193" s="75"/>
      <c r="FV193" s="75"/>
      <c r="FW193" s="75"/>
      <c r="FX193" s="81"/>
      <c r="FY193" s="74"/>
      <c r="FZ193" s="75"/>
      <c r="GA193" s="75"/>
      <c r="GB193" s="75"/>
      <c r="GC193" s="75"/>
      <c r="GD193" s="75"/>
      <c r="GE193" s="75"/>
      <c r="GF193" s="75"/>
      <c r="GG193" s="75"/>
      <c r="GH193" s="75"/>
      <c r="GI193" s="75"/>
      <c r="GJ193" s="81"/>
      <c r="GK193" s="74"/>
      <c r="GL193" s="75"/>
      <c r="GM193" s="75"/>
      <c r="GN193" s="75"/>
      <c r="GO193" s="75"/>
      <c r="GP193" s="75"/>
      <c r="GQ193" s="75"/>
      <c r="GR193" s="75"/>
      <c r="GS193" s="75"/>
      <c r="GT193" s="75"/>
      <c r="GU193" s="75"/>
      <c r="GV193" s="81"/>
      <c r="GW193" s="74"/>
      <c r="GX193" s="75"/>
      <c r="GY193" s="75"/>
      <c r="GZ193" s="75"/>
      <c r="HA193" s="75"/>
      <c r="HB193" s="75"/>
      <c r="HC193" s="75"/>
      <c r="HD193" s="75"/>
      <c r="HE193" s="75"/>
      <c r="HF193" s="75"/>
      <c r="HG193" s="75"/>
      <c r="HH193" s="81"/>
      <c r="HI193" s="75"/>
    </row>
    <row r="194" ht="15.0" customHeight="1">
      <c r="A194" s="74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81"/>
      <c r="M194" s="74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81"/>
      <c r="Y194" s="74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81"/>
      <c r="AK194" s="74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81"/>
      <c r="AW194" s="74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81"/>
      <c r="BI194" s="74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81"/>
      <c r="BU194" s="74"/>
      <c r="BV194" s="75"/>
      <c r="BW194" s="75"/>
      <c r="BX194" s="75"/>
      <c r="BY194" s="75"/>
      <c r="BZ194" s="75"/>
      <c r="CA194" s="75"/>
      <c r="CB194" s="75"/>
      <c r="CC194" s="75"/>
      <c r="CD194" s="75"/>
      <c r="CE194" s="75"/>
      <c r="CF194" s="81"/>
      <c r="CG194" s="74"/>
      <c r="CH194" s="75"/>
      <c r="CI194" s="75"/>
      <c r="CJ194" s="75"/>
      <c r="CK194" s="75"/>
      <c r="CL194" s="75"/>
      <c r="CM194" s="75"/>
      <c r="CN194" s="75"/>
      <c r="CO194" s="75"/>
      <c r="CP194" s="75"/>
      <c r="CQ194" s="75"/>
      <c r="CR194" s="81"/>
      <c r="CS194" s="74"/>
      <c r="CT194" s="75"/>
      <c r="CU194" s="75"/>
      <c r="CV194" s="75"/>
      <c r="CW194" s="75"/>
      <c r="CX194" s="75"/>
      <c r="CY194" s="75"/>
      <c r="CZ194" s="75"/>
      <c r="DA194" s="75"/>
      <c r="DB194" s="75"/>
      <c r="DC194" s="75"/>
      <c r="DD194" s="81"/>
      <c r="DE194" s="74"/>
      <c r="DF194" s="75"/>
      <c r="DG194" s="75"/>
      <c r="DH194" s="75"/>
      <c r="DI194" s="75"/>
      <c r="DJ194" s="75"/>
      <c r="DK194" s="75"/>
      <c r="DL194" s="75"/>
      <c r="DM194" s="75"/>
      <c r="DN194" s="75"/>
      <c r="DO194" s="75"/>
      <c r="DP194" s="81"/>
      <c r="DQ194" s="74"/>
      <c r="DR194" s="75"/>
      <c r="DS194" s="75"/>
      <c r="DT194" s="75"/>
      <c r="DU194" s="75"/>
      <c r="DV194" s="75"/>
      <c r="DW194" s="75"/>
      <c r="DX194" s="75"/>
      <c r="DY194" s="75"/>
      <c r="DZ194" s="75"/>
      <c r="EA194" s="75"/>
      <c r="EB194" s="81"/>
      <c r="EC194" s="74"/>
      <c r="ED194" s="75"/>
      <c r="EE194" s="75"/>
      <c r="EF194" s="75"/>
      <c r="EG194" s="75"/>
      <c r="EH194" s="75"/>
      <c r="EI194" s="75"/>
      <c r="EJ194" s="75"/>
      <c r="EK194" s="75"/>
      <c r="EL194" s="75"/>
      <c r="EM194" s="75"/>
      <c r="EN194" s="81"/>
      <c r="EO194" s="74"/>
      <c r="EP194" s="75"/>
      <c r="EQ194" s="75"/>
      <c r="ER194" s="75"/>
      <c r="ES194" s="75"/>
      <c r="ET194" s="75"/>
      <c r="EU194" s="75"/>
      <c r="EV194" s="75"/>
      <c r="EW194" s="75"/>
      <c r="EX194" s="75"/>
      <c r="EY194" s="75"/>
      <c r="EZ194" s="81"/>
      <c r="FA194" s="74"/>
      <c r="FB194" s="75"/>
      <c r="FC194" s="75"/>
      <c r="FD194" s="75"/>
      <c r="FE194" s="75"/>
      <c r="FF194" s="75"/>
      <c r="FG194" s="75"/>
      <c r="FH194" s="75"/>
      <c r="FI194" s="75"/>
      <c r="FJ194" s="75"/>
      <c r="FK194" s="75"/>
      <c r="FL194" s="81"/>
      <c r="FM194" s="74"/>
      <c r="FN194" s="75"/>
      <c r="FO194" s="75"/>
      <c r="FP194" s="75"/>
      <c r="FQ194" s="75"/>
      <c r="FR194" s="75"/>
      <c r="FS194" s="75"/>
      <c r="FT194" s="75"/>
      <c r="FU194" s="75"/>
      <c r="FV194" s="75"/>
      <c r="FW194" s="75"/>
      <c r="FX194" s="81"/>
      <c r="FY194" s="74"/>
      <c r="FZ194" s="75"/>
      <c r="GA194" s="75"/>
      <c r="GB194" s="75"/>
      <c r="GC194" s="75"/>
      <c r="GD194" s="75"/>
      <c r="GE194" s="75"/>
      <c r="GF194" s="75"/>
      <c r="GG194" s="75"/>
      <c r="GH194" s="75"/>
      <c r="GI194" s="75"/>
      <c r="GJ194" s="81"/>
      <c r="GK194" s="74"/>
      <c r="GL194" s="75"/>
      <c r="GM194" s="75"/>
      <c r="GN194" s="75"/>
      <c r="GO194" s="75"/>
      <c r="GP194" s="75"/>
      <c r="GQ194" s="75"/>
      <c r="GR194" s="75"/>
      <c r="GS194" s="75"/>
      <c r="GT194" s="75"/>
      <c r="GU194" s="75"/>
      <c r="GV194" s="81"/>
      <c r="GW194" s="74"/>
      <c r="GX194" s="75"/>
      <c r="GY194" s="75"/>
      <c r="GZ194" s="75"/>
      <c r="HA194" s="75"/>
      <c r="HB194" s="75"/>
      <c r="HC194" s="75"/>
      <c r="HD194" s="75"/>
      <c r="HE194" s="75"/>
      <c r="HF194" s="75"/>
      <c r="HG194" s="75"/>
      <c r="HH194" s="81"/>
      <c r="HI194" s="75"/>
    </row>
    <row r="195" ht="15.0" customHeight="1">
      <c r="A195" s="74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81"/>
      <c r="M195" s="74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81"/>
      <c r="Y195" s="74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81"/>
      <c r="AK195" s="74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81"/>
      <c r="AW195" s="74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81"/>
      <c r="BI195" s="74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81"/>
      <c r="BU195" s="74"/>
      <c r="BV195" s="75"/>
      <c r="BW195" s="75"/>
      <c r="BX195" s="75"/>
      <c r="BY195" s="75"/>
      <c r="BZ195" s="75"/>
      <c r="CA195" s="75"/>
      <c r="CB195" s="75"/>
      <c r="CC195" s="75"/>
      <c r="CD195" s="75"/>
      <c r="CE195" s="75"/>
      <c r="CF195" s="81"/>
      <c r="CG195" s="74"/>
      <c r="CH195" s="75"/>
      <c r="CI195" s="75"/>
      <c r="CJ195" s="75"/>
      <c r="CK195" s="75"/>
      <c r="CL195" s="75"/>
      <c r="CM195" s="75"/>
      <c r="CN195" s="75"/>
      <c r="CO195" s="75"/>
      <c r="CP195" s="75"/>
      <c r="CQ195" s="75"/>
      <c r="CR195" s="81"/>
      <c r="CS195" s="74"/>
      <c r="CT195" s="75"/>
      <c r="CU195" s="75"/>
      <c r="CV195" s="75"/>
      <c r="CW195" s="75"/>
      <c r="CX195" s="75"/>
      <c r="CY195" s="75"/>
      <c r="CZ195" s="75"/>
      <c r="DA195" s="75"/>
      <c r="DB195" s="75"/>
      <c r="DC195" s="75"/>
      <c r="DD195" s="81"/>
      <c r="DE195" s="74"/>
      <c r="DF195" s="75"/>
      <c r="DG195" s="75"/>
      <c r="DH195" s="75"/>
      <c r="DI195" s="75"/>
      <c r="DJ195" s="75"/>
      <c r="DK195" s="75"/>
      <c r="DL195" s="75"/>
      <c r="DM195" s="75"/>
      <c r="DN195" s="75"/>
      <c r="DO195" s="75"/>
      <c r="DP195" s="81"/>
      <c r="DQ195" s="74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81"/>
      <c r="EC195" s="74"/>
      <c r="ED195" s="75"/>
      <c r="EE195" s="75"/>
      <c r="EF195" s="75"/>
      <c r="EG195" s="75"/>
      <c r="EH195" s="75"/>
      <c r="EI195" s="75"/>
      <c r="EJ195" s="75"/>
      <c r="EK195" s="75"/>
      <c r="EL195" s="75"/>
      <c r="EM195" s="75"/>
      <c r="EN195" s="81"/>
      <c r="EO195" s="74"/>
      <c r="EP195" s="75"/>
      <c r="EQ195" s="75"/>
      <c r="ER195" s="75"/>
      <c r="ES195" s="75"/>
      <c r="ET195" s="75"/>
      <c r="EU195" s="75"/>
      <c r="EV195" s="75"/>
      <c r="EW195" s="75"/>
      <c r="EX195" s="75"/>
      <c r="EY195" s="75"/>
      <c r="EZ195" s="81"/>
      <c r="FA195" s="74"/>
      <c r="FB195" s="75"/>
      <c r="FC195" s="75"/>
      <c r="FD195" s="75"/>
      <c r="FE195" s="75"/>
      <c r="FF195" s="75"/>
      <c r="FG195" s="75"/>
      <c r="FH195" s="75"/>
      <c r="FI195" s="75"/>
      <c r="FJ195" s="75"/>
      <c r="FK195" s="75"/>
      <c r="FL195" s="81"/>
      <c r="FM195" s="74"/>
      <c r="FN195" s="75"/>
      <c r="FO195" s="75"/>
      <c r="FP195" s="75"/>
      <c r="FQ195" s="75"/>
      <c r="FR195" s="75"/>
      <c r="FS195" s="75"/>
      <c r="FT195" s="75"/>
      <c r="FU195" s="75"/>
      <c r="FV195" s="75"/>
      <c r="FW195" s="75"/>
      <c r="FX195" s="81"/>
      <c r="FY195" s="74"/>
      <c r="FZ195" s="75"/>
      <c r="GA195" s="75"/>
      <c r="GB195" s="75"/>
      <c r="GC195" s="75"/>
      <c r="GD195" s="75"/>
      <c r="GE195" s="75"/>
      <c r="GF195" s="75"/>
      <c r="GG195" s="75"/>
      <c r="GH195" s="75"/>
      <c r="GI195" s="75"/>
      <c r="GJ195" s="81"/>
      <c r="GK195" s="74"/>
      <c r="GL195" s="75"/>
      <c r="GM195" s="75"/>
      <c r="GN195" s="75"/>
      <c r="GO195" s="75"/>
      <c r="GP195" s="75"/>
      <c r="GQ195" s="75"/>
      <c r="GR195" s="75"/>
      <c r="GS195" s="75"/>
      <c r="GT195" s="75"/>
      <c r="GU195" s="75"/>
      <c r="GV195" s="81"/>
      <c r="GW195" s="74"/>
      <c r="GX195" s="75"/>
      <c r="GY195" s="75"/>
      <c r="GZ195" s="75"/>
      <c r="HA195" s="75"/>
      <c r="HB195" s="75"/>
      <c r="HC195" s="75"/>
      <c r="HD195" s="75"/>
      <c r="HE195" s="75"/>
      <c r="HF195" s="75"/>
      <c r="HG195" s="75"/>
      <c r="HH195" s="81"/>
      <c r="HI195" s="75"/>
    </row>
    <row r="196" ht="15.0" customHeight="1">
      <c r="A196" s="74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81"/>
      <c r="M196" s="74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81"/>
      <c r="Y196" s="74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81"/>
      <c r="AK196" s="74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81"/>
      <c r="AW196" s="74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81"/>
      <c r="BI196" s="74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81"/>
      <c r="BU196" s="74"/>
      <c r="BV196" s="75"/>
      <c r="BW196" s="75"/>
      <c r="BX196" s="75"/>
      <c r="BY196" s="75"/>
      <c r="BZ196" s="75"/>
      <c r="CA196" s="75"/>
      <c r="CB196" s="75"/>
      <c r="CC196" s="75"/>
      <c r="CD196" s="75"/>
      <c r="CE196" s="75"/>
      <c r="CF196" s="81"/>
      <c r="CG196" s="74"/>
      <c r="CH196" s="75"/>
      <c r="CI196" s="75"/>
      <c r="CJ196" s="75"/>
      <c r="CK196" s="75"/>
      <c r="CL196" s="75"/>
      <c r="CM196" s="75"/>
      <c r="CN196" s="75"/>
      <c r="CO196" s="75"/>
      <c r="CP196" s="75"/>
      <c r="CQ196" s="75"/>
      <c r="CR196" s="81"/>
      <c r="CS196" s="74"/>
      <c r="CT196" s="75"/>
      <c r="CU196" s="75"/>
      <c r="CV196" s="75"/>
      <c r="CW196" s="75"/>
      <c r="CX196" s="75"/>
      <c r="CY196" s="75"/>
      <c r="CZ196" s="75"/>
      <c r="DA196" s="75"/>
      <c r="DB196" s="75"/>
      <c r="DC196" s="75"/>
      <c r="DD196" s="81"/>
      <c r="DE196" s="74"/>
      <c r="DF196" s="75"/>
      <c r="DG196" s="75"/>
      <c r="DH196" s="75"/>
      <c r="DI196" s="75"/>
      <c r="DJ196" s="75"/>
      <c r="DK196" s="75"/>
      <c r="DL196" s="75"/>
      <c r="DM196" s="75"/>
      <c r="DN196" s="75"/>
      <c r="DO196" s="75"/>
      <c r="DP196" s="81"/>
      <c r="DQ196" s="74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81"/>
      <c r="EC196" s="74"/>
      <c r="ED196" s="75"/>
      <c r="EE196" s="75"/>
      <c r="EF196" s="75"/>
      <c r="EG196" s="75"/>
      <c r="EH196" s="75"/>
      <c r="EI196" s="75"/>
      <c r="EJ196" s="75"/>
      <c r="EK196" s="75"/>
      <c r="EL196" s="75"/>
      <c r="EM196" s="75"/>
      <c r="EN196" s="81"/>
      <c r="EO196" s="74"/>
      <c r="EP196" s="75"/>
      <c r="EQ196" s="75"/>
      <c r="ER196" s="75"/>
      <c r="ES196" s="75"/>
      <c r="ET196" s="75"/>
      <c r="EU196" s="75"/>
      <c r="EV196" s="75"/>
      <c r="EW196" s="75"/>
      <c r="EX196" s="75"/>
      <c r="EY196" s="75"/>
      <c r="EZ196" s="81"/>
      <c r="FA196" s="74"/>
      <c r="FB196" s="75"/>
      <c r="FC196" s="75"/>
      <c r="FD196" s="75"/>
      <c r="FE196" s="75"/>
      <c r="FF196" s="75"/>
      <c r="FG196" s="75"/>
      <c r="FH196" s="75"/>
      <c r="FI196" s="75"/>
      <c r="FJ196" s="75"/>
      <c r="FK196" s="75"/>
      <c r="FL196" s="81"/>
      <c r="FM196" s="74"/>
      <c r="FN196" s="75"/>
      <c r="FO196" s="75"/>
      <c r="FP196" s="75"/>
      <c r="FQ196" s="75"/>
      <c r="FR196" s="75"/>
      <c r="FS196" s="75"/>
      <c r="FT196" s="75"/>
      <c r="FU196" s="75"/>
      <c r="FV196" s="75"/>
      <c r="FW196" s="75"/>
      <c r="FX196" s="81"/>
      <c r="FY196" s="74"/>
      <c r="FZ196" s="75"/>
      <c r="GA196" s="75"/>
      <c r="GB196" s="75"/>
      <c r="GC196" s="75"/>
      <c r="GD196" s="75"/>
      <c r="GE196" s="75"/>
      <c r="GF196" s="75"/>
      <c r="GG196" s="75"/>
      <c r="GH196" s="75"/>
      <c r="GI196" s="75"/>
      <c r="GJ196" s="81"/>
      <c r="GK196" s="74"/>
      <c r="GL196" s="75"/>
      <c r="GM196" s="75"/>
      <c r="GN196" s="75"/>
      <c r="GO196" s="75"/>
      <c r="GP196" s="75"/>
      <c r="GQ196" s="75"/>
      <c r="GR196" s="75"/>
      <c r="GS196" s="75"/>
      <c r="GT196" s="75"/>
      <c r="GU196" s="75"/>
      <c r="GV196" s="81"/>
      <c r="GW196" s="74"/>
      <c r="GX196" s="75"/>
      <c r="GY196" s="75"/>
      <c r="GZ196" s="75"/>
      <c r="HA196" s="75"/>
      <c r="HB196" s="75"/>
      <c r="HC196" s="75"/>
      <c r="HD196" s="75"/>
      <c r="HE196" s="75"/>
      <c r="HF196" s="75"/>
      <c r="HG196" s="75"/>
      <c r="HH196" s="81"/>
      <c r="HI196" s="75"/>
    </row>
    <row r="197" ht="15.0" customHeight="1">
      <c r="A197" s="74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81"/>
      <c r="M197" s="74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81"/>
      <c r="Y197" s="74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81"/>
      <c r="AK197" s="74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81"/>
      <c r="AW197" s="74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81"/>
      <c r="BI197" s="74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81"/>
      <c r="BU197" s="74"/>
      <c r="BV197" s="75"/>
      <c r="BW197" s="75"/>
      <c r="BX197" s="75"/>
      <c r="BY197" s="75"/>
      <c r="BZ197" s="75"/>
      <c r="CA197" s="75"/>
      <c r="CB197" s="75"/>
      <c r="CC197" s="75"/>
      <c r="CD197" s="75"/>
      <c r="CE197" s="75"/>
      <c r="CF197" s="81"/>
      <c r="CG197" s="74"/>
      <c r="CH197" s="75"/>
      <c r="CI197" s="75"/>
      <c r="CJ197" s="75"/>
      <c r="CK197" s="75"/>
      <c r="CL197" s="75"/>
      <c r="CM197" s="75"/>
      <c r="CN197" s="75"/>
      <c r="CO197" s="75"/>
      <c r="CP197" s="75"/>
      <c r="CQ197" s="75"/>
      <c r="CR197" s="81"/>
      <c r="CS197" s="74"/>
      <c r="CT197" s="75"/>
      <c r="CU197" s="75"/>
      <c r="CV197" s="75"/>
      <c r="CW197" s="75"/>
      <c r="CX197" s="75"/>
      <c r="CY197" s="75"/>
      <c r="CZ197" s="75"/>
      <c r="DA197" s="75"/>
      <c r="DB197" s="75"/>
      <c r="DC197" s="75"/>
      <c r="DD197" s="81"/>
      <c r="DE197" s="74"/>
      <c r="DF197" s="75"/>
      <c r="DG197" s="75"/>
      <c r="DH197" s="75"/>
      <c r="DI197" s="75"/>
      <c r="DJ197" s="75"/>
      <c r="DK197" s="75"/>
      <c r="DL197" s="75"/>
      <c r="DM197" s="75"/>
      <c r="DN197" s="75"/>
      <c r="DO197" s="75"/>
      <c r="DP197" s="81"/>
      <c r="DQ197" s="74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81"/>
      <c r="EC197" s="74"/>
      <c r="ED197" s="75"/>
      <c r="EE197" s="75"/>
      <c r="EF197" s="75"/>
      <c r="EG197" s="75"/>
      <c r="EH197" s="75"/>
      <c r="EI197" s="75"/>
      <c r="EJ197" s="75"/>
      <c r="EK197" s="75"/>
      <c r="EL197" s="75"/>
      <c r="EM197" s="75"/>
      <c r="EN197" s="81"/>
      <c r="EO197" s="74"/>
      <c r="EP197" s="75"/>
      <c r="EQ197" s="75"/>
      <c r="ER197" s="75"/>
      <c r="ES197" s="75"/>
      <c r="ET197" s="75"/>
      <c r="EU197" s="75"/>
      <c r="EV197" s="75"/>
      <c r="EW197" s="75"/>
      <c r="EX197" s="75"/>
      <c r="EY197" s="75"/>
      <c r="EZ197" s="81"/>
      <c r="FA197" s="74"/>
      <c r="FB197" s="75"/>
      <c r="FC197" s="75"/>
      <c r="FD197" s="75"/>
      <c r="FE197" s="75"/>
      <c r="FF197" s="75"/>
      <c r="FG197" s="75"/>
      <c r="FH197" s="75"/>
      <c r="FI197" s="75"/>
      <c r="FJ197" s="75"/>
      <c r="FK197" s="75"/>
      <c r="FL197" s="81"/>
      <c r="FM197" s="74"/>
      <c r="FN197" s="75"/>
      <c r="FO197" s="75"/>
      <c r="FP197" s="75"/>
      <c r="FQ197" s="75"/>
      <c r="FR197" s="75"/>
      <c r="FS197" s="75"/>
      <c r="FT197" s="75"/>
      <c r="FU197" s="75"/>
      <c r="FV197" s="75"/>
      <c r="FW197" s="75"/>
      <c r="FX197" s="81"/>
      <c r="FY197" s="74"/>
      <c r="FZ197" s="75"/>
      <c r="GA197" s="75"/>
      <c r="GB197" s="75"/>
      <c r="GC197" s="75"/>
      <c r="GD197" s="75"/>
      <c r="GE197" s="75"/>
      <c r="GF197" s="75"/>
      <c r="GG197" s="75"/>
      <c r="GH197" s="75"/>
      <c r="GI197" s="75"/>
      <c r="GJ197" s="81"/>
      <c r="GK197" s="74"/>
      <c r="GL197" s="75"/>
      <c r="GM197" s="75"/>
      <c r="GN197" s="75"/>
      <c r="GO197" s="75"/>
      <c r="GP197" s="75"/>
      <c r="GQ197" s="75"/>
      <c r="GR197" s="75"/>
      <c r="GS197" s="75"/>
      <c r="GT197" s="75"/>
      <c r="GU197" s="75"/>
      <c r="GV197" s="81"/>
      <c r="GW197" s="74"/>
      <c r="GX197" s="75"/>
      <c r="GY197" s="75"/>
      <c r="GZ197" s="75"/>
      <c r="HA197" s="75"/>
      <c r="HB197" s="75"/>
      <c r="HC197" s="75"/>
      <c r="HD197" s="75"/>
      <c r="HE197" s="75"/>
      <c r="HF197" s="75"/>
      <c r="HG197" s="75"/>
      <c r="HH197" s="81"/>
      <c r="HI197" s="75"/>
    </row>
    <row r="198" ht="15.0" customHeight="1">
      <c r="A198" s="74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81"/>
      <c r="M198" s="74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81"/>
      <c r="Y198" s="74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81"/>
      <c r="AK198" s="74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81"/>
      <c r="AW198" s="74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81"/>
      <c r="BI198" s="74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81"/>
      <c r="BU198" s="74"/>
      <c r="BV198" s="75"/>
      <c r="BW198" s="75"/>
      <c r="BX198" s="75"/>
      <c r="BY198" s="75"/>
      <c r="BZ198" s="75"/>
      <c r="CA198" s="75"/>
      <c r="CB198" s="75"/>
      <c r="CC198" s="75"/>
      <c r="CD198" s="75"/>
      <c r="CE198" s="75"/>
      <c r="CF198" s="81"/>
      <c r="CG198" s="74"/>
      <c r="CH198" s="75"/>
      <c r="CI198" s="75"/>
      <c r="CJ198" s="75"/>
      <c r="CK198" s="75"/>
      <c r="CL198" s="75"/>
      <c r="CM198" s="75"/>
      <c r="CN198" s="75"/>
      <c r="CO198" s="75"/>
      <c r="CP198" s="75"/>
      <c r="CQ198" s="75"/>
      <c r="CR198" s="81"/>
      <c r="CS198" s="74"/>
      <c r="CT198" s="75"/>
      <c r="CU198" s="75"/>
      <c r="CV198" s="75"/>
      <c r="CW198" s="75"/>
      <c r="CX198" s="75"/>
      <c r="CY198" s="75"/>
      <c r="CZ198" s="75"/>
      <c r="DA198" s="75"/>
      <c r="DB198" s="75"/>
      <c r="DC198" s="75"/>
      <c r="DD198" s="81"/>
      <c r="DE198" s="74"/>
      <c r="DF198" s="75"/>
      <c r="DG198" s="75"/>
      <c r="DH198" s="75"/>
      <c r="DI198" s="75"/>
      <c r="DJ198" s="75"/>
      <c r="DK198" s="75"/>
      <c r="DL198" s="75"/>
      <c r="DM198" s="75"/>
      <c r="DN198" s="75"/>
      <c r="DO198" s="75"/>
      <c r="DP198" s="81"/>
      <c r="DQ198" s="74"/>
      <c r="DR198" s="75"/>
      <c r="DS198" s="75"/>
      <c r="DT198" s="75"/>
      <c r="DU198" s="75"/>
      <c r="DV198" s="75"/>
      <c r="DW198" s="75"/>
      <c r="DX198" s="75"/>
      <c r="DY198" s="75"/>
      <c r="DZ198" s="75"/>
      <c r="EA198" s="75"/>
      <c r="EB198" s="81"/>
      <c r="EC198" s="74"/>
      <c r="ED198" s="75"/>
      <c r="EE198" s="75"/>
      <c r="EF198" s="75"/>
      <c r="EG198" s="75"/>
      <c r="EH198" s="75"/>
      <c r="EI198" s="75"/>
      <c r="EJ198" s="75"/>
      <c r="EK198" s="75"/>
      <c r="EL198" s="75"/>
      <c r="EM198" s="75"/>
      <c r="EN198" s="81"/>
      <c r="EO198" s="74"/>
      <c r="EP198" s="75"/>
      <c r="EQ198" s="75"/>
      <c r="ER198" s="75"/>
      <c r="ES198" s="75"/>
      <c r="ET198" s="75"/>
      <c r="EU198" s="75"/>
      <c r="EV198" s="75"/>
      <c r="EW198" s="75"/>
      <c r="EX198" s="75"/>
      <c r="EY198" s="75"/>
      <c r="EZ198" s="81"/>
      <c r="FA198" s="74"/>
      <c r="FB198" s="75"/>
      <c r="FC198" s="75"/>
      <c r="FD198" s="75"/>
      <c r="FE198" s="75"/>
      <c r="FF198" s="75"/>
      <c r="FG198" s="75"/>
      <c r="FH198" s="75"/>
      <c r="FI198" s="75"/>
      <c r="FJ198" s="75"/>
      <c r="FK198" s="75"/>
      <c r="FL198" s="81"/>
      <c r="FM198" s="74"/>
      <c r="FN198" s="75"/>
      <c r="FO198" s="75"/>
      <c r="FP198" s="75"/>
      <c r="FQ198" s="75"/>
      <c r="FR198" s="75"/>
      <c r="FS198" s="75"/>
      <c r="FT198" s="75"/>
      <c r="FU198" s="75"/>
      <c r="FV198" s="75"/>
      <c r="FW198" s="75"/>
      <c r="FX198" s="81"/>
      <c r="FY198" s="74"/>
      <c r="FZ198" s="75"/>
      <c r="GA198" s="75"/>
      <c r="GB198" s="75"/>
      <c r="GC198" s="75"/>
      <c r="GD198" s="75"/>
      <c r="GE198" s="75"/>
      <c r="GF198" s="75"/>
      <c r="GG198" s="75"/>
      <c r="GH198" s="75"/>
      <c r="GI198" s="75"/>
      <c r="GJ198" s="81"/>
      <c r="GK198" s="74"/>
      <c r="GL198" s="75"/>
      <c r="GM198" s="75"/>
      <c r="GN198" s="75"/>
      <c r="GO198" s="75"/>
      <c r="GP198" s="75"/>
      <c r="GQ198" s="75"/>
      <c r="GR198" s="75"/>
      <c r="GS198" s="75"/>
      <c r="GT198" s="75"/>
      <c r="GU198" s="75"/>
      <c r="GV198" s="81"/>
      <c r="GW198" s="74"/>
      <c r="GX198" s="75"/>
      <c r="GY198" s="75"/>
      <c r="GZ198" s="75"/>
      <c r="HA198" s="75"/>
      <c r="HB198" s="75"/>
      <c r="HC198" s="75"/>
      <c r="HD198" s="75"/>
      <c r="HE198" s="75"/>
      <c r="HF198" s="75"/>
      <c r="HG198" s="75"/>
      <c r="HH198" s="81"/>
      <c r="HI198" s="75"/>
    </row>
    <row r="199" ht="15.0" customHeight="1">
      <c r="A199" s="74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81"/>
      <c r="M199" s="74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81"/>
      <c r="Y199" s="74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81"/>
      <c r="AK199" s="74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81"/>
      <c r="AW199" s="74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81"/>
      <c r="BI199" s="74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81"/>
      <c r="BU199" s="74"/>
      <c r="BV199" s="75"/>
      <c r="BW199" s="75"/>
      <c r="BX199" s="75"/>
      <c r="BY199" s="75"/>
      <c r="BZ199" s="75"/>
      <c r="CA199" s="75"/>
      <c r="CB199" s="75"/>
      <c r="CC199" s="75"/>
      <c r="CD199" s="75"/>
      <c r="CE199" s="75"/>
      <c r="CF199" s="81"/>
      <c r="CG199" s="74"/>
      <c r="CH199" s="75"/>
      <c r="CI199" s="75"/>
      <c r="CJ199" s="75"/>
      <c r="CK199" s="75"/>
      <c r="CL199" s="75"/>
      <c r="CM199" s="75"/>
      <c r="CN199" s="75"/>
      <c r="CO199" s="75"/>
      <c r="CP199" s="75"/>
      <c r="CQ199" s="75"/>
      <c r="CR199" s="81"/>
      <c r="CS199" s="74"/>
      <c r="CT199" s="75"/>
      <c r="CU199" s="75"/>
      <c r="CV199" s="75"/>
      <c r="CW199" s="75"/>
      <c r="CX199" s="75"/>
      <c r="CY199" s="75"/>
      <c r="CZ199" s="75"/>
      <c r="DA199" s="75"/>
      <c r="DB199" s="75"/>
      <c r="DC199" s="75"/>
      <c r="DD199" s="81"/>
      <c r="DE199" s="74"/>
      <c r="DF199" s="75"/>
      <c r="DG199" s="75"/>
      <c r="DH199" s="75"/>
      <c r="DI199" s="75"/>
      <c r="DJ199" s="75"/>
      <c r="DK199" s="75"/>
      <c r="DL199" s="75"/>
      <c r="DM199" s="75"/>
      <c r="DN199" s="75"/>
      <c r="DO199" s="75"/>
      <c r="DP199" s="81"/>
      <c r="DQ199" s="74"/>
      <c r="DR199" s="75"/>
      <c r="DS199" s="75"/>
      <c r="DT199" s="75"/>
      <c r="DU199" s="75"/>
      <c r="DV199" s="75"/>
      <c r="DW199" s="75"/>
      <c r="DX199" s="75"/>
      <c r="DY199" s="75"/>
      <c r="DZ199" s="75"/>
      <c r="EA199" s="75"/>
      <c r="EB199" s="81"/>
      <c r="EC199" s="74"/>
      <c r="ED199" s="75"/>
      <c r="EE199" s="75"/>
      <c r="EF199" s="75"/>
      <c r="EG199" s="75"/>
      <c r="EH199" s="75"/>
      <c r="EI199" s="75"/>
      <c r="EJ199" s="75"/>
      <c r="EK199" s="75"/>
      <c r="EL199" s="75"/>
      <c r="EM199" s="75"/>
      <c r="EN199" s="81"/>
      <c r="EO199" s="74"/>
      <c r="EP199" s="75"/>
      <c r="EQ199" s="75"/>
      <c r="ER199" s="75"/>
      <c r="ES199" s="75"/>
      <c r="ET199" s="75"/>
      <c r="EU199" s="75"/>
      <c r="EV199" s="75"/>
      <c r="EW199" s="75"/>
      <c r="EX199" s="75"/>
      <c r="EY199" s="75"/>
      <c r="EZ199" s="81"/>
      <c r="FA199" s="74"/>
      <c r="FB199" s="75"/>
      <c r="FC199" s="75"/>
      <c r="FD199" s="75"/>
      <c r="FE199" s="75"/>
      <c r="FF199" s="75"/>
      <c r="FG199" s="75"/>
      <c r="FH199" s="75"/>
      <c r="FI199" s="75"/>
      <c r="FJ199" s="75"/>
      <c r="FK199" s="75"/>
      <c r="FL199" s="81"/>
      <c r="FM199" s="74"/>
      <c r="FN199" s="75"/>
      <c r="FO199" s="75"/>
      <c r="FP199" s="75"/>
      <c r="FQ199" s="75"/>
      <c r="FR199" s="75"/>
      <c r="FS199" s="75"/>
      <c r="FT199" s="75"/>
      <c r="FU199" s="75"/>
      <c r="FV199" s="75"/>
      <c r="FW199" s="75"/>
      <c r="FX199" s="81"/>
      <c r="FY199" s="74"/>
      <c r="FZ199" s="75"/>
      <c r="GA199" s="75"/>
      <c r="GB199" s="75"/>
      <c r="GC199" s="75"/>
      <c r="GD199" s="75"/>
      <c r="GE199" s="75"/>
      <c r="GF199" s="75"/>
      <c r="GG199" s="75"/>
      <c r="GH199" s="75"/>
      <c r="GI199" s="75"/>
      <c r="GJ199" s="81"/>
      <c r="GK199" s="74"/>
      <c r="GL199" s="75"/>
      <c r="GM199" s="75"/>
      <c r="GN199" s="75"/>
      <c r="GO199" s="75"/>
      <c r="GP199" s="75"/>
      <c r="GQ199" s="75"/>
      <c r="GR199" s="75"/>
      <c r="GS199" s="75"/>
      <c r="GT199" s="75"/>
      <c r="GU199" s="75"/>
      <c r="GV199" s="81"/>
      <c r="GW199" s="74"/>
      <c r="GX199" s="75"/>
      <c r="GY199" s="75"/>
      <c r="GZ199" s="75"/>
      <c r="HA199" s="75"/>
      <c r="HB199" s="75"/>
      <c r="HC199" s="75"/>
      <c r="HD199" s="75"/>
      <c r="HE199" s="75"/>
      <c r="HF199" s="75"/>
      <c r="HG199" s="75"/>
      <c r="HH199" s="81"/>
      <c r="HI199" s="75"/>
    </row>
    <row r="200" ht="15.0" customHeight="1">
      <c r="A200" s="74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81"/>
      <c r="M200" s="74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81"/>
      <c r="Y200" s="74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81"/>
      <c r="AK200" s="74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81"/>
      <c r="AW200" s="74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81"/>
      <c r="BI200" s="74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81"/>
      <c r="BU200" s="74"/>
      <c r="BV200" s="75"/>
      <c r="BW200" s="75"/>
      <c r="BX200" s="75"/>
      <c r="BY200" s="75"/>
      <c r="BZ200" s="75"/>
      <c r="CA200" s="75"/>
      <c r="CB200" s="75"/>
      <c r="CC200" s="75"/>
      <c r="CD200" s="75"/>
      <c r="CE200" s="75"/>
      <c r="CF200" s="81"/>
      <c r="CG200" s="74"/>
      <c r="CH200" s="75"/>
      <c r="CI200" s="75"/>
      <c r="CJ200" s="75"/>
      <c r="CK200" s="75"/>
      <c r="CL200" s="75"/>
      <c r="CM200" s="75"/>
      <c r="CN200" s="75"/>
      <c r="CO200" s="75"/>
      <c r="CP200" s="75"/>
      <c r="CQ200" s="75"/>
      <c r="CR200" s="81"/>
      <c r="CS200" s="74"/>
      <c r="CT200" s="75"/>
      <c r="CU200" s="75"/>
      <c r="CV200" s="75"/>
      <c r="CW200" s="75"/>
      <c r="CX200" s="75"/>
      <c r="CY200" s="75"/>
      <c r="CZ200" s="75"/>
      <c r="DA200" s="75"/>
      <c r="DB200" s="75"/>
      <c r="DC200" s="75"/>
      <c r="DD200" s="81"/>
      <c r="DE200" s="74"/>
      <c r="DF200" s="75"/>
      <c r="DG200" s="75"/>
      <c r="DH200" s="75"/>
      <c r="DI200" s="75"/>
      <c r="DJ200" s="75"/>
      <c r="DK200" s="75"/>
      <c r="DL200" s="75"/>
      <c r="DM200" s="75"/>
      <c r="DN200" s="75"/>
      <c r="DO200" s="75"/>
      <c r="DP200" s="81"/>
      <c r="DQ200" s="74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81"/>
      <c r="EC200" s="74"/>
      <c r="ED200" s="75"/>
      <c r="EE200" s="75"/>
      <c r="EF200" s="75"/>
      <c r="EG200" s="75"/>
      <c r="EH200" s="75"/>
      <c r="EI200" s="75"/>
      <c r="EJ200" s="75"/>
      <c r="EK200" s="75"/>
      <c r="EL200" s="75"/>
      <c r="EM200" s="75"/>
      <c r="EN200" s="81"/>
      <c r="EO200" s="74"/>
      <c r="EP200" s="75"/>
      <c r="EQ200" s="75"/>
      <c r="ER200" s="75"/>
      <c r="ES200" s="75"/>
      <c r="ET200" s="75"/>
      <c r="EU200" s="75"/>
      <c r="EV200" s="75"/>
      <c r="EW200" s="75"/>
      <c r="EX200" s="75"/>
      <c r="EY200" s="75"/>
      <c r="EZ200" s="81"/>
      <c r="FA200" s="74"/>
      <c r="FB200" s="75"/>
      <c r="FC200" s="75"/>
      <c r="FD200" s="75"/>
      <c r="FE200" s="75"/>
      <c r="FF200" s="75"/>
      <c r="FG200" s="75"/>
      <c r="FH200" s="75"/>
      <c r="FI200" s="75"/>
      <c r="FJ200" s="75"/>
      <c r="FK200" s="75"/>
      <c r="FL200" s="81"/>
      <c r="FM200" s="74"/>
      <c r="FN200" s="75"/>
      <c r="FO200" s="75"/>
      <c r="FP200" s="75"/>
      <c r="FQ200" s="75"/>
      <c r="FR200" s="75"/>
      <c r="FS200" s="75"/>
      <c r="FT200" s="75"/>
      <c r="FU200" s="75"/>
      <c r="FV200" s="75"/>
      <c r="FW200" s="75"/>
      <c r="FX200" s="81"/>
      <c r="FY200" s="74"/>
      <c r="FZ200" s="75"/>
      <c r="GA200" s="75"/>
      <c r="GB200" s="75"/>
      <c r="GC200" s="75"/>
      <c r="GD200" s="75"/>
      <c r="GE200" s="75"/>
      <c r="GF200" s="75"/>
      <c r="GG200" s="75"/>
      <c r="GH200" s="75"/>
      <c r="GI200" s="75"/>
      <c r="GJ200" s="81"/>
      <c r="GK200" s="74"/>
      <c r="GL200" s="75"/>
      <c r="GM200" s="75"/>
      <c r="GN200" s="75"/>
      <c r="GO200" s="75"/>
      <c r="GP200" s="75"/>
      <c r="GQ200" s="75"/>
      <c r="GR200" s="75"/>
      <c r="GS200" s="75"/>
      <c r="GT200" s="75"/>
      <c r="GU200" s="75"/>
      <c r="GV200" s="81"/>
      <c r="GW200" s="74"/>
      <c r="GX200" s="75"/>
      <c r="GY200" s="75"/>
      <c r="GZ200" s="75"/>
      <c r="HA200" s="75"/>
      <c r="HB200" s="75"/>
      <c r="HC200" s="75"/>
      <c r="HD200" s="75"/>
      <c r="HE200" s="75"/>
      <c r="HF200" s="75"/>
      <c r="HG200" s="75"/>
      <c r="HH200" s="81"/>
      <c r="HI200" s="75"/>
    </row>
    <row r="201" ht="15.0" customHeight="1">
      <c r="A201" s="74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81"/>
      <c r="M201" s="74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81"/>
      <c r="Y201" s="74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81"/>
      <c r="AK201" s="74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81"/>
      <c r="AW201" s="74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81"/>
      <c r="BI201" s="74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81"/>
      <c r="BU201" s="74"/>
      <c r="BV201" s="75"/>
      <c r="BW201" s="75"/>
      <c r="BX201" s="75"/>
      <c r="BY201" s="75"/>
      <c r="BZ201" s="75"/>
      <c r="CA201" s="75"/>
      <c r="CB201" s="75"/>
      <c r="CC201" s="75"/>
      <c r="CD201" s="75"/>
      <c r="CE201" s="75"/>
      <c r="CF201" s="81"/>
      <c r="CG201" s="74"/>
      <c r="CH201" s="75"/>
      <c r="CI201" s="75"/>
      <c r="CJ201" s="75"/>
      <c r="CK201" s="75"/>
      <c r="CL201" s="75"/>
      <c r="CM201" s="75"/>
      <c r="CN201" s="75"/>
      <c r="CO201" s="75"/>
      <c r="CP201" s="75"/>
      <c r="CQ201" s="75"/>
      <c r="CR201" s="81"/>
      <c r="CS201" s="74"/>
      <c r="CT201" s="75"/>
      <c r="CU201" s="75"/>
      <c r="CV201" s="75"/>
      <c r="CW201" s="75"/>
      <c r="CX201" s="75"/>
      <c r="CY201" s="75"/>
      <c r="CZ201" s="75"/>
      <c r="DA201" s="75"/>
      <c r="DB201" s="75"/>
      <c r="DC201" s="75"/>
      <c r="DD201" s="81"/>
      <c r="DE201" s="74"/>
      <c r="DF201" s="75"/>
      <c r="DG201" s="75"/>
      <c r="DH201" s="75"/>
      <c r="DI201" s="75"/>
      <c r="DJ201" s="75"/>
      <c r="DK201" s="75"/>
      <c r="DL201" s="75"/>
      <c r="DM201" s="75"/>
      <c r="DN201" s="75"/>
      <c r="DO201" s="75"/>
      <c r="DP201" s="81"/>
      <c r="DQ201" s="74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81"/>
      <c r="EC201" s="74"/>
      <c r="ED201" s="75"/>
      <c r="EE201" s="75"/>
      <c r="EF201" s="75"/>
      <c r="EG201" s="75"/>
      <c r="EH201" s="75"/>
      <c r="EI201" s="75"/>
      <c r="EJ201" s="75"/>
      <c r="EK201" s="75"/>
      <c r="EL201" s="75"/>
      <c r="EM201" s="75"/>
      <c r="EN201" s="81"/>
      <c r="EO201" s="74"/>
      <c r="EP201" s="75"/>
      <c r="EQ201" s="75"/>
      <c r="ER201" s="75"/>
      <c r="ES201" s="75"/>
      <c r="ET201" s="75"/>
      <c r="EU201" s="75"/>
      <c r="EV201" s="75"/>
      <c r="EW201" s="75"/>
      <c r="EX201" s="75"/>
      <c r="EY201" s="75"/>
      <c r="EZ201" s="81"/>
      <c r="FA201" s="74"/>
      <c r="FB201" s="75"/>
      <c r="FC201" s="75"/>
      <c r="FD201" s="75"/>
      <c r="FE201" s="75"/>
      <c r="FF201" s="75"/>
      <c r="FG201" s="75"/>
      <c r="FH201" s="75"/>
      <c r="FI201" s="75"/>
      <c r="FJ201" s="75"/>
      <c r="FK201" s="75"/>
      <c r="FL201" s="81"/>
      <c r="FM201" s="74"/>
      <c r="FN201" s="75"/>
      <c r="FO201" s="75"/>
      <c r="FP201" s="75"/>
      <c r="FQ201" s="75"/>
      <c r="FR201" s="75"/>
      <c r="FS201" s="75"/>
      <c r="FT201" s="75"/>
      <c r="FU201" s="75"/>
      <c r="FV201" s="75"/>
      <c r="FW201" s="75"/>
      <c r="FX201" s="81"/>
      <c r="FY201" s="74"/>
      <c r="FZ201" s="75"/>
      <c r="GA201" s="75"/>
      <c r="GB201" s="75"/>
      <c r="GC201" s="75"/>
      <c r="GD201" s="75"/>
      <c r="GE201" s="75"/>
      <c r="GF201" s="75"/>
      <c r="GG201" s="75"/>
      <c r="GH201" s="75"/>
      <c r="GI201" s="75"/>
      <c r="GJ201" s="81"/>
      <c r="GK201" s="74"/>
      <c r="GL201" s="75"/>
      <c r="GM201" s="75"/>
      <c r="GN201" s="75"/>
      <c r="GO201" s="75"/>
      <c r="GP201" s="75"/>
      <c r="GQ201" s="75"/>
      <c r="GR201" s="75"/>
      <c r="GS201" s="75"/>
      <c r="GT201" s="75"/>
      <c r="GU201" s="75"/>
      <c r="GV201" s="81"/>
      <c r="GW201" s="74"/>
      <c r="GX201" s="75"/>
      <c r="GY201" s="75"/>
      <c r="GZ201" s="75"/>
      <c r="HA201" s="75"/>
      <c r="HB201" s="75"/>
      <c r="HC201" s="75"/>
      <c r="HD201" s="75"/>
      <c r="HE201" s="75"/>
      <c r="HF201" s="75"/>
      <c r="HG201" s="75"/>
      <c r="HH201" s="81"/>
      <c r="HI201" s="75"/>
    </row>
    <row r="202" ht="15.0" customHeight="1">
      <c r="A202" s="74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81"/>
      <c r="M202" s="74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81"/>
      <c r="Y202" s="74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81"/>
      <c r="AK202" s="74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81"/>
      <c r="AW202" s="74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81"/>
      <c r="BI202" s="74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81"/>
      <c r="BU202" s="74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81"/>
      <c r="CG202" s="74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81"/>
      <c r="CS202" s="74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81"/>
      <c r="DE202" s="74"/>
      <c r="DF202" s="75"/>
      <c r="DG202" s="75"/>
      <c r="DH202" s="75"/>
      <c r="DI202" s="75"/>
      <c r="DJ202" s="75"/>
      <c r="DK202" s="75"/>
      <c r="DL202" s="75"/>
      <c r="DM202" s="75"/>
      <c r="DN202" s="75"/>
      <c r="DO202" s="75"/>
      <c r="DP202" s="81"/>
      <c r="DQ202" s="74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81"/>
      <c r="EC202" s="74"/>
      <c r="ED202" s="75"/>
      <c r="EE202" s="75"/>
      <c r="EF202" s="75"/>
      <c r="EG202" s="75"/>
      <c r="EH202" s="75"/>
      <c r="EI202" s="75"/>
      <c r="EJ202" s="75"/>
      <c r="EK202" s="75"/>
      <c r="EL202" s="75"/>
      <c r="EM202" s="75"/>
      <c r="EN202" s="81"/>
      <c r="EO202" s="74"/>
      <c r="EP202" s="75"/>
      <c r="EQ202" s="75"/>
      <c r="ER202" s="75"/>
      <c r="ES202" s="75"/>
      <c r="ET202" s="75"/>
      <c r="EU202" s="75"/>
      <c r="EV202" s="75"/>
      <c r="EW202" s="75"/>
      <c r="EX202" s="75"/>
      <c r="EY202" s="75"/>
      <c r="EZ202" s="81"/>
      <c r="FA202" s="74"/>
      <c r="FB202" s="75"/>
      <c r="FC202" s="75"/>
      <c r="FD202" s="75"/>
      <c r="FE202" s="75"/>
      <c r="FF202" s="75"/>
      <c r="FG202" s="75"/>
      <c r="FH202" s="75"/>
      <c r="FI202" s="75"/>
      <c r="FJ202" s="75"/>
      <c r="FK202" s="75"/>
      <c r="FL202" s="81"/>
      <c r="FM202" s="74"/>
      <c r="FN202" s="75"/>
      <c r="FO202" s="75"/>
      <c r="FP202" s="75"/>
      <c r="FQ202" s="75"/>
      <c r="FR202" s="75"/>
      <c r="FS202" s="75"/>
      <c r="FT202" s="75"/>
      <c r="FU202" s="75"/>
      <c r="FV202" s="75"/>
      <c r="FW202" s="75"/>
      <c r="FX202" s="81"/>
      <c r="FY202" s="74"/>
      <c r="FZ202" s="75"/>
      <c r="GA202" s="75"/>
      <c r="GB202" s="75"/>
      <c r="GC202" s="75"/>
      <c r="GD202" s="75"/>
      <c r="GE202" s="75"/>
      <c r="GF202" s="75"/>
      <c r="GG202" s="75"/>
      <c r="GH202" s="75"/>
      <c r="GI202" s="75"/>
      <c r="GJ202" s="81"/>
      <c r="GK202" s="74"/>
      <c r="GL202" s="75"/>
      <c r="GM202" s="75"/>
      <c r="GN202" s="75"/>
      <c r="GO202" s="75"/>
      <c r="GP202" s="75"/>
      <c r="GQ202" s="75"/>
      <c r="GR202" s="75"/>
      <c r="GS202" s="75"/>
      <c r="GT202" s="75"/>
      <c r="GU202" s="75"/>
      <c r="GV202" s="81"/>
      <c r="GW202" s="74"/>
      <c r="GX202" s="75"/>
      <c r="GY202" s="75"/>
      <c r="GZ202" s="75"/>
      <c r="HA202" s="75"/>
      <c r="HB202" s="75"/>
      <c r="HC202" s="75"/>
      <c r="HD202" s="75"/>
      <c r="HE202" s="75"/>
      <c r="HF202" s="75"/>
      <c r="HG202" s="75"/>
      <c r="HH202" s="81"/>
      <c r="HI202" s="75"/>
    </row>
    <row r="203" ht="15.0" customHeight="1">
      <c r="A203" s="74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81"/>
      <c r="M203" s="74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81"/>
      <c r="Y203" s="74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81"/>
      <c r="AK203" s="74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81"/>
      <c r="AW203" s="74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81"/>
      <c r="BI203" s="74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81"/>
      <c r="BU203" s="74"/>
      <c r="BV203" s="75"/>
      <c r="BW203" s="75"/>
      <c r="BX203" s="75"/>
      <c r="BY203" s="75"/>
      <c r="BZ203" s="75"/>
      <c r="CA203" s="75"/>
      <c r="CB203" s="75"/>
      <c r="CC203" s="75"/>
      <c r="CD203" s="75"/>
      <c r="CE203" s="75"/>
      <c r="CF203" s="81"/>
      <c r="CG203" s="74"/>
      <c r="CH203" s="75"/>
      <c r="CI203" s="75"/>
      <c r="CJ203" s="75"/>
      <c r="CK203" s="75"/>
      <c r="CL203" s="75"/>
      <c r="CM203" s="75"/>
      <c r="CN203" s="75"/>
      <c r="CO203" s="75"/>
      <c r="CP203" s="75"/>
      <c r="CQ203" s="75"/>
      <c r="CR203" s="81"/>
      <c r="CS203" s="74"/>
      <c r="CT203" s="75"/>
      <c r="CU203" s="75"/>
      <c r="CV203" s="75"/>
      <c r="CW203" s="75"/>
      <c r="CX203" s="75"/>
      <c r="CY203" s="75"/>
      <c r="CZ203" s="75"/>
      <c r="DA203" s="75"/>
      <c r="DB203" s="75"/>
      <c r="DC203" s="75"/>
      <c r="DD203" s="81"/>
      <c r="DE203" s="74"/>
      <c r="DF203" s="75"/>
      <c r="DG203" s="75"/>
      <c r="DH203" s="75"/>
      <c r="DI203" s="75"/>
      <c r="DJ203" s="75"/>
      <c r="DK203" s="75"/>
      <c r="DL203" s="75"/>
      <c r="DM203" s="75"/>
      <c r="DN203" s="75"/>
      <c r="DO203" s="75"/>
      <c r="DP203" s="81"/>
      <c r="DQ203" s="74"/>
      <c r="DR203" s="75"/>
      <c r="DS203" s="75"/>
      <c r="DT203" s="75"/>
      <c r="DU203" s="75"/>
      <c r="DV203" s="75"/>
      <c r="DW203" s="75"/>
      <c r="DX203" s="75"/>
      <c r="DY203" s="75"/>
      <c r="DZ203" s="75"/>
      <c r="EA203" s="75"/>
      <c r="EB203" s="81"/>
      <c r="EC203" s="74"/>
      <c r="ED203" s="75"/>
      <c r="EE203" s="75"/>
      <c r="EF203" s="75"/>
      <c r="EG203" s="75"/>
      <c r="EH203" s="75"/>
      <c r="EI203" s="75"/>
      <c r="EJ203" s="75"/>
      <c r="EK203" s="75"/>
      <c r="EL203" s="75"/>
      <c r="EM203" s="75"/>
      <c r="EN203" s="81"/>
      <c r="EO203" s="74"/>
      <c r="EP203" s="75"/>
      <c r="EQ203" s="75"/>
      <c r="ER203" s="75"/>
      <c r="ES203" s="75"/>
      <c r="ET203" s="75"/>
      <c r="EU203" s="75"/>
      <c r="EV203" s="75"/>
      <c r="EW203" s="75"/>
      <c r="EX203" s="75"/>
      <c r="EY203" s="75"/>
      <c r="EZ203" s="81"/>
      <c r="FA203" s="74"/>
      <c r="FB203" s="75"/>
      <c r="FC203" s="75"/>
      <c r="FD203" s="75"/>
      <c r="FE203" s="75"/>
      <c r="FF203" s="75"/>
      <c r="FG203" s="75"/>
      <c r="FH203" s="75"/>
      <c r="FI203" s="75"/>
      <c r="FJ203" s="75"/>
      <c r="FK203" s="75"/>
      <c r="FL203" s="81"/>
      <c r="FM203" s="74"/>
      <c r="FN203" s="75"/>
      <c r="FO203" s="75"/>
      <c r="FP203" s="75"/>
      <c r="FQ203" s="75"/>
      <c r="FR203" s="75"/>
      <c r="FS203" s="75"/>
      <c r="FT203" s="75"/>
      <c r="FU203" s="75"/>
      <c r="FV203" s="75"/>
      <c r="FW203" s="75"/>
      <c r="FX203" s="81"/>
      <c r="FY203" s="74"/>
      <c r="FZ203" s="75"/>
      <c r="GA203" s="75"/>
      <c r="GB203" s="75"/>
      <c r="GC203" s="75"/>
      <c r="GD203" s="75"/>
      <c r="GE203" s="75"/>
      <c r="GF203" s="75"/>
      <c r="GG203" s="75"/>
      <c r="GH203" s="75"/>
      <c r="GI203" s="75"/>
      <c r="GJ203" s="81"/>
      <c r="GK203" s="74"/>
      <c r="GL203" s="75"/>
      <c r="GM203" s="75"/>
      <c r="GN203" s="75"/>
      <c r="GO203" s="75"/>
      <c r="GP203" s="75"/>
      <c r="GQ203" s="75"/>
      <c r="GR203" s="75"/>
      <c r="GS203" s="75"/>
      <c r="GT203" s="75"/>
      <c r="GU203" s="75"/>
      <c r="GV203" s="81"/>
      <c r="GW203" s="74"/>
      <c r="GX203" s="75"/>
      <c r="GY203" s="75"/>
      <c r="GZ203" s="75"/>
      <c r="HA203" s="75"/>
      <c r="HB203" s="75"/>
      <c r="HC203" s="75"/>
      <c r="HD203" s="75"/>
      <c r="HE203" s="75"/>
      <c r="HF203" s="75"/>
      <c r="HG203" s="75"/>
      <c r="HH203" s="81"/>
      <c r="HI203" s="75"/>
    </row>
    <row r="204" ht="15.0" customHeight="1">
      <c r="A204" s="74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81"/>
      <c r="M204" s="74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81"/>
      <c r="Y204" s="74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81"/>
      <c r="AK204" s="74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81"/>
      <c r="AW204" s="74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81"/>
      <c r="BI204" s="74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81"/>
      <c r="BU204" s="74"/>
      <c r="BV204" s="75"/>
      <c r="BW204" s="75"/>
      <c r="BX204" s="75"/>
      <c r="BY204" s="75"/>
      <c r="BZ204" s="75"/>
      <c r="CA204" s="75"/>
      <c r="CB204" s="75"/>
      <c r="CC204" s="75"/>
      <c r="CD204" s="75"/>
      <c r="CE204" s="75"/>
      <c r="CF204" s="81"/>
      <c r="CG204" s="74"/>
      <c r="CH204" s="75"/>
      <c r="CI204" s="75"/>
      <c r="CJ204" s="75"/>
      <c r="CK204" s="75"/>
      <c r="CL204" s="75"/>
      <c r="CM204" s="75"/>
      <c r="CN204" s="75"/>
      <c r="CO204" s="75"/>
      <c r="CP204" s="75"/>
      <c r="CQ204" s="75"/>
      <c r="CR204" s="81"/>
      <c r="CS204" s="74"/>
      <c r="CT204" s="75"/>
      <c r="CU204" s="75"/>
      <c r="CV204" s="75"/>
      <c r="CW204" s="75"/>
      <c r="CX204" s="75"/>
      <c r="CY204" s="75"/>
      <c r="CZ204" s="75"/>
      <c r="DA204" s="75"/>
      <c r="DB204" s="75"/>
      <c r="DC204" s="75"/>
      <c r="DD204" s="81"/>
      <c r="DE204" s="74"/>
      <c r="DF204" s="75"/>
      <c r="DG204" s="75"/>
      <c r="DH204" s="75"/>
      <c r="DI204" s="75"/>
      <c r="DJ204" s="75"/>
      <c r="DK204" s="75"/>
      <c r="DL204" s="75"/>
      <c r="DM204" s="75"/>
      <c r="DN204" s="75"/>
      <c r="DO204" s="75"/>
      <c r="DP204" s="81"/>
      <c r="DQ204" s="74"/>
      <c r="DR204" s="75"/>
      <c r="DS204" s="75"/>
      <c r="DT204" s="75"/>
      <c r="DU204" s="75"/>
      <c r="DV204" s="75"/>
      <c r="DW204" s="75"/>
      <c r="DX204" s="75"/>
      <c r="DY204" s="75"/>
      <c r="DZ204" s="75"/>
      <c r="EA204" s="75"/>
      <c r="EB204" s="81"/>
      <c r="EC204" s="74"/>
      <c r="ED204" s="75"/>
      <c r="EE204" s="75"/>
      <c r="EF204" s="75"/>
      <c r="EG204" s="75"/>
      <c r="EH204" s="75"/>
      <c r="EI204" s="75"/>
      <c r="EJ204" s="75"/>
      <c r="EK204" s="75"/>
      <c r="EL204" s="75"/>
      <c r="EM204" s="75"/>
      <c r="EN204" s="81"/>
      <c r="EO204" s="74"/>
      <c r="EP204" s="75"/>
      <c r="EQ204" s="75"/>
      <c r="ER204" s="75"/>
      <c r="ES204" s="75"/>
      <c r="ET204" s="75"/>
      <c r="EU204" s="75"/>
      <c r="EV204" s="75"/>
      <c r="EW204" s="75"/>
      <c r="EX204" s="75"/>
      <c r="EY204" s="75"/>
      <c r="EZ204" s="81"/>
      <c r="FA204" s="74"/>
      <c r="FB204" s="75"/>
      <c r="FC204" s="75"/>
      <c r="FD204" s="75"/>
      <c r="FE204" s="75"/>
      <c r="FF204" s="75"/>
      <c r="FG204" s="75"/>
      <c r="FH204" s="75"/>
      <c r="FI204" s="75"/>
      <c r="FJ204" s="75"/>
      <c r="FK204" s="75"/>
      <c r="FL204" s="81"/>
      <c r="FM204" s="74"/>
      <c r="FN204" s="75"/>
      <c r="FO204" s="75"/>
      <c r="FP204" s="75"/>
      <c r="FQ204" s="75"/>
      <c r="FR204" s="75"/>
      <c r="FS204" s="75"/>
      <c r="FT204" s="75"/>
      <c r="FU204" s="75"/>
      <c r="FV204" s="75"/>
      <c r="FW204" s="75"/>
      <c r="FX204" s="81"/>
      <c r="FY204" s="74"/>
      <c r="FZ204" s="75"/>
      <c r="GA204" s="75"/>
      <c r="GB204" s="75"/>
      <c r="GC204" s="75"/>
      <c r="GD204" s="75"/>
      <c r="GE204" s="75"/>
      <c r="GF204" s="75"/>
      <c r="GG204" s="75"/>
      <c r="GH204" s="75"/>
      <c r="GI204" s="75"/>
      <c r="GJ204" s="81"/>
      <c r="GK204" s="74"/>
      <c r="GL204" s="75"/>
      <c r="GM204" s="75"/>
      <c r="GN204" s="75"/>
      <c r="GO204" s="75"/>
      <c r="GP204" s="75"/>
      <c r="GQ204" s="75"/>
      <c r="GR204" s="75"/>
      <c r="GS204" s="75"/>
      <c r="GT204" s="75"/>
      <c r="GU204" s="75"/>
      <c r="GV204" s="81"/>
      <c r="GW204" s="74"/>
      <c r="GX204" s="75"/>
      <c r="GY204" s="75"/>
      <c r="GZ204" s="75"/>
      <c r="HA204" s="75"/>
      <c r="HB204" s="75"/>
      <c r="HC204" s="75"/>
      <c r="HD204" s="75"/>
      <c r="HE204" s="75"/>
      <c r="HF204" s="75"/>
      <c r="HG204" s="75"/>
      <c r="HH204" s="81"/>
      <c r="HI204" s="75"/>
    </row>
    <row r="205" ht="15.0" customHeight="1">
      <c r="A205" s="74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81"/>
      <c r="M205" s="74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81"/>
      <c r="Y205" s="74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81"/>
      <c r="AK205" s="74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81"/>
      <c r="AW205" s="74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81"/>
      <c r="BI205" s="74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81"/>
      <c r="BU205" s="74"/>
      <c r="BV205" s="75"/>
      <c r="BW205" s="75"/>
      <c r="BX205" s="75"/>
      <c r="BY205" s="75"/>
      <c r="BZ205" s="75"/>
      <c r="CA205" s="75"/>
      <c r="CB205" s="75"/>
      <c r="CC205" s="75"/>
      <c r="CD205" s="75"/>
      <c r="CE205" s="75"/>
      <c r="CF205" s="81"/>
      <c r="CG205" s="74"/>
      <c r="CH205" s="75"/>
      <c r="CI205" s="75"/>
      <c r="CJ205" s="75"/>
      <c r="CK205" s="75"/>
      <c r="CL205" s="75"/>
      <c r="CM205" s="75"/>
      <c r="CN205" s="75"/>
      <c r="CO205" s="75"/>
      <c r="CP205" s="75"/>
      <c r="CQ205" s="75"/>
      <c r="CR205" s="81"/>
      <c r="CS205" s="74"/>
      <c r="CT205" s="75"/>
      <c r="CU205" s="75"/>
      <c r="CV205" s="75"/>
      <c r="CW205" s="75"/>
      <c r="CX205" s="75"/>
      <c r="CY205" s="75"/>
      <c r="CZ205" s="75"/>
      <c r="DA205" s="75"/>
      <c r="DB205" s="75"/>
      <c r="DC205" s="75"/>
      <c r="DD205" s="81"/>
      <c r="DE205" s="74"/>
      <c r="DF205" s="75"/>
      <c r="DG205" s="75"/>
      <c r="DH205" s="75"/>
      <c r="DI205" s="75"/>
      <c r="DJ205" s="75"/>
      <c r="DK205" s="75"/>
      <c r="DL205" s="75"/>
      <c r="DM205" s="75"/>
      <c r="DN205" s="75"/>
      <c r="DO205" s="75"/>
      <c r="DP205" s="81"/>
      <c r="DQ205" s="74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81"/>
      <c r="EC205" s="74"/>
      <c r="ED205" s="75"/>
      <c r="EE205" s="75"/>
      <c r="EF205" s="75"/>
      <c r="EG205" s="75"/>
      <c r="EH205" s="75"/>
      <c r="EI205" s="75"/>
      <c r="EJ205" s="75"/>
      <c r="EK205" s="75"/>
      <c r="EL205" s="75"/>
      <c r="EM205" s="75"/>
      <c r="EN205" s="81"/>
      <c r="EO205" s="74"/>
      <c r="EP205" s="75"/>
      <c r="EQ205" s="75"/>
      <c r="ER205" s="75"/>
      <c r="ES205" s="75"/>
      <c r="ET205" s="75"/>
      <c r="EU205" s="75"/>
      <c r="EV205" s="75"/>
      <c r="EW205" s="75"/>
      <c r="EX205" s="75"/>
      <c r="EY205" s="75"/>
      <c r="EZ205" s="81"/>
      <c r="FA205" s="74"/>
      <c r="FB205" s="75"/>
      <c r="FC205" s="75"/>
      <c r="FD205" s="75"/>
      <c r="FE205" s="75"/>
      <c r="FF205" s="75"/>
      <c r="FG205" s="75"/>
      <c r="FH205" s="75"/>
      <c r="FI205" s="75"/>
      <c r="FJ205" s="75"/>
      <c r="FK205" s="75"/>
      <c r="FL205" s="81"/>
      <c r="FM205" s="74"/>
      <c r="FN205" s="75"/>
      <c r="FO205" s="75"/>
      <c r="FP205" s="75"/>
      <c r="FQ205" s="75"/>
      <c r="FR205" s="75"/>
      <c r="FS205" s="75"/>
      <c r="FT205" s="75"/>
      <c r="FU205" s="75"/>
      <c r="FV205" s="75"/>
      <c r="FW205" s="75"/>
      <c r="FX205" s="81"/>
      <c r="FY205" s="74"/>
      <c r="FZ205" s="75"/>
      <c r="GA205" s="75"/>
      <c r="GB205" s="75"/>
      <c r="GC205" s="75"/>
      <c r="GD205" s="75"/>
      <c r="GE205" s="75"/>
      <c r="GF205" s="75"/>
      <c r="GG205" s="75"/>
      <c r="GH205" s="75"/>
      <c r="GI205" s="75"/>
      <c r="GJ205" s="81"/>
      <c r="GK205" s="74"/>
      <c r="GL205" s="75"/>
      <c r="GM205" s="75"/>
      <c r="GN205" s="75"/>
      <c r="GO205" s="75"/>
      <c r="GP205" s="75"/>
      <c r="GQ205" s="75"/>
      <c r="GR205" s="75"/>
      <c r="GS205" s="75"/>
      <c r="GT205" s="75"/>
      <c r="GU205" s="75"/>
      <c r="GV205" s="81"/>
      <c r="GW205" s="74"/>
      <c r="GX205" s="75"/>
      <c r="GY205" s="75"/>
      <c r="GZ205" s="75"/>
      <c r="HA205" s="75"/>
      <c r="HB205" s="75"/>
      <c r="HC205" s="75"/>
      <c r="HD205" s="75"/>
      <c r="HE205" s="75"/>
      <c r="HF205" s="75"/>
      <c r="HG205" s="75"/>
      <c r="HH205" s="81"/>
      <c r="HI205" s="75"/>
    </row>
    <row r="206" ht="15.0" customHeight="1">
      <c r="A206" s="74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81"/>
      <c r="M206" s="74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81"/>
      <c r="Y206" s="74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81"/>
      <c r="AK206" s="74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81"/>
      <c r="AW206" s="74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81"/>
      <c r="BI206" s="74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81"/>
      <c r="BU206" s="74"/>
      <c r="BV206" s="75"/>
      <c r="BW206" s="75"/>
      <c r="BX206" s="75"/>
      <c r="BY206" s="75"/>
      <c r="BZ206" s="75"/>
      <c r="CA206" s="75"/>
      <c r="CB206" s="75"/>
      <c r="CC206" s="75"/>
      <c r="CD206" s="75"/>
      <c r="CE206" s="75"/>
      <c r="CF206" s="81"/>
      <c r="CG206" s="74"/>
      <c r="CH206" s="75"/>
      <c r="CI206" s="75"/>
      <c r="CJ206" s="75"/>
      <c r="CK206" s="75"/>
      <c r="CL206" s="75"/>
      <c r="CM206" s="75"/>
      <c r="CN206" s="75"/>
      <c r="CO206" s="75"/>
      <c r="CP206" s="75"/>
      <c r="CQ206" s="75"/>
      <c r="CR206" s="81"/>
      <c r="CS206" s="74"/>
      <c r="CT206" s="75"/>
      <c r="CU206" s="75"/>
      <c r="CV206" s="75"/>
      <c r="CW206" s="75"/>
      <c r="CX206" s="75"/>
      <c r="CY206" s="75"/>
      <c r="CZ206" s="75"/>
      <c r="DA206" s="75"/>
      <c r="DB206" s="75"/>
      <c r="DC206" s="75"/>
      <c r="DD206" s="81"/>
      <c r="DE206" s="74"/>
      <c r="DF206" s="75"/>
      <c r="DG206" s="75"/>
      <c r="DH206" s="75"/>
      <c r="DI206" s="75"/>
      <c r="DJ206" s="75"/>
      <c r="DK206" s="75"/>
      <c r="DL206" s="75"/>
      <c r="DM206" s="75"/>
      <c r="DN206" s="75"/>
      <c r="DO206" s="75"/>
      <c r="DP206" s="81"/>
      <c r="DQ206" s="74"/>
      <c r="DR206" s="75"/>
      <c r="DS206" s="75"/>
      <c r="DT206" s="75"/>
      <c r="DU206" s="75"/>
      <c r="DV206" s="75"/>
      <c r="DW206" s="75"/>
      <c r="DX206" s="75"/>
      <c r="DY206" s="75"/>
      <c r="DZ206" s="75"/>
      <c r="EA206" s="75"/>
      <c r="EB206" s="81"/>
      <c r="EC206" s="74"/>
      <c r="ED206" s="75"/>
      <c r="EE206" s="75"/>
      <c r="EF206" s="75"/>
      <c r="EG206" s="75"/>
      <c r="EH206" s="75"/>
      <c r="EI206" s="75"/>
      <c r="EJ206" s="75"/>
      <c r="EK206" s="75"/>
      <c r="EL206" s="75"/>
      <c r="EM206" s="75"/>
      <c r="EN206" s="81"/>
      <c r="EO206" s="74"/>
      <c r="EP206" s="75"/>
      <c r="EQ206" s="75"/>
      <c r="ER206" s="75"/>
      <c r="ES206" s="75"/>
      <c r="ET206" s="75"/>
      <c r="EU206" s="75"/>
      <c r="EV206" s="75"/>
      <c r="EW206" s="75"/>
      <c r="EX206" s="75"/>
      <c r="EY206" s="75"/>
      <c r="EZ206" s="81"/>
      <c r="FA206" s="74"/>
      <c r="FB206" s="75"/>
      <c r="FC206" s="75"/>
      <c r="FD206" s="75"/>
      <c r="FE206" s="75"/>
      <c r="FF206" s="75"/>
      <c r="FG206" s="75"/>
      <c r="FH206" s="75"/>
      <c r="FI206" s="75"/>
      <c r="FJ206" s="75"/>
      <c r="FK206" s="75"/>
      <c r="FL206" s="81"/>
      <c r="FM206" s="74"/>
      <c r="FN206" s="75"/>
      <c r="FO206" s="75"/>
      <c r="FP206" s="75"/>
      <c r="FQ206" s="75"/>
      <c r="FR206" s="75"/>
      <c r="FS206" s="75"/>
      <c r="FT206" s="75"/>
      <c r="FU206" s="75"/>
      <c r="FV206" s="75"/>
      <c r="FW206" s="75"/>
      <c r="FX206" s="81"/>
      <c r="FY206" s="74"/>
      <c r="FZ206" s="75"/>
      <c r="GA206" s="75"/>
      <c r="GB206" s="75"/>
      <c r="GC206" s="75"/>
      <c r="GD206" s="75"/>
      <c r="GE206" s="75"/>
      <c r="GF206" s="75"/>
      <c r="GG206" s="75"/>
      <c r="GH206" s="75"/>
      <c r="GI206" s="75"/>
      <c r="GJ206" s="81"/>
      <c r="GK206" s="74"/>
      <c r="GL206" s="75"/>
      <c r="GM206" s="75"/>
      <c r="GN206" s="75"/>
      <c r="GO206" s="75"/>
      <c r="GP206" s="75"/>
      <c r="GQ206" s="75"/>
      <c r="GR206" s="75"/>
      <c r="GS206" s="75"/>
      <c r="GT206" s="75"/>
      <c r="GU206" s="75"/>
      <c r="GV206" s="81"/>
      <c r="GW206" s="74"/>
      <c r="GX206" s="75"/>
      <c r="GY206" s="75"/>
      <c r="GZ206" s="75"/>
      <c r="HA206" s="75"/>
      <c r="HB206" s="75"/>
      <c r="HC206" s="75"/>
      <c r="HD206" s="75"/>
      <c r="HE206" s="75"/>
      <c r="HF206" s="75"/>
      <c r="HG206" s="75"/>
      <c r="HH206" s="81"/>
      <c r="HI206" s="75"/>
    </row>
    <row r="207" ht="15.0" customHeight="1">
      <c r="A207" s="74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81"/>
      <c r="M207" s="74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81"/>
      <c r="Y207" s="74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81"/>
      <c r="AK207" s="74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81"/>
      <c r="AW207" s="74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81"/>
      <c r="BI207" s="74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81"/>
      <c r="BU207" s="74"/>
      <c r="BV207" s="75"/>
      <c r="BW207" s="75"/>
      <c r="BX207" s="75"/>
      <c r="BY207" s="75"/>
      <c r="BZ207" s="75"/>
      <c r="CA207" s="75"/>
      <c r="CB207" s="75"/>
      <c r="CC207" s="75"/>
      <c r="CD207" s="75"/>
      <c r="CE207" s="75"/>
      <c r="CF207" s="81"/>
      <c r="CG207" s="74"/>
      <c r="CH207" s="75"/>
      <c r="CI207" s="75"/>
      <c r="CJ207" s="75"/>
      <c r="CK207" s="75"/>
      <c r="CL207" s="75"/>
      <c r="CM207" s="75"/>
      <c r="CN207" s="75"/>
      <c r="CO207" s="75"/>
      <c r="CP207" s="75"/>
      <c r="CQ207" s="75"/>
      <c r="CR207" s="81"/>
      <c r="CS207" s="74"/>
      <c r="CT207" s="75"/>
      <c r="CU207" s="75"/>
      <c r="CV207" s="75"/>
      <c r="CW207" s="75"/>
      <c r="CX207" s="75"/>
      <c r="CY207" s="75"/>
      <c r="CZ207" s="75"/>
      <c r="DA207" s="75"/>
      <c r="DB207" s="75"/>
      <c r="DC207" s="75"/>
      <c r="DD207" s="81"/>
      <c r="DE207" s="74"/>
      <c r="DF207" s="75"/>
      <c r="DG207" s="75"/>
      <c r="DH207" s="75"/>
      <c r="DI207" s="75"/>
      <c r="DJ207" s="75"/>
      <c r="DK207" s="75"/>
      <c r="DL207" s="75"/>
      <c r="DM207" s="75"/>
      <c r="DN207" s="75"/>
      <c r="DO207" s="75"/>
      <c r="DP207" s="81"/>
      <c r="DQ207" s="74"/>
      <c r="DR207" s="75"/>
      <c r="DS207" s="75"/>
      <c r="DT207" s="75"/>
      <c r="DU207" s="75"/>
      <c r="DV207" s="75"/>
      <c r="DW207" s="75"/>
      <c r="DX207" s="75"/>
      <c r="DY207" s="75"/>
      <c r="DZ207" s="75"/>
      <c r="EA207" s="75"/>
      <c r="EB207" s="81"/>
      <c r="EC207" s="74"/>
      <c r="ED207" s="75"/>
      <c r="EE207" s="75"/>
      <c r="EF207" s="75"/>
      <c r="EG207" s="75"/>
      <c r="EH207" s="75"/>
      <c r="EI207" s="75"/>
      <c r="EJ207" s="75"/>
      <c r="EK207" s="75"/>
      <c r="EL207" s="75"/>
      <c r="EM207" s="75"/>
      <c r="EN207" s="81"/>
      <c r="EO207" s="74"/>
      <c r="EP207" s="75"/>
      <c r="EQ207" s="75"/>
      <c r="ER207" s="75"/>
      <c r="ES207" s="75"/>
      <c r="ET207" s="75"/>
      <c r="EU207" s="75"/>
      <c r="EV207" s="75"/>
      <c r="EW207" s="75"/>
      <c r="EX207" s="75"/>
      <c r="EY207" s="75"/>
      <c r="EZ207" s="81"/>
      <c r="FA207" s="74"/>
      <c r="FB207" s="75"/>
      <c r="FC207" s="75"/>
      <c r="FD207" s="75"/>
      <c r="FE207" s="75"/>
      <c r="FF207" s="75"/>
      <c r="FG207" s="75"/>
      <c r="FH207" s="75"/>
      <c r="FI207" s="75"/>
      <c r="FJ207" s="75"/>
      <c r="FK207" s="75"/>
      <c r="FL207" s="81"/>
      <c r="FM207" s="74"/>
      <c r="FN207" s="75"/>
      <c r="FO207" s="75"/>
      <c r="FP207" s="75"/>
      <c r="FQ207" s="75"/>
      <c r="FR207" s="75"/>
      <c r="FS207" s="75"/>
      <c r="FT207" s="75"/>
      <c r="FU207" s="75"/>
      <c r="FV207" s="75"/>
      <c r="FW207" s="75"/>
      <c r="FX207" s="81"/>
      <c r="FY207" s="74"/>
      <c r="FZ207" s="75"/>
      <c r="GA207" s="75"/>
      <c r="GB207" s="75"/>
      <c r="GC207" s="75"/>
      <c r="GD207" s="75"/>
      <c r="GE207" s="75"/>
      <c r="GF207" s="75"/>
      <c r="GG207" s="75"/>
      <c r="GH207" s="75"/>
      <c r="GI207" s="75"/>
      <c r="GJ207" s="81"/>
      <c r="GK207" s="74"/>
      <c r="GL207" s="75"/>
      <c r="GM207" s="75"/>
      <c r="GN207" s="75"/>
      <c r="GO207" s="75"/>
      <c r="GP207" s="75"/>
      <c r="GQ207" s="75"/>
      <c r="GR207" s="75"/>
      <c r="GS207" s="75"/>
      <c r="GT207" s="75"/>
      <c r="GU207" s="75"/>
      <c r="GV207" s="81"/>
      <c r="GW207" s="74"/>
      <c r="GX207" s="75"/>
      <c r="GY207" s="75"/>
      <c r="GZ207" s="75"/>
      <c r="HA207" s="75"/>
      <c r="HB207" s="75"/>
      <c r="HC207" s="75"/>
      <c r="HD207" s="75"/>
      <c r="HE207" s="75"/>
      <c r="HF207" s="75"/>
      <c r="HG207" s="75"/>
      <c r="HH207" s="81"/>
      <c r="HI207" s="75"/>
    </row>
    <row r="208" ht="15.0" customHeight="1">
      <c r="A208" s="74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81"/>
      <c r="M208" s="74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81"/>
      <c r="Y208" s="74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81"/>
      <c r="AK208" s="74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81"/>
      <c r="AW208" s="74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81"/>
      <c r="BI208" s="74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81"/>
      <c r="BU208" s="74"/>
      <c r="BV208" s="75"/>
      <c r="BW208" s="75"/>
      <c r="BX208" s="75"/>
      <c r="BY208" s="75"/>
      <c r="BZ208" s="75"/>
      <c r="CA208" s="75"/>
      <c r="CB208" s="75"/>
      <c r="CC208" s="75"/>
      <c r="CD208" s="75"/>
      <c r="CE208" s="75"/>
      <c r="CF208" s="81"/>
      <c r="CG208" s="74"/>
      <c r="CH208" s="75"/>
      <c r="CI208" s="75"/>
      <c r="CJ208" s="75"/>
      <c r="CK208" s="75"/>
      <c r="CL208" s="75"/>
      <c r="CM208" s="75"/>
      <c r="CN208" s="75"/>
      <c r="CO208" s="75"/>
      <c r="CP208" s="75"/>
      <c r="CQ208" s="75"/>
      <c r="CR208" s="81"/>
      <c r="CS208" s="74"/>
      <c r="CT208" s="75"/>
      <c r="CU208" s="75"/>
      <c r="CV208" s="75"/>
      <c r="CW208" s="75"/>
      <c r="CX208" s="75"/>
      <c r="CY208" s="75"/>
      <c r="CZ208" s="75"/>
      <c r="DA208" s="75"/>
      <c r="DB208" s="75"/>
      <c r="DC208" s="75"/>
      <c r="DD208" s="81"/>
      <c r="DE208" s="74"/>
      <c r="DF208" s="75"/>
      <c r="DG208" s="75"/>
      <c r="DH208" s="75"/>
      <c r="DI208" s="75"/>
      <c r="DJ208" s="75"/>
      <c r="DK208" s="75"/>
      <c r="DL208" s="75"/>
      <c r="DM208" s="75"/>
      <c r="DN208" s="75"/>
      <c r="DO208" s="75"/>
      <c r="DP208" s="81"/>
      <c r="DQ208" s="74"/>
      <c r="DR208" s="75"/>
      <c r="DS208" s="75"/>
      <c r="DT208" s="75"/>
      <c r="DU208" s="75"/>
      <c r="DV208" s="75"/>
      <c r="DW208" s="75"/>
      <c r="DX208" s="75"/>
      <c r="DY208" s="75"/>
      <c r="DZ208" s="75"/>
      <c r="EA208" s="75"/>
      <c r="EB208" s="81"/>
      <c r="EC208" s="74"/>
      <c r="ED208" s="75"/>
      <c r="EE208" s="75"/>
      <c r="EF208" s="75"/>
      <c r="EG208" s="75"/>
      <c r="EH208" s="75"/>
      <c r="EI208" s="75"/>
      <c r="EJ208" s="75"/>
      <c r="EK208" s="75"/>
      <c r="EL208" s="75"/>
      <c r="EM208" s="75"/>
      <c r="EN208" s="81"/>
      <c r="EO208" s="74"/>
      <c r="EP208" s="75"/>
      <c r="EQ208" s="75"/>
      <c r="ER208" s="75"/>
      <c r="ES208" s="75"/>
      <c r="ET208" s="75"/>
      <c r="EU208" s="75"/>
      <c r="EV208" s="75"/>
      <c r="EW208" s="75"/>
      <c r="EX208" s="75"/>
      <c r="EY208" s="75"/>
      <c r="EZ208" s="81"/>
      <c r="FA208" s="74"/>
      <c r="FB208" s="75"/>
      <c r="FC208" s="75"/>
      <c r="FD208" s="75"/>
      <c r="FE208" s="75"/>
      <c r="FF208" s="75"/>
      <c r="FG208" s="75"/>
      <c r="FH208" s="75"/>
      <c r="FI208" s="75"/>
      <c r="FJ208" s="75"/>
      <c r="FK208" s="75"/>
      <c r="FL208" s="81"/>
      <c r="FM208" s="74"/>
      <c r="FN208" s="75"/>
      <c r="FO208" s="75"/>
      <c r="FP208" s="75"/>
      <c r="FQ208" s="75"/>
      <c r="FR208" s="75"/>
      <c r="FS208" s="75"/>
      <c r="FT208" s="75"/>
      <c r="FU208" s="75"/>
      <c r="FV208" s="75"/>
      <c r="FW208" s="75"/>
      <c r="FX208" s="81"/>
      <c r="FY208" s="74"/>
      <c r="FZ208" s="75"/>
      <c r="GA208" s="75"/>
      <c r="GB208" s="75"/>
      <c r="GC208" s="75"/>
      <c r="GD208" s="75"/>
      <c r="GE208" s="75"/>
      <c r="GF208" s="75"/>
      <c r="GG208" s="75"/>
      <c r="GH208" s="75"/>
      <c r="GI208" s="75"/>
      <c r="GJ208" s="81"/>
      <c r="GK208" s="74"/>
      <c r="GL208" s="75"/>
      <c r="GM208" s="75"/>
      <c r="GN208" s="75"/>
      <c r="GO208" s="75"/>
      <c r="GP208" s="75"/>
      <c r="GQ208" s="75"/>
      <c r="GR208" s="75"/>
      <c r="GS208" s="75"/>
      <c r="GT208" s="75"/>
      <c r="GU208" s="75"/>
      <c r="GV208" s="81"/>
      <c r="GW208" s="74"/>
      <c r="GX208" s="75"/>
      <c r="GY208" s="75"/>
      <c r="GZ208" s="75"/>
      <c r="HA208" s="75"/>
      <c r="HB208" s="75"/>
      <c r="HC208" s="75"/>
      <c r="HD208" s="75"/>
      <c r="HE208" s="75"/>
      <c r="HF208" s="75"/>
      <c r="HG208" s="75"/>
      <c r="HH208" s="81"/>
      <c r="HI208" s="75"/>
    </row>
    <row r="209" ht="15.0" customHeight="1">
      <c r="A209" s="74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81"/>
      <c r="M209" s="74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81"/>
      <c r="Y209" s="74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81"/>
      <c r="AK209" s="74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81"/>
      <c r="AW209" s="74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81"/>
      <c r="BI209" s="74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81"/>
      <c r="BU209" s="74"/>
      <c r="BV209" s="75"/>
      <c r="BW209" s="75"/>
      <c r="BX209" s="75"/>
      <c r="BY209" s="75"/>
      <c r="BZ209" s="75"/>
      <c r="CA209" s="75"/>
      <c r="CB209" s="75"/>
      <c r="CC209" s="75"/>
      <c r="CD209" s="75"/>
      <c r="CE209" s="75"/>
      <c r="CF209" s="81"/>
      <c r="CG209" s="74"/>
      <c r="CH209" s="75"/>
      <c r="CI209" s="75"/>
      <c r="CJ209" s="75"/>
      <c r="CK209" s="75"/>
      <c r="CL209" s="75"/>
      <c r="CM209" s="75"/>
      <c r="CN209" s="75"/>
      <c r="CO209" s="75"/>
      <c r="CP209" s="75"/>
      <c r="CQ209" s="75"/>
      <c r="CR209" s="81"/>
      <c r="CS209" s="74"/>
      <c r="CT209" s="75"/>
      <c r="CU209" s="75"/>
      <c r="CV209" s="75"/>
      <c r="CW209" s="75"/>
      <c r="CX209" s="75"/>
      <c r="CY209" s="75"/>
      <c r="CZ209" s="75"/>
      <c r="DA209" s="75"/>
      <c r="DB209" s="75"/>
      <c r="DC209" s="75"/>
      <c r="DD209" s="81"/>
      <c r="DE209" s="74"/>
      <c r="DF209" s="75"/>
      <c r="DG209" s="75"/>
      <c r="DH209" s="75"/>
      <c r="DI209" s="75"/>
      <c r="DJ209" s="75"/>
      <c r="DK209" s="75"/>
      <c r="DL209" s="75"/>
      <c r="DM209" s="75"/>
      <c r="DN209" s="75"/>
      <c r="DO209" s="75"/>
      <c r="DP209" s="81"/>
      <c r="DQ209" s="74"/>
      <c r="DR209" s="75"/>
      <c r="DS209" s="75"/>
      <c r="DT209" s="75"/>
      <c r="DU209" s="75"/>
      <c r="DV209" s="75"/>
      <c r="DW209" s="75"/>
      <c r="DX209" s="75"/>
      <c r="DY209" s="75"/>
      <c r="DZ209" s="75"/>
      <c r="EA209" s="75"/>
      <c r="EB209" s="81"/>
      <c r="EC209" s="74"/>
      <c r="ED209" s="75"/>
      <c r="EE209" s="75"/>
      <c r="EF209" s="75"/>
      <c r="EG209" s="75"/>
      <c r="EH209" s="75"/>
      <c r="EI209" s="75"/>
      <c r="EJ209" s="75"/>
      <c r="EK209" s="75"/>
      <c r="EL209" s="75"/>
      <c r="EM209" s="75"/>
      <c r="EN209" s="81"/>
      <c r="EO209" s="74"/>
      <c r="EP209" s="75"/>
      <c r="EQ209" s="75"/>
      <c r="ER209" s="75"/>
      <c r="ES209" s="75"/>
      <c r="ET209" s="75"/>
      <c r="EU209" s="75"/>
      <c r="EV209" s="75"/>
      <c r="EW209" s="75"/>
      <c r="EX209" s="75"/>
      <c r="EY209" s="75"/>
      <c r="EZ209" s="81"/>
      <c r="FA209" s="74"/>
      <c r="FB209" s="75"/>
      <c r="FC209" s="75"/>
      <c r="FD209" s="75"/>
      <c r="FE209" s="75"/>
      <c r="FF209" s="75"/>
      <c r="FG209" s="75"/>
      <c r="FH209" s="75"/>
      <c r="FI209" s="75"/>
      <c r="FJ209" s="75"/>
      <c r="FK209" s="75"/>
      <c r="FL209" s="81"/>
      <c r="FM209" s="74"/>
      <c r="FN209" s="75"/>
      <c r="FO209" s="75"/>
      <c r="FP209" s="75"/>
      <c r="FQ209" s="75"/>
      <c r="FR209" s="75"/>
      <c r="FS209" s="75"/>
      <c r="FT209" s="75"/>
      <c r="FU209" s="75"/>
      <c r="FV209" s="75"/>
      <c r="FW209" s="75"/>
      <c r="FX209" s="81"/>
      <c r="FY209" s="74"/>
      <c r="FZ209" s="75"/>
      <c r="GA209" s="75"/>
      <c r="GB209" s="75"/>
      <c r="GC209" s="75"/>
      <c r="GD209" s="75"/>
      <c r="GE209" s="75"/>
      <c r="GF209" s="75"/>
      <c r="GG209" s="75"/>
      <c r="GH209" s="75"/>
      <c r="GI209" s="75"/>
      <c r="GJ209" s="81"/>
      <c r="GK209" s="74"/>
      <c r="GL209" s="75"/>
      <c r="GM209" s="75"/>
      <c r="GN209" s="75"/>
      <c r="GO209" s="75"/>
      <c r="GP209" s="75"/>
      <c r="GQ209" s="75"/>
      <c r="GR209" s="75"/>
      <c r="GS209" s="75"/>
      <c r="GT209" s="75"/>
      <c r="GU209" s="75"/>
      <c r="GV209" s="81"/>
      <c r="GW209" s="74"/>
      <c r="GX209" s="75"/>
      <c r="GY209" s="75"/>
      <c r="GZ209" s="75"/>
      <c r="HA209" s="75"/>
      <c r="HB209" s="75"/>
      <c r="HC209" s="75"/>
      <c r="HD209" s="75"/>
      <c r="HE209" s="75"/>
      <c r="HF209" s="75"/>
      <c r="HG209" s="75"/>
      <c r="HH209" s="81"/>
      <c r="HI209" s="75"/>
    </row>
    <row r="210" ht="15.0" customHeight="1">
      <c r="A210" s="74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81"/>
      <c r="M210" s="74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81"/>
      <c r="Y210" s="74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81"/>
      <c r="AK210" s="74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81"/>
      <c r="AW210" s="74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81"/>
      <c r="BI210" s="74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81"/>
      <c r="BU210" s="74"/>
      <c r="BV210" s="75"/>
      <c r="BW210" s="75"/>
      <c r="BX210" s="75"/>
      <c r="BY210" s="75"/>
      <c r="BZ210" s="75"/>
      <c r="CA210" s="75"/>
      <c r="CB210" s="75"/>
      <c r="CC210" s="75"/>
      <c r="CD210" s="75"/>
      <c r="CE210" s="75"/>
      <c r="CF210" s="81"/>
      <c r="CG210" s="74"/>
      <c r="CH210" s="75"/>
      <c r="CI210" s="75"/>
      <c r="CJ210" s="75"/>
      <c r="CK210" s="75"/>
      <c r="CL210" s="75"/>
      <c r="CM210" s="75"/>
      <c r="CN210" s="75"/>
      <c r="CO210" s="75"/>
      <c r="CP210" s="75"/>
      <c r="CQ210" s="75"/>
      <c r="CR210" s="81"/>
      <c r="CS210" s="74"/>
      <c r="CT210" s="75"/>
      <c r="CU210" s="75"/>
      <c r="CV210" s="75"/>
      <c r="CW210" s="75"/>
      <c r="CX210" s="75"/>
      <c r="CY210" s="75"/>
      <c r="CZ210" s="75"/>
      <c r="DA210" s="75"/>
      <c r="DB210" s="75"/>
      <c r="DC210" s="75"/>
      <c r="DD210" s="81"/>
      <c r="DE210" s="74"/>
      <c r="DF210" s="75"/>
      <c r="DG210" s="75"/>
      <c r="DH210" s="75"/>
      <c r="DI210" s="75"/>
      <c r="DJ210" s="75"/>
      <c r="DK210" s="75"/>
      <c r="DL210" s="75"/>
      <c r="DM210" s="75"/>
      <c r="DN210" s="75"/>
      <c r="DO210" s="75"/>
      <c r="DP210" s="81"/>
      <c r="DQ210" s="74"/>
      <c r="DR210" s="75"/>
      <c r="DS210" s="75"/>
      <c r="DT210" s="75"/>
      <c r="DU210" s="75"/>
      <c r="DV210" s="75"/>
      <c r="DW210" s="75"/>
      <c r="DX210" s="75"/>
      <c r="DY210" s="75"/>
      <c r="DZ210" s="75"/>
      <c r="EA210" s="75"/>
      <c r="EB210" s="81"/>
      <c r="EC210" s="74"/>
      <c r="ED210" s="75"/>
      <c r="EE210" s="75"/>
      <c r="EF210" s="75"/>
      <c r="EG210" s="75"/>
      <c r="EH210" s="75"/>
      <c r="EI210" s="75"/>
      <c r="EJ210" s="75"/>
      <c r="EK210" s="75"/>
      <c r="EL210" s="75"/>
      <c r="EM210" s="75"/>
      <c r="EN210" s="81"/>
      <c r="EO210" s="74"/>
      <c r="EP210" s="75"/>
      <c r="EQ210" s="75"/>
      <c r="ER210" s="75"/>
      <c r="ES210" s="75"/>
      <c r="ET210" s="75"/>
      <c r="EU210" s="75"/>
      <c r="EV210" s="75"/>
      <c r="EW210" s="75"/>
      <c r="EX210" s="75"/>
      <c r="EY210" s="75"/>
      <c r="EZ210" s="81"/>
      <c r="FA210" s="74"/>
      <c r="FB210" s="75"/>
      <c r="FC210" s="75"/>
      <c r="FD210" s="75"/>
      <c r="FE210" s="75"/>
      <c r="FF210" s="75"/>
      <c r="FG210" s="75"/>
      <c r="FH210" s="75"/>
      <c r="FI210" s="75"/>
      <c r="FJ210" s="75"/>
      <c r="FK210" s="75"/>
      <c r="FL210" s="81"/>
      <c r="FM210" s="74"/>
      <c r="FN210" s="75"/>
      <c r="FO210" s="75"/>
      <c r="FP210" s="75"/>
      <c r="FQ210" s="75"/>
      <c r="FR210" s="75"/>
      <c r="FS210" s="75"/>
      <c r="FT210" s="75"/>
      <c r="FU210" s="75"/>
      <c r="FV210" s="75"/>
      <c r="FW210" s="75"/>
      <c r="FX210" s="81"/>
      <c r="FY210" s="74"/>
      <c r="FZ210" s="75"/>
      <c r="GA210" s="75"/>
      <c r="GB210" s="75"/>
      <c r="GC210" s="75"/>
      <c r="GD210" s="75"/>
      <c r="GE210" s="75"/>
      <c r="GF210" s="75"/>
      <c r="GG210" s="75"/>
      <c r="GH210" s="75"/>
      <c r="GI210" s="75"/>
      <c r="GJ210" s="81"/>
      <c r="GK210" s="74"/>
      <c r="GL210" s="75"/>
      <c r="GM210" s="75"/>
      <c r="GN210" s="75"/>
      <c r="GO210" s="75"/>
      <c r="GP210" s="75"/>
      <c r="GQ210" s="75"/>
      <c r="GR210" s="75"/>
      <c r="GS210" s="75"/>
      <c r="GT210" s="75"/>
      <c r="GU210" s="75"/>
      <c r="GV210" s="81"/>
      <c r="GW210" s="74"/>
      <c r="GX210" s="75"/>
      <c r="GY210" s="75"/>
      <c r="GZ210" s="75"/>
      <c r="HA210" s="75"/>
      <c r="HB210" s="75"/>
      <c r="HC210" s="75"/>
      <c r="HD210" s="75"/>
      <c r="HE210" s="75"/>
      <c r="HF210" s="75"/>
      <c r="HG210" s="75"/>
      <c r="HH210" s="81"/>
      <c r="HI210" s="75"/>
    </row>
    <row r="211" ht="15.0" customHeight="1">
      <c r="A211" s="74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81"/>
      <c r="M211" s="74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81"/>
      <c r="Y211" s="74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81"/>
      <c r="AK211" s="74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81"/>
      <c r="AW211" s="74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81"/>
      <c r="BI211" s="74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81"/>
      <c r="BU211" s="74"/>
      <c r="BV211" s="75"/>
      <c r="BW211" s="75"/>
      <c r="BX211" s="75"/>
      <c r="BY211" s="75"/>
      <c r="BZ211" s="75"/>
      <c r="CA211" s="75"/>
      <c r="CB211" s="75"/>
      <c r="CC211" s="75"/>
      <c r="CD211" s="75"/>
      <c r="CE211" s="75"/>
      <c r="CF211" s="81"/>
      <c r="CG211" s="74"/>
      <c r="CH211" s="75"/>
      <c r="CI211" s="75"/>
      <c r="CJ211" s="75"/>
      <c r="CK211" s="75"/>
      <c r="CL211" s="75"/>
      <c r="CM211" s="75"/>
      <c r="CN211" s="75"/>
      <c r="CO211" s="75"/>
      <c r="CP211" s="75"/>
      <c r="CQ211" s="75"/>
      <c r="CR211" s="81"/>
      <c r="CS211" s="74"/>
      <c r="CT211" s="75"/>
      <c r="CU211" s="75"/>
      <c r="CV211" s="75"/>
      <c r="CW211" s="75"/>
      <c r="CX211" s="75"/>
      <c r="CY211" s="75"/>
      <c r="CZ211" s="75"/>
      <c r="DA211" s="75"/>
      <c r="DB211" s="75"/>
      <c r="DC211" s="75"/>
      <c r="DD211" s="81"/>
      <c r="DE211" s="74"/>
      <c r="DF211" s="75"/>
      <c r="DG211" s="75"/>
      <c r="DH211" s="75"/>
      <c r="DI211" s="75"/>
      <c r="DJ211" s="75"/>
      <c r="DK211" s="75"/>
      <c r="DL211" s="75"/>
      <c r="DM211" s="75"/>
      <c r="DN211" s="75"/>
      <c r="DO211" s="75"/>
      <c r="DP211" s="81"/>
      <c r="DQ211" s="74"/>
      <c r="DR211" s="75"/>
      <c r="DS211" s="75"/>
      <c r="DT211" s="75"/>
      <c r="DU211" s="75"/>
      <c r="DV211" s="75"/>
      <c r="DW211" s="75"/>
      <c r="DX211" s="75"/>
      <c r="DY211" s="75"/>
      <c r="DZ211" s="75"/>
      <c r="EA211" s="75"/>
      <c r="EB211" s="81"/>
      <c r="EC211" s="74"/>
      <c r="ED211" s="75"/>
      <c r="EE211" s="75"/>
      <c r="EF211" s="75"/>
      <c r="EG211" s="75"/>
      <c r="EH211" s="75"/>
      <c r="EI211" s="75"/>
      <c r="EJ211" s="75"/>
      <c r="EK211" s="75"/>
      <c r="EL211" s="75"/>
      <c r="EM211" s="75"/>
      <c r="EN211" s="81"/>
      <c r="EO211" s="74"/>
      <c r="EP211" s="75"/>
      <c r="EQ211" s="75"/>
      <c r="ER211" s="75"/>
      <c r="ES211" s="75"/>
      <c r="ET211" s="75"/>
      <c r="EU211" s="75"/>
      <c r="EV211" s="75"/>
      <c r="EW211" s="75"/>
      <c r="EX211" s="75"/>
      <c r="EY211" s="75"/>
      <c r="EZ211" s="81"/>
      <c r="FA211" s="74"/>
      <c r="FB211" s="75"/>
      <c r="FC211" s="75"/>
      <c r="FD211" s="75"/>
      <c r="FE211" s="75"/>
      <c r="FF211" s="75"/>
      <c r="FG211" s="75"/>
      <c r="FH211" s="75"/>
      <c r="FI211" s="75"/>
      <c r="FJ211" s="75"/>
      <c r="FK211" s="75"/>
      <c r="FL211" s="81"/>
      <c r="FM211" s="74"/>
      <c r="FN211" s="75"/>
      <c r="FO211" s="75"/>
      <c r="FP211" s="75"/>
      <c r="FQ211" s="75"/>
      <c r="FR211" s="75"/>
      <c r="FS211" s="75"/>
      <c r="FT211" s="75"/>
      <c r="FU211" s="75"/>
      <c r="FV211" s="75"/>
      <c r="FW211" s="75"/>
      <c r="FX211" s="81"/>
      <c r="FY211" s="74"/>
      <c r="FZ211" s="75"/>
      <c r="GA211" s="75"/>
      <c r="GB211" s="75"/>
      <c r="GC211" s="75"/>
      <c r="GD211" s="75"/>
      <c r="GE211" s="75"/>
      <c r="GF211" s="75"/>
      <c r="GG211" s="75"/>
      <c r="GH211" s="75"/>
      <c r="GI211" s="75"/>
      <c r="GJ211" s="81"/>
      <c r="GK211" s="74"/>
      <c r="GL211" s="75"/>
      <c r="GM211" s="75"/>
      <c r="GN211" s="75"/>
      <c r="GO211" s="75"/>
      <c r="GP211" s="75"/>
      <c r="GQ211" s="75"/>
      <c r="GR211" s="75"/>
      <c r="GS211" s="75"/>
      <c r="GT211" s="75"/>
      <c r="GU211" s="75"/>
      <c r="GV211" s="81"/>
      <c r="GW211" s="74"/>
      <c r="GX211" s="75"/>
      <c r="GY211" s="75"/>
      <c r="GZ211" s="75"/>
      <c r="HA211" s="75"/>
      <c r="HB211" s="75"/>
      <c r="HC211" s="75"/>
      <c r="HD211" s="75"/>
      <c r="HE211" s="75"/>
      <c r="HF211" s="75"/>
      <c r="HG211" s="75"/>
      <c r="HH211" s="81"/>
      <c r="HI211" s="75"/>
    </row>
    <row r="212" ht="15.0" customHeight="1">
      <c r="A212" s="74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81"/>
      <c r="M212" s="74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81"/>
      <c r="Y212" s="74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81"/>
      <c r="AK212" s="74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81"/>
      <c r="AW212" s="74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81"/>
      <c r="BI212" s="74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81"/>
      <c r="BU212" s="74"/>
      <c r="BV212" s="75"/>
      <c r="BW212" s="75"/>
      <c r="BX212" s="75"/>
      <c r="BY212" s="75"/>
      <c r="BZ212" s="75"/>
      <c r="CA212" s="75"/>
      <c r="CB212" s="75"/>
      <c r="CC212" s="75"/>
      <c r="CD212" s="75"/>
      <c r="CE212" s="75"/>
      <c r="CF212" s="81"/>
      <c r="CG212" s="74"/>
      <c r="CH212" s="75"/>
      <c r="CI212" s="75"/>
      <c r="CJ212" s="75"/>
      <c r="CK212" s="75"/>
      <c r="CL212" s="75"/>
      <c r="CM212" s="75"/>
      <c r="CN212" s="75"/>
      <c r="CO212" s="75"/>
      <c r="CP212" s="75"/>
      <c r="CQ212" s="75"/>
      <c r="CR212" s="81"/>
      <c r="CS212" s="74"/>
      <c r="CT212" s="75"/>
      <c r="CU212" s="75"/>
      <c r="CV212" s="75"/>
      <c r="CW212" s="75"/>
      <c r="CX212" s="75"/>
      <c r="CY212" s="75"/>
      <c r="CZ212" s="75"/>
      <c r="DA212" s="75"/>
      <c r="DB212" s="75"/>
      <c r="DC212" s="75"/>
      <c r="DD212" s="81"/>
      <c r="DE212" s="74"/>
      <c r="DF212" s="75"/>
      <c r="DG212" s="75"/>
      <c r="DH212" s="75"/>
      <c r="DI212" s="75"/>
      <c r="DJ212" s="75"/>
      <c r="DK212" s="75"/>
      <c r="DL212" s="75"/>
      <c r="DM212" s="75"/>
      <c r="DN212" s="75"/>
      <c r="DO212" s="75"/>
      <c r="DP212" s="81"/>
      <c r="DQ212" s="74"/>
      <c r="DR212" s="75"/>
      <c r="DS212" s="75"/>
      <c r="DT212" s="75"/>
      <c r="DU212" s="75"/>
      <c r="DV212" s="75"/>
      <c r="DW212" s="75"/>
      <c r="DX212" s="75"/>
      <c r="DY212" s="75"/>
      <c r="DZ212" s="75"/>
      <c r="EA212" s="75"/>
      <c r="EB212" s="81"/>
      <c r="EC212" s="74"/>
      <c r="ED212" s="75"/>
      <c r="EE212" s="75"/>
      <c r="EF212" s="75"/>
      <c r="EG212" s="75"/>
      <c r="EH212" s="75"/>
      <c r="EI212" s="75"/>
      <c r="EJ212" s="75"/>
      <c r="EK212" s="75"/>
      <c r="EL212" s="75"/>
      <c r="EM212" s="75"/>
      <c r="EN212" s="81"/>
      <c r="EO212" s="74"/>
      <c r="EP212" s="75"/>
      <c r="EQ212" s="75"/>
      <c r="ER212" s="75"/>
      <c r="ES212" s="75"/>
      <c r="ET212" s="75"/>
      <c r="EU212" s="75"/>
      <c r="EV212" s="75"/>
      <c r="EW212" s="75"/>
      <c r="EX212" s="75"/>
      <c r="EY212" s="75"/>
      <c r="EZ212" s="81"/>
      <c r="FA212" s="74"/>
      <c r="FB212" s="75"/>
      <c r="FC212" s="75"/>
      <c r="FD212" s="75"/>
      <c r="FE212" s="75"/>
      <c r="FF212" s="75"/>
      <c r="FG212" s="75"/>
      <c r="FH212" s="75"/>
      <c r="FI212" s="75"/>
      <c r="FJ212" s="75"/>
      <c r="FK212" s="75"/>
      <c r="FL212" s="81"/>
      <c r="FM212" s="74"/>
      <c r="FN212" s="75"/>
      <c r="FO212" s="75"/>
      <c r="FP212" s="75"/>
      <c r="FQ212" s="75"/>
      <c r="FR212" s="75"/>
      <c r="FS212" s="75"/>
      <c r="FT212" s="75"/>
      <c r="FU212" s="75"/>
      <c r="FV212" s="75"/>
      <c r="FW212" s="75"/>
      <c r="FX212" s="81"/>
      <c r="FY212" s="74"/>
      <c r="FZ212" s="75"/>
      <c r="GA212" s="75"/>
      <c r="GB212" s="75"/>
      <c r="GC212" s="75"/>
      <c r="GD212" s="75"/>
      <c r="GE212" s="75"/>
      <c r="GF212" s="75"/>
      <c r="GG212" s="75"/>
      <c r="GH212" s="75"/>
      <c r="GI212" s="75"/>
      <c r="GJ212" s="81"/>
      <c r="GK212" s="74"/>
      <c r="GL212" s="75"/>
      <c r="GM212" s="75"/>
      <c r="GN212" s="75"/>
      <c r="GO212" s="75"/>
      <c r="GP212" s="75"/>
      <c r="GQ212" s="75"/>
      <c r="GR212" s="75"/>
      <c r="GS212" s="75"/>
      <c r="GT212" s="75"/>
      <c r="GU212" s="75"/>
      <c r="GV212" s="81"/>
      <c r="GW212" s="74"/>
      <c r="GX212" s="75"/>
      <c r="GY212" s="75"/>
      <c r="GZ212" s="75"/>
      <c r="HA212" s="75"/>
      <c r="HB212" s="75"/>
      <c r="HC212" s="75"/>
      <c r="HD212" s="75"/>
      <c r="HE212" s="75"/>
      <c r="HF212" s="75"/>
      <c r="HG212" s="75"/>
      <c r="HH212" s="81"/>
      <c r="HI212" s="75"/>
    </row>
    <row r="213" ht="15.0" customHeight="1">
      <c r="A213" s="74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81"/>
      <c r="M213" s="74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81"/>
      <c r="Y213" s="74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81"/>
      <c r="AK213" s="74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81"/>
      <c r="AW213" s="74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81"/>
      <c r="BI213" s="74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81"/>
      <c r="BU213" s="74"/>
      <c r="BV213" s="75"/>
      <c r="BW213" s="75"/>
      <c r="BX213" s="75"/>
      <c r="BY213" s="75"/>
      <c r="BZ213" s="75"/>
      <c r="CA213" s="75"/>
      <c r="CB213" s="75"/>
      <c r="CC213" s="75"/>
      <c r="CD213" s="75"/>
      <c r="CE213" s="75"/>
      <c r="CF213" s="81"/>
      <c r="CG213" s="74"/>
      <c r="CH213" s="75"/>
      <c r="CI213" s="75"/>
      <c r="CJ213" s="75"/>
      <c r="CK213" s="75"/>
      <c r="CL213" s="75"/>
      <c r="CM213" s="75"/>
      <c r="CN213" s="75"/>
      <c r="CO213" s="75"/>
      <c r="CP213" s="75"/>
      <c r="CQ213" s="75"/>
      <c r="CR213" s="81"/>
      <c r="CS213" s="74"/>
      <c r="CT213" s="75"/>
      <c r="CU213" s="75"/>
      <c r="CV213" s="75"/>
      <c r="CW213" s="75"/>
      <c r="CX213" s="75"/>
      <c r="CY213" s="75"/>
      <c r="CZ213" s="75"/>
      <c r="DA213" s="75"/>
      <c r="DB213" s="75"/>
      <c r="DC213" s="75"/>
      <c r="DD213" s="81"/>
      <c r="DE213" s="74"/>
      <c r="DF213" s="75"/>
      <c r="DG213" s="75"/>
      <c r="DH213" s="75"/>
      <c r="DI213" s="75"/>
      <c r="DJ213" s="75"/>
      <c r="DK213" s="75"/>
      <c r="DL213" s="75"/>
      <c r="DM213" s="75"/>
      <c r="DN213" s="75"/>
      <c r="DO213" s="75"/>
      <c r="DP213" s="81"/>
      <c r="DQ213" s="74"/>
      <c r="DR213" s="75"/>
      <c r="DS213" s="75"/>
      <c r="DT213" s="75"/>
      <c r="DU213" s="75"/>
      <c r="DV213" s="75"/>
      <c r="DW213" s="75"/>
      <c r="DX213" s="75"/>
      <c r="DY213" s="75"/>
      <c r="DZ213" s="75"/>
      <c r="EA213" s="75"/>
      <c r="EB213" s="81"/>
      <c r="EC213" s="74"/>
      <c r="ED213" s="75"/>
      <c r="EE213" s="75"/>
      <c r="EF213" s="75"/>
      <c r="EG213" s="75"/>
      <c r="EH213" s="75"/>
      <c r="EI213" s="75"/>
      <c r="EJ213" s="75"/>
      <c r="EK213" s="75"/>
      <c r="EL213" s="75"/>
      <c r="EM213" s="75"/>
      <c r="EN213" s="81"/>
      <c r="EO213" s="74"/>
      <c r="EP213" s="75"/>
      <c r="EQ213" s="75"/>
      <c r="ER213" s="75"/>
      <c r="ES213" s="75"/>
      <c r="ET213" s="75"/>
      <c r="EU213" s="75"/>
      <c r="EV213" s="75"/>
      <c r="EW213" s="75"/>
      <c r="EX213" s="75"/>
      <c r="EY213" s="75"/>
      <c r="EZ213" s="81"/>
      <c r="FA213" s="74"/>
      <c r="FB213" s="75"/>
      <c r="FC213" s="75"/>
      <c r="FD213" s="75"/>
      <c r="FE213" s="75"/>
      <c r="FF213" s="75"/>
      <c r="FG213" s="75"/>
      <c r="FH213" s="75"/>
      <c r="FI213" s="75"/>
      <c r="FJ213" s="75"/>
      <c r="FK213" s="75"/>
      <c r="FL213" s="81"/>
      <c r="FM213" s="74"/>
      <c r="FN213" s="75"/>
      <c r="FO213" s="75"/>
      <c r="FP213" s="75"/>
      <c r="FQ213" s="75"/>
      <c r="FR213" s="75"/>
      <c r="FS213" s="75"/>
      <c r="FT213" s="75"/>
      <c r="FU213" s="75"/>
      <c r="FV213" s="75"/>
      <c r="FW213" s="75"/>
      <c r="FX213" s="81"/>
      <c r="FY213" s="74"/>
      <c r="FZ213" s="75"/>
      <c r="GA213" s="75"/>
      <c r="GB213" s="75"/>
      <c r="GC213" s="75"/>
      <c r="GD213" s="75"/>
      <c r="GE213" s="75"/>
      <c r="GF213" s="75"/>
      <c r="GG213" s="75"/>
      <c r="GH213" s="75"/>
      <c r="GI213" s="75"/>
      <c r="GJ213" s="81"/>
      <c r="GK213" s="74"/>
      <c r="GL213" s="75"/>
      <c r="GM213" s="75"/>
      <c r="GN213" s="75"/>
      <c r="GO213" s="75"/>
      <c r="GP213" s="75"/>
      <c r="GQ213" s="75"/>
      <c r="GR213" s="75"/>
      <c r="GS213" s="75"/>
      <c r="GT213" s="75"/>
      <c r="GU213" s="75"/>
      <c r="GV213" s="81"/>
      <c r="GW213" s="74"/>
      <c r="GX213" s="75"/>
      <c r="GY213" s="75"/>
      <c r="GZ213" s="75"/>
      <c r="HA213" s="75"/>
      <c r="HB213" s="75"/>
      <c r="HC213" s="75"/>
      <c r="HD213" s="75"/>
      <c r="HE213" s="75"/>
      <c r="HF213" s="75"/>
      <c r="HG213" s="75"/>
      <c r="HH213" s="81"/>
      <c r="HI213" s="75"/>
    </row>
    <row r="214" ht="15.0" customHeight="1">
      <c r="A214" s="74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81"/>
      <c r="M214" s="74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81"/>
      <c r="Y214" s="74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81"/>
      <c r="AK214" s="74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81"/>
      <c r="AW214" s="74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81"/>
      <c r="BI214" s="74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81"/>
      <c r="BU214" s="74"/>
      <c r="BV214" s="75"/>
      <c r="BW214" s="75"/>
      <c r="BX214" s="75"/>
      <c r="BY214" s="75"/>
      <c r="BZ214" s="75"/>
      <c r="CA214" s="75"/>
      <c r="CB214" s="75"/>
      <c r="CC214" s="75"/>
      <c r="CD214" s="75"/>
      <c r="CE214" s="75"/>
      <c r="CF214" s="81"/>
      <c r="CG214" s="74"/>
      <c r="CH214" s="75"/>
      <c r="CI214" s="75"/>
      <c r="CJ214" s="75"/>
      <c r="CK214" s="75"/>
      <c r="CL214" s="75"/>
      <c r="CM214" s="75"/>
      <c r="CN214" s="75"/>
      <c r="CO214" s="75"/>
      <c r="CP214" s="75"/>
      <c r="CQ214" s="75"/>
      <c r="CR214" s="81"/>
      <c r="CS214" s="74"/>
      <c r="CT214" s="75"/>
      <c r="CU214" s="75"/>
      <c r="CV214" s="75"/>
      <c r="CW214" s="75"/>
      <c r="CX214" s="75"/>
      <c r="CY214" s="75"/>
      <c r="CZ214" s="75"/>
      <c r="DA214" s="75"/>
      <c r="DB214" s="75"/>
      <c r="DC214" s="75"/>
      <c r="DD214" s="81"/>
      <c r="DE214" s="74"/>
      <c r="DF214" s="75"/>
      <c r="DG214" s="75"/>
      <c r="DH214" s="75"/>
      <c r="DI214" s="75"/>
      <c r="DJ214" s="75"/>
      <c r="DK214" s="75"/>
      <c r="DL214" s="75"/>
      <c r="DM214" s="75"/>
      <c r="DN214" s="75"/>
      <c r="DO214" s="75"/>
      <c r="DP214" s="81"/>
      <c r="DQ214" s="74"/>
      <c r="DR214" s="75"/>
      <c r="DS214" s="75"/>
      <c r="DT214" s="75"/>
      <c r="DU214" s="75"/>
      <c r="DV214" s="75"/>
      <c r="DW214" s="75"/>
      <c r="DX214" s="75"/>
      <c r="DY214" s="75"/>
      <c r="DZ214" s="75"/>
      <c r="EA214" s="75"/>
      <c r="EB214" s="81"/>
      <c r="EC214" s="74"/>
      <c r="ED214" s="75"/>
      <c r="EE214" s="75"/>
      <c r="EF214" s="75"/>
      <c r="EG214" s="75"/>
      <c r="EH214" s="75"/>
      <c r="EI214" s="75"/>
      <c r="EJ214" s="75"/>
      <c r="EK214" s="75"/>
      <c r="EL214" s="75"/>
      <c r="EM214" s="75"/>
      <c r="EN214" s="81"/>
      <c r="EO214" s="74"/>
      <c r="EP214" s="75"/>
      <c r="EQ214" s="75"/>
      <c r="ER214" s="75"/>
      <c r="ES214" s="75"/>
      <c r="ET214" s="75"/>
      <c r="EU214" s="75"/>
      <c r="EV214" s="75"/>
      <c r="EW214" s="75"/>
      <c r="EX214" s="75"/>
      <c r="EY214" s="75"/>
      <c r="EZ214" s="81"/>
      <c r="FA214" s="74"/>
      <c r="FB214" s="75"/>
      <c r="FC214" s="75"/>
      <c r="FD214" s="75"/>
      <c r="FE214" s="75"/>
      <c r="FF214" s="75"/>
      <c r="FG214" s="75"/>
      <c r="FH214" s="75"/>
      <c r="FI214" s="75"/>
      <c r="FJ214" s="75"/>
      <c r="FK214" s="75"/>
      <c r="FL214" s="81"/>
      <c r="FM214" s="74"/>
      <c r="FN214" s="75"/>
      <c r="FO214" s="75"/>
      <c r="FP214" s="75"/>
      <c r="FQ214" s="75"/>
      <c r="FR214" s="75"/>
      <c r="FS214" s="75"/>
      <c r="FT214" s="75"/>
      <c r="FU214" s="75"/>
      <c r="FV214" s="75"/>
      <c r="FW214" s="75"/>
      <c r="FX214" s="81"/>
      <c r="FY214" s="74"/>
      <c r="FZ214" s="75"/>
      <c r="GA214" s="75"/>
      <c r="GB214" s="75"/>
      <c r="GC214" s="75"/>
      <c r="GD214" s="75"/>
      <c r="GE214" s="75"/>
      <c r="GF214" s="75"/>
      <c r="GG214" s="75"/>
      <c r="GH214" s="75"/>
      <c r="GI214" s="75"/>
      <c r="GJ214" s="81"/>
      <c r="GK214" s="74"/>
      <c r="GL214" s="75"/>
      <c r="GM214" s="75"/>
      <c r="GN214" s="75"/>
      <c r="GO214" s="75"/>
      <c r="GP214" s="75"/>
      <c r="GQ214" s="75"/>
      <c r="GR214" s="75"/>
      <c r="GS214" s="75"/>
      <c r="GT214" s="75"/>
      <c r="GU214" s="75"/>
      <c r="GV214" s="81"/>
      <c r="GW214" s="74"/>
      <c r="GX214" s="75"/>
      <c r="GY214" s="75"/>
      <c r="GZ214" s="75"/>
      <c r="HA214" s="75"/>
      <c r="HB214" s="75"/>
      <c r="HC214" s="75"/>
      <c r="HD214" s="75"/>
      <c r="HE214" s="75"/>
      <c r="HF214" s="75"/>
      <c r="HG214" s="75"/>
      <c r="HH214" s="81"/>
      <c r="HI214" s="75"/>
    </row>
    <row r="215" ht="15.0" customHeight="1">
      <c r="A215" s="74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81"/>
      <c r="M215" s="74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81"/>
      <c r="Y215" s="74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81"/>
      <c r="AK215" s="74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81"/>
      <c r="AW215" s="74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81"/>
      <c r="BI215" s="74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81"/>
      <c r="BU215" s="74"/>
      <c r="BV215" s="75"/>
      <c r="BW215" s="75"/>
      <c r="BX215" s="75"/>
      <c r="BY215" s="75"/>
      <c r="BZ215" s="75"/>
      <c r="CA215" s="75"/>
      <c r="CB215" s="75"/>
      <c r="CC215" s="75"/>
      <c r="CD215" s="75"/>
      <c r="CE215" s="75"/>
      <c r="CF215" s="81"/>
      <c r="CG215" s="74"/>
      <c r="CH215" s="75"/>
      <c r="CI215" s="75"/>
      <c r="CJ215" s="75"/>
      <c r="CK215" s="75"/>
      <c r="CL215" s="75"/>
      <c r="CM215" s="75"/>
      <c r="CN215" s="75"/>
      <c r="CO215" s="75"/>
      <c r="CP215" s="75"/>
      <c r="CQ215" s="75"/>
      <c r="CR215" s="81"/>
      <c r="CS215" s="74"/>
      <c r="CT215" s="75"/>
      <c r="CU215" s="75"/>
      <c r="CV215" s="75"/>
      <c r="CW215" s="75"/>
      <c r="CX215" s="75"/>
      <c r="CY215" s="75"/>
      <c r="CZ215" s="75"/>
      <c r="DA215" s="75"/>
      <c r="DB215" s="75"/>
      <c r="DC215" s="75"/>
      <c r="DD215" s="81"/>
      <c r="DE215" s="74"/>
      <c r="DF215" s="75"/>
      <c r="DG215" s="75"/>
      <c r="DH215" s="75"/>
      <c r="DI215" s="75"/>
      <c r="DJ215" s="75"/>
      <c r="DK215" s="75"/>
      <c r="DL215" s="75"/>
      <c r="DM215" s="75"/>
      <c r="DN215" s="75"/>
      <c r="DO215" s="75"/>
      <c r="DP215" s="81"/>
      <c r="DQ215" s="74"/>
      <c r="DR215" s="75"/>
      <c r="DS215" s="75"/>
      <c r="DT215" s="75"/>
      <c r="DU215" s="75"/>
      <c r="DV215" s="75"/>
      <c r="DW215" s="75"/>
      <c r="DX215" s="75"/>
      <c r="DY215" s="75"/>
      <c r="DZ215" s="75"/>
      <c r="EA215" s="75"/>
      <c r="EB215" s="81"/>
      <c r="EC215" s="74"/>
      <c r="ED215" s="75"/>
      <c r="EE215" s="75"/>
      <c r="EF215" s="75"/>
      <c r="EG215" s="75"/>
      <c r="EH215" s="75"/>
      <c r="EI215" s="75"/>
      <c r="EJ215" s="75"/>
      <c r="EK215" s="75"/>
      <c r="EL215" s="75"/>
      <c r="EM215" s="75"/>
      <c r="EN215" s="81"/>
      <c r="EO215" s="74"/>
      <c r="EP215" s="75"/>
      <c r="EQ215" s="75"/>
      <c r="ER215" s="75"/>
      <c r="ES215" s="75"/>
      <c r="ET215" s="75"/>
      <c r="EU215" s="75"/>
      <c r="EV215" s="75"/>
      <c r="EW215" s="75"/>
      <c r="EX215" s="75"/>
      <c r="EY215" s="75"/>
      <c r="EZ215" s="81"/>
      <c r="FA215" s="74"/>
      <c r="FB215" s="75"/>
      <c r="FC215" s="75"/>
      <c r="FD215" s="75"/>
      <c r="FE215" s="75"/>
      <c r="FF215" s="75"/>
      <c r="FG215" s="75"/>
      <c r="FH215" s="75"/>
      <c r="FI215" s="75"/>
      <c r="FJ215" s="75"/>
      <c r="FK215" s="75"/>
      <c r="FL215" s="81"/>
      <c r="FM215" s="74"/>
      <c r="FN215" s="75"/>
      <c r="FO215" s="75"/>
      <c r="FP215" s="75"/>
      <c r="FQ215" s="75"/>
      <c r="FR215" s="75"/>
      <c r="FS215" s="75"/>
      <c r="FT215" s="75"/>
      <c r="FU215" s="75"/>
      <c r="FV215" s="75"/>
      <c r="FW215" s="75"/>
      <c r="FX215" s="81"/>
      <c r="FY215" s="74"/>
      <c r="FZ215" s="75"/>
      <c r="GA215" s="75"/>
      <c r="GB215" s="75"/>
      <c r="GC215" s="75"/>
      <c r="GD215" s="75"/>
      <c r="GE215" s="75"/>
      <c r="GF215" s="75"/>
      <c r="GG215" s="75"/>
      <c r="GH215" s="75"/>
      <c r="GI215" s="75"/>
      <c r="GJ215" s="81"/>
      <c r="GK215" s="74"/>
      <c r="GL215" s="75"/>
      <c r="GM215" s="75"/>
      <c r="GN215" s="75"/>
      <c r="GO215" s="75"/>
      <c r="GP215" s="75"/>
      <c r="GQ215" s="75"/>
      <c r="GR215" s="75"/>
      <c r="GS215" s="75"/>
      <c r="GT215" s="75"/>
      <c r="GU215" s="75"/>
      <c r="GV215" s="81"/>
      <c r="GW215" s="74"/>
      <c r="GX215" s="75"/>
      <c r="GY215" s="75"/>
      <c r="GZ215" s="75"/>
      <c r="HA215" s="75"/>
      <c r="HB215" s="75"/>
      <c r="HC215" s="75"/>
      <c r="HD215" s="75"/>
      <c r="HE215" s="75"/>
      <c r="HF215" s="75"/>
      <c r="HG215" s="75"/>
      <c r="HH215" s="81"/>
      <c r="HI215" s="75"/>
    </row>
    <row r="216" ht="15.0" customHeight="1">
      <c r="A216" s="74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81"/>
      <c r="M216" s="74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81"/>
      <c r="Y216" s="74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81"/>
      <c r="AK216" s="74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81"/>
      <c r="AW216" s="74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81"/>
      <c r="BI216" s="74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81"/>
      <c r="BU216" s="74"/>
      <c r="BV216" s="75"/>
      <c r="BW216" s="75"/>
      <c r="BX216" s="75"/>
      <c r="BY216" s="75"/>
      <c r="BZ216" s="75"/>
      <c r="CA216" s="75"/>
      <c r="CB216" s="75"/>
      <c r="CC216" s="75"/>
      <c r="CD216" s="75"/>
      <c r="CE216" s="75"/>
      <c r="CF216" s="81"/>
      <c r="CG216" s="74"/>
      <c r="CH216" s="75"/>
      <c r="CI216" s="75"/>
      <c r="CJ216" s="75"/>
      <c r="CK216" s="75"/>
      <c r="CL216" s="75"/>
      <c r="CM216" s="75"/>
      <c r="CN216" s="75"/>
      <c r="CO216" s="75"/>
      <c r="CP216" s="75"/>
      <c r="CQ216" s="75"/>
      <c r="CR216" s="81"/>
      <c r="CS216" s="74"/>
      <c r="CT216" s="75"/>
      <c r="CU216" s="75"/>
      <c r="CV216" s="75"/>
      <c r="CW216" s="75"/>
      <c r="CX216" s="75"/>
      <c r="CY216" s="75"/>
      <c r="CZ216" s="75"/>
      <c r="DA216" s="75"/>
      <c r="DB216" s="75"/>
      <c r="DC216" s="75"/>
      <c r="DD216" s="81"/>
      <c r="DE216" s="74"/>
      <c r="DF216" s="75"/>
      <c r="DG216" s="75"/>
      <c r="DH216" s="75"/>
      <c r="DI216" s="75"/>
      <c r="DJ216" s="75"/>
      <c r="DK216" s="75"/>
      <c r="DL216" s="75"/>
      <c r="DM216" s="75"/>
      <c r="DN216" s="75"/>
      <c r="DO216" s="75"/>
      <c r="DP216" s="81"/>
      <c r="DQ216" s="74"/>
      <c r="DR216" s="75"/>
      <c r="DS216" s="75"/>
      <c r="DT216" s="75"/>
      <c r="DU216" s="75"/>
      <c r="DV216" s="75"/>
      <c r="DW216" s="75"/>
      <c r="DX216" s="75"/>
      <c r="DY216" s="75"/>
      <c r="DZ216" s="75"/>
      <c r="EA216" s="75"/>
      <c r="EB216" s="81"/>
      <c r="EC216" s="74"/>
      <c r="ED216" s="75"/>
      <c r="EE216" s="75"/>
      <c r="EF216" s="75"/>
      <c r="EG216" s="75"/>
      <c r="EH216" s="75"/>
      <c r="EI216" s="75"/>
      <c r="EJ216" s="75"/>
      <c r="EK216" s="75"/>
      <c r="EL216" s="75"/>
      <c r="EM216" s="75"/>
      <c r="EN216" s="81"/>
      <c r="EO216" s="74"/>
      <c r="EP216" s="75"/>
      <c r="EQ216" s="75"/>
      <c r="ER216" s="75"/>
      <c r="ES216" s="75"/>
      <c r="ET216" s="75"/>
      <c r="EU216" s="75"/>
      <c r="EV216" s="75"/>
      <c r="EW216" s="75"/>
      <c r="EX216" s="75"/>
      <c r="EY216" s="75"/>
      <c r="EZ216" s="81"/>
      <c r="FA216" s="74"/>
      <c r="FB216" s="75"/>
      <c r="FC216" s="75"/>
      <c r="FD216" s="75"/>
      <c r="FE216" s="75"/>
      <c r="FF216" s="75"/>
      <c r="FG216" s="75"/>
      <c r="FH216" s="75"/>
      <c r="FI216" s="75"/>
      <c r="FJ216" s="75"/>
      <c r="FK216" s="75"/>
      <c r="FL216" s="81"/>
      <c r="FM216" s="74"/>
      <c r="FN216" s="75"/>
      <c r="FO216" s="75"/>
      <c r="FP216" s="75"/>
      <c r="FQ216" s="75"/>
      <c r="FR216" s="75"/>
      <c r="FS216" s="75"/>
      <c r="FT216" s="75"/>
      <c r="FU216" s="75"/>
      <c r="FV216" s="75"/>
      <c r="FW216" s="75"/>
      <c r="FX216" s="81"/>
      <c r="FY216" s="74"/>
      <c r="FZ216" s="75"/>
      <c r="GA216" s="75"/>
      <c r="GB216" s="75"/>
      <c r="GC216" s="75"/>
      <c r="GD216" s="75"/>
      <c r="GE216" s="75"/>
      <c r="GF216" s="75"/>
      <c r="GG216" s="75"/>
      <c r="GH216" s="75"/>
      <c r="GI216" s="75"/>
      <c r="GJ216" s="81"/>
      <c r="GK216" s="74"/>
      <c r="GL216" s="75"/>
      <c r="GM216" s="75"/>
      <c r="GN216" s="75"/>
      <c r="GO216" s="75"/>
      <c r="GP216" s="75"/>
      <c r="GQ216" s="75"/>
      <c r="GR216" s="75"/>
      <c r="GS216" s="75"/>
      <c r="GT216" s="75"/>
      <c r="GU216" s="75"/>
      <c r="GV216" s="81"/>
      <c r="GW216" s="74"/>
      <c r="GX216" s="75"/>
      <c r="GY216" s="75"/>
      <c r="GZ216" s="75"/>
      <c r="HA216" s="75"/>
      <c r="HB216" s="75"/>
      <c r="HC216" s="75"/>
      <c r="HD216" s="75"/>
      <c r="HE216" s="75"/>
      <c r="HF216" s="75"/>
      <c r="HG216" s="75"/>
      <c r="HH216" s="81"/>
      <c r="HI216" s="75"/>
    </row>
    <row r="217" ht="15.0" customHeight="1">
      <c r="A217" s="74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81"/>
      <c r="M217" s="74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81"/>
      <c r="Y217" s="74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81"/>
      <c r="AK217" s="74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81"/>
      <c r="AW217" s="74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81"/>
      <c r="BI217" s="74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81"/>
      <c r="BU217" s="74"/>
      <c r="BV217" s="75"/>
      <c r="BW217" s="75"/>
      <c r="BX217" s="75"/>
      <c r="BY217" s="75"/>
      <c r="BZ217" s="75"/>
      <c r="CA217" s="75"/>
      <c r="CB217" s="75"/>
      <c r="CC217" s="75"/>
      <c r="CD217" s="75"/>
      <c r="CE217" s="75"/>
      <c r="CF217" s="81"/>
      <c r="CG217" s="74"/>
      <c r="CH217" s="75"/>
      <c r="CI217" s="75"/>
      <c r="CJ217" s="75"/>
      <c r="CK217" s="75"/>
      <c r="CL217" s="75"/>
      <c r="CM217" s="75"/>
      <c r="CN217" s="75"/>
      <c r="CO217" s="75"/>
      <c r="CP217" s="75"/>
      <c r="CQ217" s="75"/>
      <c r="CR217" s="81"/>
      <c r="CS217" s="74"/>
      <c r="CT217" s="75"/>
      <c r="CU217" s="75"/>
      <c r="CV217" s="75"/>
      <c r="CW217" s="75"/>
      <c r="CX217" s="75"/>
      <c r="CY217" s="75"/>
      <c r="CZ217" s="75"/>
      <c r="DA217" s="75"/>
      <c r="DB217" s="75"/>
      <c r="DC217" s="75"/>
      <c r="DD217" s="81"/>
      <c r="DE217" s="74"/>
      <c r="DF217" s="75"/>
      <c r="DG217" s="75"/>
      <c r="DH217" s="75"/>
      <c r="DI217" s="75"/>
      <c r="DJ217" s="75"/>
      <c r="DK217" s="75"/>
      <c r="DL217" s="75"/>
      <c r="DM217" s="75"/>
      <c r="DN217" s="75"/>
      <c r="DO217" s="75"/>
      <c r="DP217" s="81"/>
      <c r="DQ217" s="74"/>
      <c r="DR217" s="75"/>
      <c r="DS217" s="75"/>
      <c r="DT217" s="75"/>
      <c r="DU217" s="75"/>
      <c r="DV217" s="75"/>
      <c r="DW217" s="75"/>
      <c r="DX217" s="75"/>
      <c r="DY217" s="75"/>
      <c r="DZ217" s="75"/>
      <c r="EA217" s="75"/>
      <c r="EB217" s="81"/>
      <c r="EC217" s="74"/>
      <c r="ED217" s="75"/>
      <c r="EE217" s="75"/>
      <c r="EF217" s="75"/>
      <c r="EG217" s="75"/>
      <c r="EH217" s="75"/>
      <c r="EI217" s="75"/>
      <c r="EJ217" s="75"/>
      <c r="EK217" s="75"/>
      <c r="EL217" s="75"/>
      <c r="EM217" s="75"/>
      <c r="EN217" s="81"/>
      <c r="EO217" s="74"/>
      <c r="EP217" s="75"/>
      <c r="EQ217" s="75"/>
      <c r="ER217" s="75"/>
      <c r="ES217" s="75"/>
      <c r="ET217" s="75"/>
      <c r="EU217" s="75"/>
      <c r="EV217" s="75"/>
      <c r="EW217" s="75"/>
      <c r="EX217" s="75"/>
      <c r="EY217" s="75"/>
      <c r="EZ217" s="81"/>
      <c r="FA217" s="74"/>
      <c r="FB217" s="75"/>
      <c r="FC217" s="75"/>
      <c r="FD217" s="75"/>
      <c r="FE217" s="75"/>
      <c r="FF217" s="75"/>
      <c r="FG217" s="75"/>
      <c r="FH217" s="75"/>
      <c r="FI217" s="75"/>
      <c r="FJ217" s="75"/>
      <c r="FK217" s="75"/>
      <c r="FL217" s="81"/>
      <c r="FM217" s="74"/>
      <c r="FN217" s="75"/>
      <c r="FO217" s="75"/>
      <c r="FP217" s="75"/>
      <c r="FQ217" s="75"/>
      <c r="FR217" s="75"/>
      <c r="FS217" s="75"/>
      <c r="FT217" s="75"/>
      <c r="FU217" s="75"/>
      <c r="FV217" s="75"/>
      <c r="FW217" s="75"/>
      <c r="FX217" s="81"/>
      <c r="FY217" s="74"/>
      <c r="FZ217" s="75"/>
      <c r="GA217" s="75"/>
      <c r="GB217" s="75"/>
      <c r="GC217" s="75"/>
      <c r="GD217" s="75"/>
      <c r="GE217" s="75"/>
      <c r="GF217" s="75"/>
      <c r="GG217" s="75"/>
      <c r="GH217" s="75"/>
      <c r="GI217" s="75"/>
      <c r="GJ217" s="81"/>
      <c r="GK217" s="74"/>
      <c r="GL217" s="75"/>
      <c r="GM217" s="75"/>
      <c r="GN217" s="75"/>
      <c r="GO217" s="75"/>
      <c r="GP217" s="75"/>
      <c r="GQ217" s="75"/>
      <c r="GR217" s="75"/>
      <c r="GS217" s="75"/>
      <c r="GT217" s="75"/>
      <c r="GU217" s="75"/>
      <c r="GV217" s="81"/>
      <c r="GW217" s="74"/>
      <c r="GX217" s="75"/>
      <c r="GY217" s="75"/>
      <c r="GZ217" s="75"/>
      <c r="HA217" s="75"/>
      <c r="HB217" s="75"/>
      <c r="HC217" s="75"/>
      <c r="HD217" s="75"/>
      <c r="HE217" s="75"/>
      <c r="HF217" s="75"/>
      <c r="HG217" s="75"/>
      <c r="HH217" s="81"/>
      <c r="HI217" s="75"/>
    </row>
    <row r="218" ht="15.0" customHeight="1">
      <c r="A218" s="74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81"/>
      <c r="M218" s="74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81"/>
      <c r="Y218" s="74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81"/>
      <c r="AK218" s="74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81"/>
      <c r="AW218" s="74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81"/>
      <c r="BI218" s="74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81"/>
      <c r="BU218" s="74"/>
      <c r="BV218" s="75"/>
      <c r="BW218" s="75"/>
      <c r="BX218" s="75"/>
      <c r="BY218" s="75"/>
      <c r="BZ218" s="75"/>
      <c r="CA218" s="75"/>
      <c r="CB218" s="75"/>
      <c r="CC218" s="75"/>
      <c r="CD218" s="75"/>
      <c r="CE218" s="75"/>
      <c r="CF218" s="81"/>
      <c r="CG218" s="74"/>
      <c r="CH218" s="75"/>
      <c r="CI218" s="75"/>
      <c r="CJ218" s="75"/>
      <c r="CK218" s="75"/>
      <c r="CL218" s="75"/>
      <c r="CM218" s="75"/>
      <c r="CN218" s="75"/>
      <c r="CO218" s="75"/>
      <c r="CP218" s="75"/>
      <c r="CQ218" s="75"/>
      <c r="CR218" s="81"/>
      <c r="CS218" s="74"/>
      <c r="CT218" s="75"/>
      <c r="CU218" s="75"/>
      <c r="CV218" s="75"/>
      <c r="CW218" s="75"/>
      <c r="CX218" s="75"/>
      <c r="CY218" s="75"/>
      <c r="CZ218" s="75"/>
      <c r="DA218" s="75"/>
      <c r="DB218" s="75"/>
      <c r="DC218" s="75"/>
      <c r="DD218" s="81"/>
      <c r="DE218" s="74"/>
      <c r="DF218" s="75"/>
      <c r="DG218" s="75"/>
      <c r="DH218" s="75"/>
      <c r="DI218" s="75"/>
      <c r="DJ218" s="75"/>
      <c r="DK218" s="75"/>
      <c r="DL218" s="75"/>
      <c r="DM218" s="75"/>
      <c r="DN218" s="75"/>
      <c r="DO218" s="75"/>
      <c r="DP218" s="81"/>
      <c r="DQ218" s="74"/>
      <c r="DR218" s="75"/>
      <c r="DS218" s="75"/>
      <c r="DT218" s="75"/>
      <c r="DU218" s="75"/>
      <c r="DV218" s="75"/>
      <c r="DW218" s="75"/>
      <c r="DX218" s="75"/>
      <c r="DY218" s="75"/>
      <c r="DZ218" s="75"/>
      <c r="EA218" s="75"/>
      <c r="EB218" s="81"/>
      <c r="EC218" s="74"/>
      <c r="ED218" s="75"/>
      <c r="EE218" s="75"/>
      <c r="EF218" s="75"/>
      <c r="EG218" s="75"/>
      <c r="EH218" s="75"/>
      <c r="EI218" s="75"/>
      <c r="EJ218" s="75"/>
      <c r="EK218" s="75"/>
      <c r="EL218" s="75"/>
      <c r="EM218" s="75"/>
      <c r="EN218" s="81"/>
      <c r="EO218" s="74"/>
      <c r="EP218" s="75"/>
      <c r="EQ218" s="75"/>
      <c r="ER218" s="75"/>
      <c r="ES218" s="75"/>
      <c r="ET218" s="75"/>
      <c r="EU218" s="75"/>
      <c r="EV218" s="75"/>
      <c r="EW218" s="75"/>
      <c r="EX218" s="75"/>
      <c r="EY218" s="75"/>
      <c r="EZ218" s="81"/>
      <c r="FA218" s="74"/>
      <c r="FB218" s="75"/>
      <c r="FC218" s="75"/>
      <c r="FD218" s="75"/>
      <c r="FE218" s="75"/>
      <c r="FF218" s="75"/>
      <c r="FG218" s="75"/>
      <c r="FH218" s="75"/>
      <c r="FI218" s="75"/>
      <c r="FJ218" s="75"/>
      <c r="FK218" s="75"/>
      <c r="FL218" s="81"/>
      <c r="FM218" s="74"/>
      <c r="FN218" s="75"/>
      <c r="FO218" s="75"/>
      <c r="FP218" s="75"/>
      <c r="FQ218" s="75"/>
      <c r="FR218" s="75"/>
      <c r="FS218" s="75"/>
      <c r="FT218" s="75"/>
      <c r="FU218" s="75"/>
      <c r="FV218" s="75"/>
      <c r="FW218" s="75"/>
      <c r="FX218" s="81"/>
      <c r="FY218" s="74"/>
      <c r="FZ218" s="75"/>
      <c r="GA218" s="75"/>
      <c r="GB218" s="75"/>
      <c r="GC218" s="75"/>
      <c r="GD218" s="75"/>
      <c r="GE218" s="75"/>
      <c r="GF218" s="75"/>
      <c r="GG218" s="75"/>
      <c r="GH218" s="75"/>
      <c r="GI218" s="75"/>
      <c r="GJ218" s="81"/>
      <c r="GK218" s="74"/>
      <c r="GL218" s="75"/>
      <c r="GM218" s="75"/>
      <c r="GN218" s="75"/>
      <c r="GO218" s="75"/>
      <c r="GP218" s="75"/>
      <c r="GQ218" s="75"/>
      <c r="GR218" s="75"/>
      <c r="GS218" s="75"/>
      <c r="GT218" s="75"/>
      <c r="GU218" s="75"/>
      <c r="GV218" s="81"/>
      <c r="GW218" s="74"/>
      <c r="GX218" s="75"/>
      <c r="GY218" s="75"/>
      <c r="GZ218" s="75"/>
      <c r="HA218" s="75"/>
      <c r="HB218" s="75"/>
      <c r="HC218" s="75"/>
      <c r="HD218" s="75"/>
      <c r="HE218" s="75"/>
      <c r="HF218" s="75"/>
      <c r="HG218" s="75"/>
      <c r="HH218" s="81"/>
      <c r="HI218" s="75"/>
    </row>
    <row r="219" ht="15.0" customHeight="1">
      <c r="A219" s="74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81"/>
      <c r="M219" s="74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81"/>
      <c r="Y219" s="74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81"/>
      <c r="AK219" s="74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81"/>
      <c r="AW219" s="74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81"/>
      <c r="BI219" s="74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81"/>
      <c r="BU219" s="74"/>
      <c r="BV219" s="75"/>
      <c r="BW219" s="75"/>
      <c r="BX219" s="75"/>
      <c r="BY219" s="75"/>
      <c r="BZ219" s="75"/>
      <c r="CA219" s="75"/>
      <c r="CB219" s="75"/>
      <c r="CC219" s="75"/>
      <c r="CD219" s="75"/>
      <c r="CE219" s="75"/>
      <c r="CF219" s="81"/>
      <c r="CG219" s="74"/>
      <c r="CH219" s="75"/>
      <c r="CI219" s="75"/>
      <c r="CJ219" s="75"/>
      <c r="CK219" s="75"/>
      <c r="CL219" s="75"/>
      <c r="CM219" s="75"/>
      <c r="CN219" s="75"/>
      <c r="CO219" s="75"/>
      <c r="CP219" s="75"/>
      <c r="CQ219" s="75"/>
      <c r="CR219" s="81"/>
      <c r="CS219" s="74"/>
      <c r="CT219" s="75"/>
      <c r="CU219" s="75"/>
      <c r="CV219" s="75"/>
      <c r="CW219" s="75"/>
      <c r="CX219" s="75"/>
      <c r="CY219" s="75"/>
      <c r="CZ219" s="75"/>
      <c r="DA219" s="75"/>
      <c r="DB219" s="75"/>
      <c r="DC219" s="75"/>
      <c r="DD219" s="81"/>
      <c r="DE219" s="74"/>
      <c r="DF219" s="75"/>
      <c r="DG219" s="75"/>
      <c r="DH219" s="75"/>
      <c r="DI219" s="75"/>
      <c r="DJ219" s="75"/>
      <c r="DK219" s="75"/>
      <c r="DL219" s="75"/>
      <c r="DM219" s="75"/>
      <c r="DN219" s="75"/>
      <c r="DO219" s="75"/>
      <c r="DP219" s="81"/>
      <c r="DQ219" s="74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81"/>
      <c r="EC219" s="74"/>
      <c r="ED219" s="75"/>
      <c r="EE219" s="75"/>
      <c r="EF219" s="75"/>
      <c r="EG219" s="75"/>
      <c r="EH219" s="75"/>
      <c r="EI219" s="75"/>
      <c r="EJ219" s="75"/>
      <c r="EK219" s="75"/>
      <c r="EL219" s="75"/>
      <c r="EM219" s="75"/>
      <c r="EN219" s="81"/>
      <c r="EO219" s="74"/>
      <c r="EP219" s="75"/>
      <c r="EQ219" s="75"/>
      <c r="ER219" s="75"/>
      <c r="ES219" s="75"/>
      <c r="ET219" s="75"/>
      <c r="EU219" s="75"/>
      <c r="EV219" s="75"/>
      <c r="EW219" s="75"/>
      <c r="EX219" s="75"/>
      <c r="EY219" s="75"/>
      <c r="EZ219" s="81"/>
      <c r="FA219" s="74"/>
      <c r="FB219" s="75"/>
      <c r="FC219" s="75"/>
      <c r="FD219" s="75"/>
      <c r="FE219" s="75"/>
      <c r="FF219" s="75"/>
      <c r="FG219" s="75"/>
      <c r="FH219" s="75"/>
      <c r="FI219" s="75"/>
      <c r="FJ219" s="75"/>
      <c r="FK219" s="75"/>
      <c r="FL219" s="81"/>
      <c r="FM219" s="74"/>
      <c r="FN219" s="75"/>
      <c r="FO219" s="75"/>
      <c r="FP219" s="75"/>
      <c r="FQ219" s="75"/>
      <c r="FR219" s="75"/>
      <c r="FS219" s="75"/>
      <c r="FT219" s="75"/>
      <c r="FU219" s="75"/>
      <c r="FV219" s="75"/>
      <c r="FW219" s="75"/>
      <c r="FX219" s="81"/>
      <c r="FY219" s="74"/>
      <c r="FZ219" s="75"/>
      <c r="GA219" s="75"/>
      <c r="GB219" s="75"/>
      <c r="GC219" s="75"/>
      <c r="GD219" s="75"/>
      <c r="GE219" s="75"/>
      <c r="GF219" s="75"/>
      <c r="GG219" s="75"/>
      <c r="GH219" s="75"/>
      <c r="GI219" s="75"/>
      <c r="GJ219" s="81"/>
      <c r="GK219" s="74"/>
      <c r="GL219" s="75"/>
      <c r="GM219" s="75"/>
      <c r="GN219" s="75"/>
      <c r="GO219" s="75"/>
      <c r="GP219" s="75"/>
      <c r="GQ219" s="75"/>
      <c r="GR219" s="75"/>
      <c r="GS219" s="75"/>
      <c r="GT219" s="75"/>
      <c r="GU219" s="75"/>
      <c r="GV219" s="81"/>
      <c r="GW219" s="74"/>
      <c r="GX219" s="75"/>
      <c r="GY219" s="75"/>
      <c r="GZ219" s="75"/>
      <c r="HA219" s="75"/>
      <c r="HB219" s="75"/>
      <c r="HC219" s="75"/>
      <c r="HD219" s="75"/>
      <c r="HE219" s="75"/>
      <c r="HF219" s="75"/>
      <c r="HG219" s="75"/>
      <c r="HH219" s="81"/>
      <c r="HI219" s="75"/>
    </row>
    <row r="220" ht="15.0" customHeight="1">
      <c r="A220" s="74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81"/>
      <c r="M220" s="74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81"/>
      <c r="Y220" s="74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81"/>
      <c r="AK220" s="74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81"/>
      <c r="AW220" s="74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81"/>
      <c r="BI220" s="74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81"/>
      <c r="BU220" s="74"/>
      <c r="BV220" s="75"/>
      <c r="BW220" s="75"/>
      <c r="BX220" s="75"/>
      <c r="BY220" s="75"/>
      <c r="BZ220" s="75"/>
      <c r="CA220" s="75"/>
      <c r="CB220" s="75"/>
      <c r="CC220" s="75"/>
      <c r="CD220" s="75"/>
      <c r="CE220" s="75"/>
      <c r="CF220" s="81"/>
      <c r="CG220" s="74"/>
      <c r="CH220" s="75"/>
      <c r="CI220" s="75"/>
      <c r="CJ220" s="75"/>
      <c r="CK220" s="75"/>
      <c r="CL220" s="75"/>
      <c r="CM220" s="75"/>
      <c r="CN220" s="75"/>
      <c r="CO220" s="75"/>
      <c r="CP220" s="75"/>
      <c r="CQ220" s="75"/>
      <c r="CR220" s="81"/>
      <c r="CS220" s="74"/>
      <c r="CT220" s="75"/>
      <c r="CU220" s="75"/>
      <c r="CV220" s="75"/>
      <c r="CW220" s="75"/>
      <c r="CX220" s="75"/>
      <c r="CY220" s="75"/>
      <c r="CZ220" s="75"/>
      <c r="DA220" s="75"/>
      <c r="DB220" s="75"/>
      <c r="DC220" s="75"/>
      <c r="DD220" s="81"/>
      <c r="DE220" s="74"/>
      <c r="DF220" s="75"/>
      <c r="DG220" s="75"/>
      <c r="DH220" s="75"/>
      <c r="DI220" s="75"/>
      <c r="DJ220" s="75"/>
      <c r="DK220" s="75"/>
      <c r="DL220" s="75"/>
      <c r="DM220" s="75"/>
      <c r="DN220" s="75"/>
      <c r="DO220" s="75"/>
      <c r="DP220" s="81"/>
      <c r="DQ220" s="74"/>
      <c r="DR220" s="75"/>
      <c r="DS220" s="75"/>
      <c r="DT220" s="75"/>
      <c r="DU220" s="75"/>
      <c r="DV220" s="75"/>
      <c r="DW220" s="75"/>
      <c r="DX220" s="75"/>
      <c r="DY220" s="75"/>
      <c r="DZ220" s="75"/>
      <c r="EA220" s="75"/>
      <c r="EB220" s="81"/>
      <c r="EC220" s="74"/>
      <c r="ED220" s="75"/>
      <c r="EE220" s="75"/>
      <c r="EF220" s="75"/>
      <c r="EG220" s="75"/>
      <c r="EH220" s="75"/>
      <c r="EI220" s="75"/>
      <c r="EJ220" s="75"/>
      <c r="EK220" s="75"/>
      <c r="EL220" s="75"/>
      <c r="EM220" s="75"/>
      <c r="EN220" s="81"/>
      <c r="EO220" s="74"/>
      <c r="EP220" s="75"/>
      <c r="EQ220" s="75"/>
      <c r="ER220" s="75"/>
      <c r="ES220" s="75"/>
      <c r="ET220" s="75"/>
      <c r="EU220" s="75"/>
      <c r="EV220" s="75"/>
      <c r="EW220" s="75"/>
      <c r="EX220" s="75"/>
      <c r="EY220" s="75"/>
      <c r="EZ220" s="81"/>
      <c r="FA220" s="74"/>
      <c r="FB220" s="75"/>
      <c r="FC220" s="75"/>
      <c r="FD220" s="75"/>
      <c r="FE220" s="75"/>
      <c r="FF220" s="75"/>
      <c r="FG220" s="75"/>
      <c r="FH220" s="75"/>
      <c r="FI220" s="75"/>
      <c r="FJ220" s="75"/>
      <c r="FK220" s="75"/>
      <c r="FL220" s="81"/>
      <c r="FM220" s="74"/>
      <c r="FN220" s="75"/>
      <c r="FO220" s="75"/>
      <c r="FP220" s="75"/>
      <c r="FQ220" s="75"/>
      <c r="FR220" s="75"/>
      <c r="FS220" s="75"/>
      <c r="FT220" s="75"/>
      <c r="FU220" s="75"/>
      <c r="FV220" s="75"/>
      <c r="FW220" s="75"/>
      <c r="FX220" s="81"/>
      <c r="FY220" s="74"/>
      <c r="FZ220" s="75"/>
      <c r="GA220" s="75"/>
      <c r="GB220" s="75"/>
      <c r="GC220" s="75"/>
      <c r="GD220" s="75"/>
      <c r="GE220" s="75"/>
      <c r="GF220" s="75"/>
      <c r="GG220" s="75"/>
      <c r="GH220" s="75"/>
      <c r="GI220" s="75"/>
      <c r="GJ220" s="81"/>
      <c r="GK220" s="74"/>
      <c r="GL220" s="75"/>
      <c r="GM220" s="75"/>
      <c r="GN220" s="75"/>
      <c r="GO220" s="75"/>
      <c r="GP220" s="75"/>
      <c r="GQ220" s="75"/>
      <c r="GR220" s="75"/>
      <c r="GS220" s="75"/>
      <c r="GT220" s="75"/>
      <c r="GU220" s="75"/>
      <c r="GV220" s="81"/>
      <c r="GW220" s="74"/>
      <c r="GX220" s="75"/>
      <c r="GY220" s="75"/>
      <c r="GZ220" s="75"/>
      <c r="HA220" s="75"/>
      <c r="HB220" s="75"/>
      <c r="HC220" s="75"/>
      <c r="HD220" s="75"/>
      <c r="HE220" s="75"/>
      <c r="HF220" s="75"/>
      <c r="HG220" s="75"/>
      <c r="HH220" s="81"/>
      <c r="HI220" s="75"/>
    </row>
    <row r="221" ht="15.0" customHeight="1">
      <c r="A221" s="74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81"/>
      <c r="M221" s="74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81"/>
      <c r="Y221" s="74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81"/>
      <c r="AK221" s="74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81"/>
      <c r="AW221" s="74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81"/>
      <c r="BI221" s="74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81"/>
      <c r="BU221" s="74"/>
      <c r="BV221" s="75"/>
      <c r="BW221" s="75"/>
      <c r="BX221" s="75"/>
      <c r="BY221" s="75"/>
      <c r="BZ221" s="75"/>
      <c r="CA221" s="75"/>
      <c r="CB221" s="75"/>
      <c r="CC221" s="75"/>
      <c r="CD221" s="75"/>
      <c r="CE221" s="75"/>
      <c r="CF221" s="81"/>
      <c r="CG221" s="74"/>
      <c r="CH221" s="75"/>
      <c r="CI221" s="75"/>
      <c r="CJ221" s="75"/>
      <c r="CK221" s="75"/>
      <c r="CL221" s="75"/>
      <c r="CM221" s="75"/>
      <c r="CN221" s="75"/>
      <c r="CO221" s="75"/>
      <c r="CP221" s="75"/>
      <c r="CQ221" s="75"/>
      <c r="CR221" s="81"/>
      <c r="CS221" s="74"/>
      <c r="CT221" s="75"/>
      <c r="CU221" s="75"/>
      <c r="CV221" s="75"/>
      <c r="CW221" s="75"/>
      <c r="CX221" s="75"/>
      <c r="CY221" s="75"/>
      <c r="CZ221" s="75"/>
      <c r="DA221" s="75"/>
      <c r="DB221" s="75"/>
      <c r="DC221" s="75"/>
      <c r="DD221" s="81"/>
      <c r="DE221" s="74"/>
      <c r="DF221" s="75"/>
      <c r="DG221" s="75"/>
      <c r="DH221" s="75"/>
      <c r="DI221" s="75"/>
      <c r="DJ221" s="75"/>
      <c r="DK221" s="75"/>
      <c r="DL221" s="75"/>
      <c r="DM221" s="75"/>
      <c r="DN221" s="75"/>
      <c r="DO221" s="75"/>
      <c r="DP221" s="81"/>
      <c r="DQ221" s="74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81"/>
      <c r="EC221" s="74"/>
      <c r="ED221" s="75"/>
      <c r="EE221" s="75"/>
      <c r="EF221" s="75"/>
      <c r="EG221" s="75"/>
      <c r="EH221" s="75"/>
      <c r="EI221" s="75"/>
      <c r="EJ221" s="75"/>
      <c r="EK221" s="75"/>
      <c r="EL221" s="75"/>
      <c r="EM221" s="75"/>
      <c r="EN221" s="81"/>
      <c r="EO221" s="74"/>
      <c r="EP221" s="75"/>
      <c r="EQ221" s="75"/>
      <c r="ER221" s="75"/>
      <c r="ES221" s="75"/>
      <c r="ET221" s="75"/>
      <c r="EU221" s="75"/>
      <c r="EV221" s="75"/>
      <c r="EW221" s="75"/>
      <c r="EX221" s="75"/>
      <c r="EY221" s="75"/>
      <c r="EZ221" s="81"/>
      <c r="FA221" s="74"/>
      <c r="FB221" s="75"/>
      <c r="FC221" s="75"/>
      <c r="FD221" s="75"/>
      <c r="FE221" s="75"/>
      <c r="FF221" s="75"/>
      <c r="FG221" s="75"/>
      <c r="FH221" s="75"/>
      <c r="FI221" s="75"/>
      <c r="FJ221" s="75"/>
      <c r="FK221" s="75"/>
      <c r="FL221" s="81"/>
      <c r="FM221" s="74"/>
      <c r="FN221" s="75"/>
      <c r="FO221" s="75"/>
      <c r="FP221" s="75"/>
      <c r="FQ221" s="75"/>
      <c r="FR221" s="75"/>
      <c r="FS221" s="75"/>
      <c r="FT221" s="75"/>
      <c r="FU221" s="75"/>
      <c r="FV221" s="75"/>
      <c r="FW221" s="75"/>
      <c r="FX221" s="81"/>
      <c r="FY221" s="74"/>
      <c r="FZ221" s="75"/>
      <c r="GA221" s="75"/>
      <c r="GB221" s="75"/>
      <c r="GC221" s="75"/>
      <c r="GD221" s="75"/>
      <c r="GE221" s="75"/>
      <c r="GF221" s="75"/>
      <c r="GG221" s="75"/>
      <c r="GH221" s="75"/>
      <c r="GI221" s="75"/>
      <c r="GJ221" s="81"/>
      <c r="GK221" s="74"/>
      <c r="GL221" s="75"/>
      <c r="GM221" s="75"/>
      <c r="GN221" s="75"/>
      <c r="GO221" s="75"/>
      <c r="GP221" s="75"/>
      <c r="GQ221" s="75"/>
      <c r="GR221" s="75"/>
      <c r="GS221" s="75"/>
      <c r="GT221" s="75"/>
      <c r="GU221" s="75"/>
      <c r="GV221" s="81"/>
      <c r="GW221" s="74"/>
      <c r="GX221" s="75"/>
      <c r="GY221" s="75"/>
      <c r="GZ221" s="75"/>
      <c r="HA221" s="75"/>
      <c r="HB221" s="75"/>
      <c r="HC221" s="75"/>
      <c r="HD221" s="75"/>
      <c r="HE221" s="75"/>
      <c r="HF221" s="75"/>
      <c r="HG221" s="75"/>
      <c r="HH221" s="81"/>
      <c r="HI221" s="75"/>
    </row>
    <row r="222" ht="15.0" customHeight="1">
      <c r="A222" s="74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81"/>
      <c r="M222" s="74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81"/>
      <c r="Y222" s="74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81"/>
      <c r="AK222" s="74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81"/>
      <c r="AW222" s="74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81"/>
      <c r="BI222" s="74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81"/>
      <c r="BU222" s="74"/>
      <c r="BV222" s="75"/>
      <c r="BW222" s="75"/>
      <c r="BX222" s="75"/>
      <c r="BY222" s="75"/>
      <c r="BZ222" s="75"/>
      <c r="CA222" s="75"/>
      <c r="CB222" s="75"/>
      <c r="CC222" s="75"/>
      <c r="CD222" s="75"/>
      <c r="CE222" s="75"/>
      <c r="CF222" s="81"/>
      <c r="CG222" s="74"/>
      <c r="CH222" s="75"/>
      <c r="CI222" s="75"/>
      <c r="CJ222" s="75"/>
      <c r="CK222" s="75"/>
      <c r="CL222" s="75"/>
      <c r="CM222" s="75"/>
      <c r="CN222" s="75"/>
      <c r="CO222" s="75"/>
      <c r="CP222" s="75"/>
      <c r="CQ222" s="75"/>
      <c r="CR222" s="81"/>
      <c r="CS222" s="74"/>
      <c r="CT222" s="75"/>
      <c r="CU222" s="75"/>
      <c r="CV222" s="75"/>
      <c r="CW222" s="75"/>
      <c r="CX222" s="75"/>
      <c r="CY222" s="75"/>
      <c r="CZ222" s="75"/>
      <c r="DA222" s="75"/>
      <c r="DB222" s="75"/>
      <c r="DC222" s="75"/>
      <c r="DD222" s="81"/>
      <c r="DE222" s="74"/>
      <c r="DF222" s="75"/>
      <c r="DG222" s="75"/>
      <c r="DH222" s="75"/>
      <c r="DI222" s="75"/>
      <c r="DJ222" s="75"/>
      <c r="DK222" s="75"/>
      <c r="DL222" s="75"/>
      <c r="DM222" s="75"/>
      <c r="DN222" s="75"/>
      <c r="DO222" s="75"/>
      <c r="DP222" s="81"/>
      <c r="DQ222" s="74"/>
      <c r="DR222" s="75"/>
      <c r="DS222" s="75"/>
      <c r="DT222" s="75"/>
      <c r="DU222" s="75"/>
      <c r="DV222" s="75"/>
      <c r="DW222" s="75"/>
      <c r="DX222" s="75"/>
      <c r="DY222" s="75"/>
      <c r="DZ222" s="75"/>
      <c r="EA222" s="75"/>
      <c r="EB222" s="81"/>
      <c r="EC222" s="74"/>
      <c r="ED222" s="75"/>
      <c r="EE222" s="75"/>
      <c r="EF222" s="75"/>
      <c r="EG222" s="75"/>
      <c r="EH222" s="75"/>
      <c r="EI222" s="75"/>
      <c r="EJ222" s="75"/>
      <c r="EK222" s="75"/>
      <c r="EL222" s="75"/>
      <c r="EM222" s="75"/>
      <c r="EN222" s="81"/>
      <c r="EO222" s="74"/>
      <c r="EP222" s="75"/>
      <c r="EQ222" s="75"/>
      <c r="ER222" s="75"/>
      <c r="ES222" s="75"/>
      <c r="ET222" s="75"/>
      <c r="EU222" s="75"/>
      <c r="EV222" s="75"/>
      <c r="EW222" s="75"/>
      <c r="EX222" s="75"/>
      <c r="EY222" s="75"/>
      <c r="EZ222" s="81"/>
      <c r="FA222" s="74"/>
      <c r="FB222" s="75"/>
      <c r="FC222" s="75"/>
      <c r="FD222" s="75"/>
      <c r="FE222" s="75"/>
      <c r="FF222" s="75"/>
      <c r="FG222" s="75"/>
      <c r="FH222" s="75"/>
      <c r="FI222" s="75"/>
      <c r="FJ222" s="75"/>
      <c r="FK222" s="75"/>
      <c r="FL222" s="81"/>
      <c r="FM222" s="74"/>
      <c r="FN222" s="75"/>
      <c r="FO222" s="75"/>
      <c r="FP222" s="75"/>
      <c r="FQ222" s="75"/>
      <c r="FR222" s="75"/>
      <c r="FS222" s="75"/>
      <c r="FT222" s="75"/>
      <c r="FU222" s="75"/>
      <c r="FV222" s="75"/>
      <c r="FW222" s="75"/>
      <c r="FX222" s="81"/>
      <c r="FY222" s="74"/>
      <c r="FZ222" s="75"/>
      <c r="GA222" s="75"/>
      <c r="GB222" s="75"/>
      <c r="GC222" s="75"/>
      <c r="GD222" s="75"/>
      <c r="GE222" s="75"/>
      <c r="GF222" s="75"/>
      <c r="GG222" s="75"/>
      <c r="GH222" s="75"/>
      <c r="GI222" s="75"/>
      <c r="GJ222" s="81"/>
      <c r="GK222" s="74"/>
      <c r="GL222" s="75"/>
      <c r="GM222" s="75"/>
      <c r="GN222" s="75"/>
      <c r="GO222" s="75"/>
      <c r="GP222" s="75"/>
      <c r="GQ222" s="75"/>
      <c r="GR222" s="75"/>
      <c r="GS222" s="75"/>
      <c r="GT222" s="75"/>
      <c r="GU222" s="75"/>
      <c r="GV222" s="81"/>
      <c r="GW222" s="74"/>
      <c r="GX222" s="75"/>
      <c r="GY222" s="75"/>
      <c r="GZ222" s="75"/>
      <c r="HA222" s="75"/>
      <c r="HB222" s="75"/>
      <c r="HC222" s="75"/>
      <c r="HD222" s="75"/>
      <c r="HE222" s="75"/>
      <c r="HF222" s="75"/>
      <c r="HG222" s="75"/>
      <c r="HH222" s="81"/>
      <c r="HI222" s="75"/>
    </row>
    <row r="223" ht="15.0" customHeight="1">
      <c r="A223" s="74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81"/>
      <c r="M223" s="74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81"/>
      <c r="Y223" s="74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81"/>
      <c r="AK223" s="74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81"/>
      <c r="AW223" s="74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81"/>
      <c r="BI223" s="74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81"/>
      <c r="BU223" s="74"/>
      <c r="BV223" s="75"/>
      <c r="BW223" s="75"/>
      <c r="BX223" s="75"/>
      <c r="BY223" s="75"/>
      <c r="BZ223" s="75"/>
      <c r="CA223" s="75"/>
      <c r="CB223" s="75"/>
      <c r="CC223" s="75"/>
      <c r="CD223" s="75"/>
      <c r="CE223" s="75"/>
      <c r="CF223" s="81"/>
      <c r="CG223" s="74"/>
      <c r="CH223" s="75"/>
      <c r="CI223" s="75"/>
      <c r="CJ223" s="75"/>
      <c r="CK223" s="75"/>
      <c r="CL223" s="75"/>
      <c r="CM223" s="75"/>
      <c r="CN223" s="75"/>
      <c r="CO223" s="75"/>
      <c r="CP223" s="75"/>
      <c r="CQ223" s="75"/>
      <c r="CR223" s="81"/>
      <c r="CS223" s="74"/>
      <c r="CT223" s="75"/>
      <c r="CU223" s="75"/>
      <c r="CV223" s="75"/>
      <c r="CW223" s="75"/>
      <c r="CX223" s="75"/>
      <c r="CY223" s="75"/>
      <c r="CZ223" s="75"/>
      <c r="DA223" s="75"/>
      <c r="DB223" s="75"/>
      <c r="DC223" s="75"/>
      <c r="DD223" s="81"/>
      <c r="DE223" s="74"/>
      <c r="DF223" s="75"/>
      <c r="DG223" s="75"/>
      <c r="DH223" s="75"/>
      <c r="DI223" s="75"/>
      <c r="DJ223" s="75"/>
      <c r="DK223" s="75"/>
      <c r="DL223" s="75"/>
      <c r="DM223" s="75"/>
      <c r="DN223" s="75"/>
      <c r="DO223" s="75"/>
      <c r="DP223" s="81"/>
      <c r="DQ223" s="74"/>
      <c r="DR223" s="75"/>
      <c r="DS223" s="75"/>
      <c r="DT223" s="75"/>
      <c r="DU223" s="75"/>
      <c r="DV223" s="75"/>
      <c r="DW223" s="75"/>
      <c r="DX223" s="75"/>
      <c r="DY223" s="75"/>
      <c r="DZ223" s="75"/>
      <c r="EA223" s="75"/>
      <c r="EB223" s="81"/>
      <c r="EC223" s="74"/>
      <c r="ED223" s="75"/>
      <c r="EE223" s="75"/>
      <c r="EF223" s="75"/>
      <c r="EG223" s="75"/>
      <c r="EH223" s="75"/>
      <c r="EI223" s="75"/>
      <c r="EJ223" s="75"/>
      <c r="EK223" s="75"/>
      <c r="EL223" s="75"/>
      <c r="EM223" s="75"/>
      <c r="EN223" s="81"/>
      <c r="EO223" s="74"/>
      <c r="EP223" s="75"/>
      <c r="EQ223" s="75"/>
      <c r="ER223" s="75"/>
      <c r="ES223" s="75"/>
      <c r="ET223" s="75"/>
      <c r="EU223" s="75"/>
      <c r="EV223" s="75"/>
      <c r="EW223" s="75"/>
      <c r="EX223" s="75"/>
      <c r="EY223" s="75"/>
      <c r="EZ223" s="81"/>
      <c r="FA223" s="74"/>
      <c r="FB223" s="75"/>
      <c r="FC223" s="75"/>
      <c r="FD223" s="75"/>
      <c r="FE223" s="75"/>
      <c r="FF223" s="75"/>
      <c r="FG223" s="75"/>
      <c r="FH223" s="75"/>
      <c r="FI223" s="75"/>
      <c r="FJ223" s="75"/>
      <c r="FK223" s="75"/>
      <c r="FL223" s="81"/>
      <c r="FM223" s="74"/>
      <c r="FN223" s="75"/>
      <c r="FO223" s="75"/>
      <c r="FP223" s="75"/>
      <c r="FQ223" s="75"/>
      <c r="FR223" s="75"/>
      <c r="FS223" s="75"/>
      <c r="FT223" s="75"/>
      <c r="FU223" s="75"/>
      <c r="FV223" s="75"/>
      <c r="FW223" s="75"/>
      <c r="FX223" s="81"/>
      <c r="FY223" s="74"/>
      <c r="FZ223" s="75"/>
      <c r="GA223" s="75"/>
      <c r="GB223" s="75"/>
      <c r="GC223" s="75"/>
      <c r="GD223" s="75"/>
      <c r="GE223" s="75"/>
      <c r="GF223" s="75"/>
      <c r="GG223" s="75"/>
      <c r="GH223" s="75"/>
      <c r="GI223" s="75"/>
      <c r="GJ223" s="81"/>
      <c r="GK223" s="74"/>
      <c r="GL223" s="75"/>
      <c r="GM223" s="75"/>
      <c r="GN223" s="75"/>
      <c r="GO223" s="75"/>
      <c r="GP223" s="75"/>
      <c r="GQ223" s="75"/>
      <c r="GR223" s="75"/>
      <c r="GS223" s="75"/>
      <c r="GT223" s="75"/>
      <c r="GU223" s="75"/>
      <c r="GV223" s="81"/>
      <c r="GW223" s="74"/>
      <c r="GX223" s="75"/>
      <c r="GY223" s="75"/>
      <c r="GZ223" s="75"/>
      <c r="HA223" s="75"/>
      <c r="HB223" s="75"/>
      <c r="HC223" s="75"/>
      <c r="HD223" s="75"/>
      <c r="HE223" s="75"/>
      <c r="HF223" s="75"/>
      <c r="HG223" s="75"/>
      <c r="HH223" s="81"/>
      <c r="HI223" s="75"/>
    </row>
    <row r="224" ht="15.0" customHeight="1">
      <c r="A224" s="74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81"/>
      <c r="M224" s="74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81"/>
      <c r="Y224" s="74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81"/>
      <c r="AK224" s="74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81"/>
      <c r="AW224" s="74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81"/>
      <c r="BI224" s="74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81"/>
      <c r="BU224" s="74"/>
      <c r="BV224" s="75"/>
      <c r="BW224" s="75"/>
      <c r="BX224" s="75"/>
      <c r="BY224" s="75"/>
      <c r="BZ224" s="75"/>
      <c r="CA224" s="75"/>
      <c r="CB224" s="75"/>
      <c r="CC224" s="75"/>
      <c r="CD224" s="75"/>
      <c r="CE224" s="75"/>
      <c r="CF224" s="81"/>
      <c r="CG224" s="74"/>
      <c r="CH224" s="75"/>
      <c r="CI224" s="75"/>
      <c r="CJ224" s="75"/>
      <c r="CK224" s="75"/>
      <c r="CL224" s="75"/>
      <c r="CM224" s="75"/>
      <c r="CN224" s="75"/>
      <c r="CO224" s="75"/>
      <c r="CP224" s="75"/>
      <c r="CQ224" s="75"/>
      <c r="CR224" s="81"/>
      <c r="CS224" s="74"/>
      <c r="CT224" s="75"/>
      <c r="CU224" s="75"/>
      <c r="CV224" s="75"/>
      <c r="CW224" s="75"/>
      <c r="CX224" s="75"/>
      <c r="CY224" s="75"/>
      <c r="CZ224" s="75"/>
      <c r="DA224" s="75"/>
      <c r="DB224" s="75"/>
      <c r="DC224" s="75"/>
      <c r="DD224" s="81"/>
      <c r="DE224" s="74"/>
      <c r="DF224" s="75"/>
      <c r="DG224" s="75"/>
      <c r="DH224" s="75"/>
      <c r="DI224" s="75"/>
      <c r="DJ224" s="75"/>
      <c r="DK224" s="75"/>
      <c r="DL224" s="75"/>
      <c r="DM224" s="75"/>
      <c r="DN224" s="75"/>
      <c r="DO224" s="75"/>
      <c r="DP224" s="81"/>
      <c r="DQ224" s="74"/>
      <c r="DR224" s="75"/>
      <c r="DS224" s="75"/>
      <c r="DT224" s="75"/>
      <c r="DU224" s="75"/>
      <c r="DV224" s="75"/>
      <c r="DW224" s="75"/>
      <c r="DX224" s="75"/>
      <c r="DY224" s="75"/>
      <c r="DZ224" s="75"/>
      <c r="EA224" s="75"/>
      <c r="EB224" s="81"/>
      <c r="EC224" s="74"/>
      <c r="ED224" s="75"/>
      <c r="EE224" s="75"/>
      <c r="EF224" s="75"/>
      <c r="EG224" s="75"/>
      <c r="EH224" s="75"/>
      <c r="EI224" s="75"/>
      <c r="EJ224" s="75"/>
      <c r="EK224" s="75"/>
      <c r="EL224" s="75"/>
      <c r="EM224" s="75"/>
      <c r="EN224" s="81"/>
      <c r="EO224" s="74"/>
      <c r="EP224" s="75"/>
      <c r="EQ224" s="75"/>
      <c r="ER224" s="75"/>
      <c r="ES224" s="75"/>
      <c r="ET224" s="75"/>
      <c r="EU224" s="75"/>
      <c r="EV224" s="75"/>
      <c r="EW224" s="75"/>
      <c r="EX224" s="75"/>
      <c r="EY224" s="75"/>
      <c r="EZ224" s="81"/>
      <c r="FA224" s="74"/>
      <c r="FB224" s="75"/>
      <c r="FC224" s="75"/>
      <c r="FD224" s="75"/>
      <c r="FE224" s="75"/>
      <c r="FF224" s="75"/>
      <c r="FG224" s="75"/>
      <c r="FH224" s="75"/>
      <c r="FI224" s="75"/>
      <c r="FJ224" s="75"/>
      <c r="FK224" s="75"/>
      <c r="FL224" s="81"/>
      <c r="FM224" s="74"/>
      <c r="FN224" s="75"/>
      <c r="FO224" s="75"/>
      <c r="FP224" s="75"/>
      <c r="FQ224" s="75"/>
      <c r="FR224" s="75"/>
      <c r="FS224" s="75"/>
      <c r="FT224" s="75"/>
      <c r="FU224" s="75"/>
      <c r="FV224" s="75"/>
      <c r="FW224" s="75"/>
      <c r="FX224" s="81"/>
      <c r="FY224" s="74"/>
      <c r="FZ224" s="75"/>
      <c r="GA224" s="75"/>
      <c r="GB224" s="75"/>
      <c r="GC224" s="75"/>
      <c r="GD224" s="75"/>
      <c r="GE224" s="75"/>
      <c r="GF224" s="75"/>
      <c r="GG224" s="75"/>
      <c r="GH224" s="75"/>
      <c r="GI224" s="75"/>
      <c r="GJ224" s="81"/>
      <c r="GK224" s="74"/>
      <c r="GL224" s="75"/>
      <c r="GM224" s="75"/>
      <c r="GN224" s="75"/>
      <c r="GO224" s="75"/>
      <c r="GP224" s="75"/>
      <c r="GQ224" s="75"/>
      <c r="GR224" s="75"/>
      <c r="GS224" s="75"/>
      <c r="GT224" s="75"/>
      <c r="GU224" s="75"/>
      <c r="GV224" s="81"/>
      <c r="GW224" s="74"/>
      <c r="GX224" s="75"/>
      <c r="GY224" s="75"/>
      <c r="GZ224" s="75"/>
      <c r="HA224" s="75"/>
      <c r="HB224" s="75"/>
      <c r="HC224" s="75"/>
      <c r="HD224" s="75"/>
      <c r="HE224" s="75"/>
      <c r="HF224" s="75"/>
      <c r="HG224" s="75"/>
      <c r="HH224" s="81"/>
      <c r="HI224" s="75"/>
    </row>
    <row r="225" ht="15.0" customHeight="1">
      <c r="A225" s="74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81"/>
      <c r="M225" s="74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81"/>
      <c r="Y225" s="74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81"/>
      <c r="AK225" s="74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81"/>
      <c r="AW225" s="74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81"/>
      <c r="BI225" s="74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81"/>
      <c r="BU225" s="74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81"/>
      <c r="CG225" s="74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81"/>
      <c r="CS225" s="74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81"/>
      <c r="DE225" s="74"/>
      <c r="DF225" s="75"/>
      <c r="DG225" s="75"/>
      <c r="DH225" s="75"/>
      <c r="DI225" s="75"/>
      <c r="DJ225" s="75"/>
      <c r="DK225" s="75"/>
      <c r="DL225" s="75"/>
      <c r="DM225" s="75"/>
      <c r="DN225" s="75"/>
      <c r="DO225" s="75"/>
      <c r="DP225" s="81"/>
      <c r="DQ225" s="74"/>
      <c r="DR225" s="75"/>
      <c r="DS225" s="75"/>
      <c r="DT225" s="75"/>
      <c r="DU225" s="75"/>
      <c r="DV225" s="75"/>
      <c r="DW225" s="75"/>
      <c r="DX225" s="75"/>
      <c r="DY225" s="75"/>
      <c r="DZ225" s="75"/>
      <c r="EA225" s="75"/>
      <c r="EB225" s="81"/>
      <c r="EC225" s="74"/>
      <c r="ED225" s="75"/>
      <c r="EE225" s="75"/>
      <c r="EF225" s="75"/>
      <c r="EG225" s="75"/>
      <c r="EH225" s="75"/>
      <c r="EI225" s="75"/>
      <c r="EJ225" s="75"/>
      <c r="EK225" s="75"/>
      <c r="EL225" s="75"/>
      <c r="EM225" s="75"/>
      <c r="EN225" s="81"/>
      <c r="EO225" s="74"/>
      <c r="EP225" s="75"/>
      <c r="EQ225" s="75"/>
      <c r="ER225" s="75"/>
      <c r="ES225" s="75"/>
      <c r="ET225" s="75"/>
      <c r="EU225" s="75"/>
      <c r="EV225" s="75"/>
      <c r="EW225" s="75"/>
      <c r="EX225" s="75"/>
      <c r="EY225" s="75"/>
      <c r="EZ225" s="81"/>
      <c r="FA225" s="74"/>
      <c r="FB225" s="75"/>
      <c r="FC225" s="75"/>
      <c r="FD225" s="75"/>
      <c r="FE225" s="75"/>
      <c r="FF225" s="75"/>
      <c r="FG225" s="75"/>
      <c r="FH225" s="75"/>
      <c r="FI225" s="75"/>
      <c r="FJ225" s="75"/>
      <c r="FK225" s="75"/>
      <c r="FL225" s="81"/>
      <c r="FM225" s="74"/>
      <c r="FN225" s="75"/>
      <c r="FO225" s="75"/>
      <c r="FP225" s="75"/>
      <c r="FQ225" s="75"/>
      <c r="FR225" s="75"/>
      <c r="FS225" s="75"/>
      <c r="FT225" s="75"/>
      <c r="FU225" s="75"/>
      <c r="FV225" s="75"/>
      <c r="FW225" s="75"/>
      <c r="FX225" s="81"/>
      <c r="FY225" s="74"/>
      <c r="FZ225" s="75"/>
      <c r="GA225" s="75"/>
      <c r="GB225" s="75"/>
      <c r="GC225" s="75"/>
      <c r="GD225" s="75"/>
      <c r="GE225" s="75"/>
      <c r="GF225" s="75"/>
      <c r="GG225" s="75"/>
      <c r="GH225" s="75"/>
      <c r="GI225" s="75"/>
      <c r="GJ225" s="81"/>
      <c r="GK225" s="74"/>
      <c r="GL225" s="75"/>
      <c r="GM225" s="75"/>
      <c r="GN225" s="75"/>
      <c r="GO225" s="75"/>
      <c r="GP225" s="75"/>
      <c r="GQ225" s="75"/>
      <c r="GR225" s="75"/>
      <c r="GS225" s="75"/>
      <c r="GT225" s="75"/>
      <c r="GU225" s="75"/>
      <c r="GV225" s="81"/>
      <c r="GW225" s="74"/>
      <c r="GX225" s="75"/>
      <c r="GY225" s="75"/>
      <c r="GZ225" s="75"/>
      <c r="HA225" s="75"/>
      <c r="HB225" s="75"/>
      <c r="HC225" s="75"/>
      <c r="HD225" s="75"/>
      <c r="HE225" s="75"/>
      <c r="HF225" s="75"/>
      <c r="HG225" s="75"/>
      <c r="HH225" s="81"/>
      <c r="HI225" s="75"/>
    </row>
    <row r="226" ht="15.0" customHeight="1">
      <c r="A226" s="74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81"/>
      <c r="M226" s="74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81"/>
      <c r="Y226" s="74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81"/>
      <c r="AK226" s="74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81"/>
      <c r="AW226" s="74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81"/>
      <c r="BI226" s="74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81"/>
      <c r="BU226" s="74"/>
      <c r="BV226" s="75"/>
      <c r="BW226" s="75"/>
      <c r="BX226" s="75"/>
      <c r="BY226" s="75"/>
      <c r="BZ226" s="75"/>
      <c r="CA226" s="75"/>
      <c r="CB226" s="75"/>
      <c r="CC226" s="75"/>
      <c r="CD226" s="75"/>
      <c r="CE226" s="75"/>
      <c r="CF226" s="81"/>
      <c r="CG226" s="74"/>
      <c r="CH226" s="75"/>
      <c r="CI226" s="75"/>
      <c r="CJ226" s="75"/>
      <c r="CK226" s="75"/>
      <c r="CL226" s="75"/>
      <c r="CM226" s="75"/>
      <c r="CN226" s="75"/>
      <c r="CO226" s="75"/>
      <c r="CP226" s="75"/>
      <c r="CQ226" s="75"/>
      <c r="CR226" s="81"/>
      <c r="CS226" s="74"/>
      <c r="CT226" s="75"/>
      <c r="CU226" s="75"/>
      <c r="CV226" s="75"/>
      <c r="CW226" s="75"/>
      <c r="CX226" s="75"/>
      <c r="CY226" s="75"/>
      <c r="CZ226" s="75"/>
      <c r="DA226" s="75"/>
      <c r="DB226" s="75"/>
      <c r="DC226" s="75"/>
      <c r="DD226" s="81"/>
      <c r="DE226" s="74"/>
      <c r="DF226" s="75"/>
      <c r="DG226" s="75"/>
      <c r="DH226" s="75"/>
      <c r="DI226" s="75"/>
      <c r="DJ226" s="75"/>
      <c r="DK226" s="75"/>
      <c r="DL226" s="75"/>
      <c r="DM226" s="75"/>
      <c r="DN226" s="75"/>
      <c r="DO226" s="75"/>
      <c r="DP226" s="81"/>
      <c r="DQ226" s="74"/>
      <c r="DR226" s="75"/>
      <c r="DS226" s="75"/>
      <c r="DT226" s="75"/>
      <c r="DU226" s="75"/>
      <c r="DV226" s="75"/>
      <c r="DW226" s="75"/>
      <c r="DX226" s="75"/>
      <c r="DY226" s="75"/>
      <c r="DZ226" s="75"/>
      <c r="EA226" s="75"/>
      <c r="EB226" s="81"/>
      <c r="EC226" s="74"/>
      <c r="ED226" s="75"/>
      <c r="EE226" s="75"/>
      <c r="EF226" s="75"/>
      <c r="EG226" s="75"/>
      <c r="EH226" s="75"/>
      <c r="EI226" s="75"/>
      <c r="EJ226" s="75"/>
      <c r="EK226" s="75"/>
      <c r="EL226" s="75"/>
      <c r="EM226" s="75"/>
      <c r="EN226" s="81"/>
      <c r="EO226" s="74"/>
      <c r="EP226" s="75"/>
      <c r="EQ226" s="75"/>
      <c r="ER226" s="75"/>
      <c r="ES226" s="75"/>
      <c r="ET226" s="75"/>
      <c r="EU226" s="75"/>
      <c r="EV226" s="75"/>
      <c r="EW226" s="75"/>
      <c r="EX226" s="75"/>
      <c r="EY226" s="75"/>
      <c r="EZ226" s="81"/>
      <c r="FA226" s="74"/>
      <c r="FB226" s="75"/>
      <c r="FC226" s="75"/>
      <c r="FD226" s="75"/>
      <c r="FE226" s="75"/>
      <c r="FF226" s="75"/>
      <c r="FG226" s="75"/>
      <c r="FH226" s="75"/>
      <c r="FI226" s="75"/>
      <c r="FJ226" s="75"/>
      <c r="FK226" s="75"/>
      <c r="FL226" s="81"/>
      <c r="FM226" s="74"/>
      <c r="FN226" s="75"/>
      <c r="FO226" s="75"/>
      <c r="FP226" s="75"/>
      <c r="FQ226" s="75"/>
      <c r="FR226" s="75"/>
      <c r="FS226" s="75"/>
      <c r="FT226" s="75"/>
      <c r="FU226" s="75"/>
      <c r="FV226" s="75"/>
      <c r="FW226" s="75"/>
      <c r="FX226" s="81"/>
      <c r="FY226" s="74"/>
      <c r="FZ226" s="75"/>
      <c r="GA226" s="75"/>
      <c r="GB226" s="75"/>
      <c r="GC226" s="75"/>
      <c r="GD226" s="75"/>
      <c r="GE226" s="75"/>
      <c r="GF226" s="75"/>
      <c r="GG226" s="75"/>
      <c r="GH226" s="75"/>
      <c r="GI226" s="75"/>
      <c r="GJ226" s="81"/>
      <c r="GK226" s="74"/>
      <c r="GL226" s="75"/>
      <c r="GM226" s="75"/>
      <c r="GN226" s="75"/>
      <c r="GO226" s="75"/>
      <c r="GP226" s="75"/>
      <c r="GQ226" s="75"/>
      <c r="GR226" s="75"/>
      <c r="GS226" s="75"/>
      <c r="GT226" s="75"/>
      <c r="GU226" s="75"/>
      <c r="GV226" s="81"/>
      <c r="GW226" s="74"/>
      <c r="GX226" s="75"/>
      <c r="GY226" s="75"/>
      <c r="GZ226" s="75"/>
      <c r="HA226" s="75"/>
      <c r="HB226" s="75"/>
      <c r="HC226" s="75"/>
      <c r="HD226" s="75"/>
      <c r="HE226" s="75"/>
      <c r="HF226" s="75"/>
      <c r="HG226" s="75"/>
      <c r="HH226" s="81"/>
      <c r="HI226" s="75"/>
    </row>
    <row r="227" ht="15.0" customHeight="1">
      <c r="A227" s="74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81"/>
      <c r="M227" s="74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81"/>
      <c r="Y227" s="74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81"/>
      <c r="AK227" s="74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81"/>
      <c r="AW227" s="74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81"/>
      <c r="BI227" s="74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81"/>
      <c r="BU227" s="74"/>
      <c r="BV227" s="75"/>
      <c r="BW227" s="75"/>
      <c r="BX227" s="75"/>
      <c r="BY227" s="75"/>
      <c r="BZ227" s="75"/>
      <c r="CA227" s="75"/>
      <c r="CB227" s="75"/>
      <c r="CC227" s="75"/>
      <c r="CD227" s="75"/>
      <c r="CE227" s="75"/>
      <c r="CF227" s="81"/>
      <c r="CG227" s="74"/>
      <c r="CH227" s="75"/>
      <c r="CI227" s="75"/>
      <c r="CJ227" s="75"/>
      <c r="CK227" s="75"/>
      <c r="CL227" s="75"/>
      <c r="CM227" s="75"/>
      <c r="CN227" s="75"/>
      <c r="CO227" s="75"/>
      <c r="CP227" s="75"/>
      <c r="CQ227" s="75"/>
      <c r="CR227" s="81"/>
      <c r="CS227" s="74"/>
      <c r="CT227" s="75"/>
      <c r="CU227" s="75"/>
      <c r="CV227" s="75"/>
      <c r="CW227" s="75"/>
      <c r="CX227" s="75"/>
      <c r="CY227" s="75"/>
      <c r="CZ227" s="75"/>
      <c r="DA227" s="75"/>
      <c r="DB227" s="75"/>
      <c r="DC227" s="75"/>
      <c r="DD227" s="81"/>
      <c r="DE227" s="74"/>
      <c r="DF227" s="75"/>
      <c r="DG227" s="75"/>
      <c r="DH227" s="75"/>
      <c r="DI227" s="75"/>
      <c r="DJ227" s="75"/>
      <c r="DK227" s="75"/>
      <c r="DL227" s="75"/>
      <c r="DM227" s="75"/>
      <c r="DN227" s="75"/>
      <c r="DO227" s="75"/>
      <c r="DP227" s="81"/>
      <c r="DQ227" s="74"/>
      <c r="DR227" s="75"/>
      <c r="DS227" s="75"/>
      <c r="DT227" s="75"/>
      <c r="DU227" s="75"/>
      <c r="DV227" s="75"/>
      <c r="DW227" s="75"/>
      <c r="DX227" s="75"/>
      <c r="DY227" s="75"/>
      <c r="DZ227" s="75"/>
      <c r="EA227" s="75"/>
      <c r="EB227" s="81"/>
      <c r="EC227" s="74"/>
      <c r="ED227" s="75"/>
      <c r="EE227" s="75"/>
      <c r="EF227" s="75"/>
      <c r="EG227" s="75"/>
      <c r="EH227" s="75"/>
      <c r="EI227" s="75"/>
      <c r="EJ227" s="75"/>
      <c r="EK227" s="75"/>
      <c r="EL227" s="75"/>
      <c r="EM227" s="75"/>
      <c r="EN227" s="81"/>
      <c r="EO227" s="74"/>
      <c r="EP227" s="75"/>
      <c r="EQ227" s="75"/>
      <c r="ER227" s="75"/>
      <c r="ES227" s="75"/>
      <c r="ET227" s="75"/>
      <c r="EU227" s="75"/>
      <c r="EV227" s="75"/>
      <c r="EW227" s="75"/>
      <c r="EX227" s="75"/>
      <c r="EY227" s="75"/>
      <c r="EZ227" s="81"/>
      <c r="FA227" s="74"/>
      <c r="FB227" s="75"/>
      <c r="FC227" s="75"/>
      <c r="FD227" s="75"/>
      <c r="FE227" s="75"/>
      <c r="FF227" s="75"/>
      <c r="FG227" s="75"/>
      <c r="FH227" s="75"/>
      <c r="FI227" s="75"/>
      <c r="FJ227" s="75"/>
      <c r="FK227" s="75"/>
      <c r="FL227" s="81"/>
      <c r="FM227" s="74"/>
      <c r="FN227" s="75"/>
      <c r="FO227" s="75"/>
      <c r="FP227" s="75"/>
      <c r="FQ227" s="75"/>
      <c r="FR227" s="75"/>
      <c r="FS227" s="75"/>
      <c r="FT227" s="75"/>
      <c r="FU227" s="75"/>
      <c r="FV227" s="75"/>
      <c r="FW227" s="75"/>
      <c r="FX227" s="81"/>
      <c r="FY227" s="74"/>
      <c r="FZ227" s="75"/>
      <c r="GA227" s="75"/>
      <c r="GB227" s="75"/>
      <c r="GC227" s="75"/>
      <c r="GD227" s="75"/>
      <c r="GE227" s="75"/>
      <c r="GF227" s="75"/>
      <c r="GG227" s="75"/>
      <c r="GH227" s="75"/>
      <c r="GI227" s="75"/>
      <c r="GJ227" s="81"/>
      <c r="GK227" s="74"/>
      <c r="GL227" s="75"/>
      <c r="GM227" s="75"/>
      <c r="GN227" s="75"/>
      <c r="GO227" s="75"/>
      <c r="GP227" s="75"/>
      <c r="GQ227" s="75"/>
      <c r="GR227" s="75"/>
      <c r="GS227" s="75"/>
      <c r="GT227" s="75"/>
      <c r="GU227" s="75"/>
      <c r="GV227" s="81"/>
      <c r="GW227" s="74"/>
      <c r="GX227" s="75"/>
      <c r="GY227" s="75"/>
      <c r="GZ227" s="75"/>
      <c r="HA227" s="75"/>
      <c r="HB227" s="75"/>
      <c r="HC227" s="75"/>
      <c r="HD227" s="75"/>
      <c r="HE227" s="75"/>
      <c r="HF227" s="75"/>
      <c r="HG227" s="75"/>
      <c r="HH227" s="81"/>
      <c r="HI227" s="75"/>
    </row>
    <row r="228" ht="15.0" customHeight="1">
      <c r="A228" s="74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81"/>
      <c r="M228" s="74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81"/>
      <c r="Y228" s="74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81"/>
      <c r="AK228" s="74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81"/>
      <c r="AW228" s="74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81"/>
      <c r="BI228" s="74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81"/>
      <c r="BU228" s="74"/>
      <c r="BV228" s="75"/>
      <c r="BW228" s="75"/>
      <c r="BX228" s="75"/>
      <c r="BY228" s="75"/>
      <c r="BZ228" s="75"/>
      <c r="CA228" s="75"/>
      <c r="CB228" s="75"/>
      <c r="CC228" s="75"/>
      <c r="CD228" s="75"/>
      <c r="CE228" s="75"/>
      <c r="CF228" s="81"/>
      <c r="CG228" s="74"/>
      <c r="CH228" s="75"/>
      <c r="CI228" s="75"/>
      <c r="CJ228" s="75"/>
      <c r="CK228" s="75"/>
      <c r="CL228" s="75"/>
      <c r="CM228" s="75"/>
      <c r="CN228" s="75"/>
      <c r="CO228" s="75"/>
      <c r="CP228" s="75"/>
      <c r="CQ228" s="75"/>
      <c r="CR228" s="81"/>
      <c r="CS228" s="74"/>
      <c r="CT228" s="75"/>
      <c r="CU228" s="75"/>
      <c r="CV228" s="75"/>
      <c r="CW228" s="75"/>
      <c r="CX228" s="75"/>
      <c r="CY228" s="75"/>
      <c r="CZ228" s="75"/>
      <c r="DA228" s="75"/>
      <c r="DB228" s="75"/>
      <c r="DC228" s="75"/>
      <c r="DD228" s="81"/>
      <c r="DE228" s="74"/>
      <c r="DF228" s="75"/>
      <c r="DG228" s="75"/>
      <c r="DH228" s="75"/>
      <c r="DI228" s="75"/>
      <c r="DJ228" s="75"/>
      <c r="DK228" s="75"/>
      <c r="DL228" s="75"/>
      <c r="DM228" s="75"/>
      <c r="DN228" s="75"/>
      <c r="DO228" s="75"/>
      <c r="DP228" s="81"/>
      <c r="DQ228" s="74"/>
      <c r="DR228" s="75"/>
      <c r="DS228" s="75"/>
      <c r="DT228" s="75"/>
      <c r="DU228" s="75"/>
      <c r="DV228" s="75"/>
      <c r="DW228" s="75"/>
      <c r="DX228" s="75"/>
      <c r="DY228" s="75"/>
      <c r="DZ228" s="75"/>
      <c r="EA228" s="75"/>
      <c r="EB228" s="81"/>
      <c r="EC228" s="74"/>
      <c r="ED228" s="75"/>
      <c r="EE228" s="75"/>
      <c r="EF228" s="75"/>
      <c r="EG228" s="75"/>
      <c r="EH228" s="75"/>
      <c r="EI228" s="75"/>
      <c r="EJ228" s="75"/>
      <c r="EK228" s="75"/>
      <c r="EL228" s="75"/>
      <c r="EM228" s="75"/>
      <c r="EN228" s="81"/>
      <c r="EO228" s="74"/>
      <c r="EP228" s="75"/>
      <c r="EQ228" s="75"/>
      <c r="ER228" s="75"/>
      <c r="ES228" s="75"/>
      <c r="ET228" s="75"/>
      <c r="EU228" s="75"/>
      <c r="EV228" s="75"/>
      <c r="EW228" s="75"/>
      <c r="EX228" s="75"/>
      <c r="EY228" s="75"/>
      <c r="EZ228" s="81"/>
      <c r="FA228" s="74"/>
      <c r="FB228" s="75"/>
      <c r="FC228" s="75"/>
      <c r="FD228" s="75"/>
      <c r="FE228" s="75"/>
      <c r="FF228" s="75"/>
      <c r="FG228" s="75"/>
      <c r="FH228" s="75"/>
      <c r="FI228" s="75"/>
      <c r="FJ228" s="75"/>
      <c r="FK228" s="75"/>
      <c r="FL228" s="81"/>
      <c r="FM228" s="74"/>
      <c r="FN228" s="75"/>
      <c r="FO228" s="75"/>
      <c r="FP228" s="75"/>
      <c r="FQ228" s="75"/>
      <c r="FR228" s="75"/>
      <c r="FS228" s="75"/>
      <c r="FT228" s="75"/>
      <c r="FU228" s="75"/>
      <c r="FV228" s="75"/>
      <c r="FW228" s="75"/>
      <c r="FX228" s="81"/>
      <c r="FY228" s="74"/>
      <c r="FZ228" s="75"/>
      <c r="GA228" s="75"/>
      <c r="GB228" s="75"/>
      <c r="GC228" s="75"/>
      <c r="GD228" s="75"/>
      <c r="GE228" s="75"/>
      <c r="GF228" s="75"/>
      <c r="GG228" s="75"/>
      <c r="GH228" s="75"/>
      <c r="GI228" s="75"/>
      <c r="GJ228" s="81"/>
      <c r="GK228" s="74"/>
      <c r="GL228" s="75"/>
      <c r="GM228" s="75"/>
      <c r="GN228" s="75"/>
      <c r="GO228" s="75"/>
      <c r="GP228" s="75"/>
      <c r="GQ228" s="75"/>
      <c r="GR228" s="75"/>
      <c r="GS228" s="75"/>
      <c r="GT228" s="75"/>
      <c r="GU228" s="75"/>
      <c r="GV228" s="81"/>
      <c r="GW228" s="74"/>
      <c r="GX228" s="75"/>
      <c r="GY228" s="75"/>
      <c r="GZ228" s="75"/>
      <c r="HA228" s="75"/>
      <c r="HB228" s="75"/>
      <c r="HC228" s="75"/>
      <c r="HD228" s="75"/>
      <c r="HE228" s="75"/>
      <c r="HF228" s="75"/>
      <c r="HG228" s="75"/>
      <c r="HH228" s="81"/>
      <c r="HI228" s="75"/>
    </row>
    <row r="229" ht="15.0" customHeight="1">
      <c r="A229" s="74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81"/>
      <c r="M229" s="74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81"/>
      <c r="Y229" s="74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81"/>
      <c r="AK229" s="74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81"/>
      <c r="AW229" s="74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81"/>
      <c r="BI229" s="74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81"/>
      <c r="BU229" s="74"/>
      <c r="BV229" s="75"/>
      <c r="BW229" s="75"/>
      <c r="BX229" s="75"/>
      <c r="BY229" s="75"/>
      <c r="BZ229" s="75"/>
      <c r="CA229" s="75"/>
      <c r="CB229" s="75"/>
      <c r="CC229" s="75"/>
      <c r="CD229" s="75"/>
      <c r="CE229" s="75"/>
      <c r="CF229" s="81"/>
      <c r="CG229" s="74"/>
      <c r="CH229" s="75"/>
      <c r="CI229" s="75"/>
      <c r="CJ229" s="75"/>
      <c r="CK229" s="75"/>
      <c r="CL229" s="75"/>
      <c r="CM229" s="75"/>
      <c r="CN229" s="75"/>
      <c r="CO229" s="75"/>
      <c r="CP229" s="75"/>
      <c r="CQ229" s="75"/>
      <c r="CR229" s="81"/>
      <c r="CS229" s="74"/>
      <c r="CT229" s="75"/>
      <c r="CU229" s="75"/>
      <c r="CV229" s="75"/>
      <c r="CW229" s="75"/>
      <c r="CX229" s="75"/>
      <c r="CY229" s="75"/>
      <c r="CZ229" s="75"/>
      <c r="DA229" s="75"/>
      <c r="DB229" s="75"/>
      <c r="DC229" s="75"/>
      <c r="DD229" s="81"/>
      <c r="DE229" s="74"/>
      <c r="DF229" s="75"/>
      <c r="DG229" s="75"/>
      <c r="DH229" s="75"/>
      <c r="DI229" s="75"/>
      <c r="DJ229" s="75"/>
      <c r="DK229" s="75"/>
      <c r="DL229" s="75"/>
      <c r="DM229" s="75"/>
      <c r="DN229" s="75"/>
      <c r="DO229" s="75"/>
      <c r="DP229" s="81"/>
      <c r="DQ229" s="74"/>
      <c r="DR229" s="75"/>
      <c r="DS229" s="75"/>
      <c r="DT229" s="75"/>
      <c r="DU229" s="75"/>
      <c r="DV229" s="75"/>
      <c r="DW229" s="75"/>
      <c r="DX229" s="75"/>
      <c r="DY229" s="75"/>
      <c r="DZ229" s="75"/>
      <c r="EA229" s="75"/>
      <c r="EB229" s="81"/>
      <c r="EC229" s="74"/>
      <c r="ED229" s="75"/>
      <c r="EE229" s="75"/>
      <c r="EF229" s="75"/>
      <c r="EG229" s="75"/>
      <c r="EH229" s="75"/>
      <c r="EI229" s="75"/>
      <c r="EJ229" s="75"/>
      <c r="EK229" s="75"/>
      <c r="EL229" s="75"/>
      <c r="EM229" s="75"/>
      <c r="EN229" s="81"/>
      <c r="EO229" s="74"/>
      <c r="EP229" s="75"/>
      <c r="EQ229" s="75"/>
      <c r="ER229" s="75"/>
      <c r="ES229" s="75"/>
      <c r="ET229" s="75"/>
      <c r="EU229" s="75"/>
      <c r="EV229" s="75"/>
      <c r="EW229" s="75"/>
      <c r="EX229" s="75"/>
      <c r="EY229" s="75"/>
      <c r="EZ229" s="81"/>
      <c r="FA229" s="74"/>
      <c r="FB229" s="75"/>
      <c r="FC229" s="75"/>
      <c r="FD229" s="75"/>
      <c r="FE229" s="75"/>
      <c r="FF229" s="75"/>
      <c r="FG229" s="75"/>
      <c r="FH229" s="75"/>
      <c r="FI229" s="75"/>
      <c r="FJ229" s="75"/>
      <c r="FK229" s="75"/>
      <c r="FL229" s="81"/>
      <c r="FM229" s="74"/>
      <c r="FN229" s="75"/>
      <c r="FO229" s="75"/>
      <c r="FP229" s="75"/>
      <c r="FQ229" s="75"/>
      <c r="FR229" s="75"/>
      <c r="FS229" s="75"/>
      <c r="FT229" s="75"/>
      <c r="FU229" s="75"/>
      <c r="FV229" s="75"/>
      <c r="FW229" s="75"/>
      <c r="FX229" s="81"/>
      <c r="FY229" s="74"/>
      <c r="FZ229" s="75"/>
      <c r="GA229" s="75"/>
      <c r="GB229" s="75"/>
      <c r="GC229" s="75"/>
      <c r="GD229" s="75"/>
      <c r="GE229" s="75"/>
      <c r="GF229" s="75"/>
      <c r="GG229" s="75"/>
      <c r="GH229" s="75"/>
      <c r="GI229" s="75"/>
      <c r="GJ229" s="81"/>
      <c r="GK229" s="74"/>
      <c r="GL229" s="75"/>
      <c r="GM229" s="75"/>
      <c r="GN229" s="75"/>
      <c r="GO229" s="75"/>
      <c r="GP229" s="75"/>
      <c r="GQ229" s="75"/>
      <c r="GR229" s="75"/>
      <c r="GS229" s="75"/>
      <c r="GT229" s="75"/>
      <c r="GU229" s="75"/>
      <c r="GV229" s="81"/>
      <c r="GW229" s="74"/>
      <c r="GX229" s="75"/>
      <c r="GY229" s="75"/>
      <c r="GZ229" s="75"/>
      <c r="HA229" s="75"/>
      <c r="HB229" s="75"/>
      <c r="HC229" s="75"/>
      <c r="HD229" s="75"/>
      <c r="HE229" s="75"/>
      <c r="HF229" s="75"/>
      <c r="HG229" s="75"/>
      <c r="HH229" s="81"/>
      <c r="HI229" s="75"/>
    </row>
    <row r="230" ht="15.0" customHeight="1">
      <c r="A230" s="74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81"/>
      <c r="M230" s="74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81"/>
      <c r="Y230" s="74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81"/>
      <c r="AK230" s="74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81"/>
      <c r="AW230" s="74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81"/>
      <c r="BI230" s="74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81"/>
      <c r="BU230" s="74"/>
      <c r="BV230" s="75"/>
      <c r="BW230" s="75"/>
      <c r="BX230" s="75"/>
      <c r="BY230" s="75"/>
      <c r="BZ230" s="75"/>
      <c r="CA230" s="75"/>
      <c r="CB230" s="75"/>
      <c r="CC230" s="75"/>
      <c r="CD230" s="75"/>
      <c r="CE230" s="75"/>
      <c r="CF230" s="81"/>
      <c r="CG230" s="74"/>
      <c r="CH230" s="75"/>
      <c r="CI230" s="75"/>
      <c r="CJ230" s="75"/>
      <c r="CK230" s="75"/>
      <c r="CL230" s="75"/>
      <c r="CM230" s="75"/>
      <c r="CN230" s="75"/>
      <c r="CO230" s="75"/>
      <c r="CP230" s="75"/>
      <c r="CQ230" s="75"/>
      <c r="CR230" s="81"/>
      <c r="CS230" s="74"/>
      <c r="CT230" s="75"/>
      <c r="CU230" s="75"/>
      <c r="CV230" s="75"/>
      <c r="CW230" s="75"/>
      <c r="CX230" s="75"/>
      <c r="CY230" s="75"/>
      <c r="CZ230" s="75"/>
      <c r="DA230" s="75"/>
      <c r="DB230" s="75"/>
      <c r="DC230" s="75"/>
      <c r="DD230" s="81"/>
      <c r="DE230" s="74"/>
      <c r="DF230" s="75"/>
      <c r="DG230" s="75"/>
      <c r="DH230" s="75"/>
      <c r="DI230" s="75"/>
      <c r="DJ230" s="75"/>
      <c r="DK230" s="75"/>
      <c r="DL230" s="75"/>
      <c r="DM230" s="75"/>
      <c r="DN230" s="75"/>
      <c r="DO230" s="75"/>
      <c r="DP230" s="81"/>
      <c r="DQ230" s="74"/>
      <c r="DR230" s="75"/>
      <c r="DS230" s="75"/>
      <c r="DT230" s="75"/>
      <c r="DU230" s="75"/>
      <c r="DV230" s="75"/>
      <c r="DW230" s="75"/>
      <c r="DX230" s="75"/>
      <c r="DY230" s="75"/>
      <c r="DZ230" s="75"/>
      <c r="EA230" s="75"/>
      <c r="EB230" s="81"/>
      <c r="EC230" s="74"/>
      <c r="ED230" s="75"/>
      <c r="EE230" s="75"/>
      <c r="EF230" s="75"/>
      <c r="EG230" s="75"/>
      <c r="EH230" s="75"/>
      <c r="EI230" s="75"/>
      <c r="EJ230" s="75"/>
      <c r="EK230" s="75"/>
      <c r="EL230" s="75"/>
      <c r="EM230" s="75"/>
      <c r="EN230" s="81"/>
      <c r="EO230" s="74"/>
      <c r="EP230" s="75"/>
      <c r="EQ230" s="75"/>
      <c r="ER230" s="75"/>
      <c r="ES230" s="75"/>
      <c r="ET230" s="75"/>
      <c r="EU230" s="75"/>
      <c r="EV230" s="75"/>
      <c r="EW230" s="75"/>
      <c r="EX230" s="75"/>
      <c r="EY230" s="75"/>
      <c r="EZ230" s="81"/>
      <c r="FA230" s="74"/>
      <c r="FB230" s="75"/>
      <c r="FC230" s="75"/>
      <c r="FD230" s="75"/>
      <c r="FE230" s="75"/>
      <c r="FF230" s="75"/>
      <c r="FG230" s="75"/>
      <c r="FH230" s="75"/>
      <c r="FI230" s="75"/>
      <c r="FJ230" s="75"/>
      <c r="FK230" s="75"/>
      <c r="FL230" s="81"/>
      <c r="FM230" s="74"/>
      <c r="FN230" s="75"/>
      <c r="FO230" s="75"/>
      <c r="FP230" s="75"/>
      <c r="FQ230" s="75"/>
      <c r="FR230" s="75"/>
      <c r="FS230" s="75"/>
      <c r="FT230" s="75"/>
      <c r="FU230" s="75"/>
      <c r="FV230" s="75"/>
      <c r="FW230" s="75"/>
      <c r="FX230" s="81"/>
      <c r="FY230" s="74"/>
      <c r="FZ230" s="75"/>
      <c r="GA230" s="75"/>
      <c r="GB230" s="75"/>
      <c r="GC230" s="75"/>
      <c r="GD230" s="75"/>
      <c r="GE230" s="75"/>
      <c r="GF230" s="75"/>
      <c r="GG230" s="75"/>
      <c r="GH230" s="75"/>
      <c r="GI230" s="75"/>
      <c r="GJ230" s="81"/>
      <c r="GK230" s="74"/>
      <c r="GL230" s="75"/>
      <c r="GM230" s="75"/>
      <c r="GN230" s="75"/>
      <c r="GO230" s="75"/>
      <c r="GP230" s="75"/>
      <c r="GQ230" s="75"/>
      <c r="GR230" s="75"/>
      <c r="GS230" s="75"/>
      <c r="GT230" s="75"/>
      <c r="GU230" s="75"/>
      <c r="GV230" s="81"/>
      <c r="GW230" s="74"/>
      <c r="GX230" s="75"/>
      <c r="GY230" s="75"/>
      <c r="GZ230" s="75"/>
      <c r="HA230" s="75"/>
      <c r="HB230" s="75"/>
      <c r="HC230" s="75"/>
      <c r="HD230" s="75"/>
      <c r="HE230" s="75"/>
      <c r="HF230" s="75"/>
      <c r="HG230" s="75"/>
      <c r="HH230" s="81"/>
      <c r="HI230" s="75"/>
    </row>
    <row r="231" ht="15.0" customHeight="1">
      <c r="A231" s="74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81"/>
      <c r="M231" s="74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81"/>
      <c r="Y231" s="74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81"/>
      <c r="AK231" s="74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81"/>
      <c r="AW231" s="74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81"/>
      <c r="BI231" s="74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81"/>
      <c r="BU231" s="74"/>
      <c r="BV231" s="75"/>
      <c r="BW231" s="75"/>
      <c r="BX231" s="75"/>
      <c r="BY231" s="75"/>
      <c r="BZ231" s="75"/>
      <c r="CA231" s="75"/>
      <c r="CB231" s="75"/>
      <c r="CC231" s="75"/>
      <c r="CD231" s="75"/>
      <c r="CE231" s="75"/>
      <c r="CF231" s="81"/>
      <c r="CG231" s="74"/>
      <c r="CH231" s="75"/>
      <c r="CI231" s="75"/>
      <c r="CJ231" s="75"/>
      <c r="CK231" s="75"/>
      <c r="CL231" s="75"/>
      <c r="CM231" s="75"/>
      <c r="CN231" s="75"/>
      <c r="CO231" s="75"/>
      <c r="CP231" s="75"/>
      <c r="CQ231" s="75"/>
      <c r="CR231" s="81"/>
      <c r="CS231" s="74"/>
      <c r="CT231" s="75"/>
      <c r="CU231" s="75"/>
      <c r="CV231" s="75"/>
      <c r="CW231" s="75"/>
      <c r="CX231" s="75"/>
      <c r="CY231" s="75"/>
      <c r="CZ231" s="75"/>
      <c r="DA231" s="75"/>
      <c r="DB231" s="75"/>
      <c r="DC231" s="75"/>
      <c r="DD231" s="81"/>
      <c r="DE231" s="74"/>
      <c r="DF231" s="75"/>
      <c r="DG231" s="75"/>
      <c r="DH231" s="75"/>
      <c r="DI231" s="75"/>
      <c r="DJ231" s="75"/>
      <c r="DK231" s="75"/>
      <c r="DL231" s="75"/>
      <c r="DM231" s="75"/>
      <c r="DN231" s="75"/>
      <c r="DO231" s="75"/>
      <c r="DP231" s="81"/>
      <c r="DQ231" s="74"/>
      <c r="DR231" s="75"/>
      <c r="DS231" s="75"/>
      <c r="DT231" s="75"/>
      <c r="DU231" s="75"/>
      <c r="DV231" s="75"/>
      <c r="DW231" s="75"/>
      <c r="DX231" s="75"/>
      <c r="DY231" s="75"/>
      <c r="DZ231" s="75"/>
      <c r="EA231" s="75"/>
      <c r="EB231" s="81"/>
      <c r="EC231" s="74"/>
      <c r="ED231" s="75"/>
      <c r="EE231" s="75"/>
      <c r="EF231" s="75"/>
      <c r="EG231" s="75"/>
      <c r="EH231" s="75"/>
      <c r="EI231" s="75"/>
      <c r="EJ231" s="75"/>
      <c r="EK231" s="75"/>
      <c r="EL231" s="75"/>
      <c r="EM231" s="75"/>
      <c r="EN231" s="81"/>
      <c r="EO231" s="74"/>
      <c r="EP231" s="75"/>
      <c r="EQ231" s="75"/>
      <c r="ER231" s="75"/>
      <c r="ES231" s="75"/>
      <c r="ET231" s="75"/>
      <c r="EU231" s="75"/>
      <c r="EV231" s="75"/>
      <c r="EW231" s="75"/>
      <c r="EX231" s="75"/>
      <c r="EY231" s="75"/>
      <c r="EZ231" s="81"/>
      <c r="FA231" s="74"/>
      <c r="FB231" s="75"/>
      <c r="FC231" s="75"/>
      <c r="FD231" s="75"/>
      <c r="FE231" s="75"/>
      <c r="FF231" s="75"/>
      <c r="FG231" s="75"/>
      <c r="FH231" s="75"/>
      <c r="FI231" s="75"/>
      <c r="FJ231" s="75"/>
      <c r="FK231" s="75"/>
      <c r="FL231" s="81"/>
      <c r="FM231" s="74"/>
      <c r="FN231" s="75"/>
      <c r="FO231" s="75"/>
      <c r="FP231" s="75"/>
      <c r="FQ231" s="75"/>
      <c r="FR231" s="75"/>
      <c r="FS231" s="75"/>
      <c r="FT231" s="75"/>
      <c r="FU231" s="75"/>
      <c r="FV231" s="75"/>
      <c r="FW231" s="75"/>
      <c r="FX231" s="81"/>
      <c r="FY231" s="74"/>
      <c r="FZ231" s="75"/>
      <c r="GA231" s="75"/>
      <c r="GB231" s="75"/>
      <c r="GC231" s="75"/>
      <c r="GD231" s="75"/>
      <c r="GE231" s="75"/>
      <c r="GF231" s="75"/>
      <c r="GG231" s="75"/>
      <c r="GH231" s="75"/>
      <c r="GI231" s="75"/>
      <c r="GJ231" s="81"/>
      <c r="GK231" s="74"/>
      <c r="GL231" s="75"/>
      <c r="GM231" s="75"/>
      <c r="GN231" s="75"/>
      <c r="GO231" s="75"/>
      <c r="GP231" s="75"/>
      <c r="GQ231" s="75"/>
      <c r="GR231" s="75"/>
      <c r="GS231" s="75"/>
      <c r="GT231" s="75"/>
      <c r="GU231" s="75"/>
      <c r="GV231" s="81"/>
      <c r="GW231" s="74"/>
      <c r="GX231" s="75"/>
      <c r="GY231" s="75"/>
      <c r="GZ231" s="75"/>
      <c r="HA231" s="75"/>
      <c r="HB231" s="75"/>
      <c r="HC231" s="75"/>
      <c r="HD231" s="75"/>
      <c r="HE231" s="75"/>
      <c r="HF231" s="75"/>
      <c r="HG231" s="75"/>
      <c r="HH231" s="81"/>
      <c r="HI231" s="75"/>
    </row>
    <row r="232" ht="15.0" customHeight="1">
      <c r="A232" s="74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81"/>
      <c r="M232" s="74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81"/>
      <c r="Y232" s="74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81"/>
      <c r="AK232" s="74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81"/>
      <c r="AW232" s="74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81"/>
      <c r="BI232" s="74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81"/>
      <c r="BU232" s="74"/>
      <c r="BV232" s="75"/>
      <c r="BW232" s="75"/>
      <c r="BX232" s="75"/>
      <c r="BY232" s="75"/>
      <c r="BZ232" s="75"/>
      <c r="CA232" s="75"/>
      <c r="CB232" s="75"/>
      <c r="CC232" s="75"/>
      <c r="CD232" s="75"/>
      <c r="CE232" s="75"/>
      <c r="CF232" s="81"/>
      <c r="CG232" s="74"/>
      <c r="CH232" s="75"/>
      <c r="CI232" s="75"/>
      <c r="CJ232" s="75"/>
      <c r="CK232" s="75"/>
      <c r="CL232" s="75"/>
      <c r="CM232" s="75"/>
      <c r="CN232" s="75"/>
      <c r="CO232" s="75"/>
      <c r="CP232" s="75"/>
      <c r="CQ232" s="75"/>
      <c r="CR232" s="81"/>
      <c r="CS232" s="74"/>
      <c r="CT232" s="75"/>
      <c r="CU232" s="75"/>
      <c r="CV232" s="75"/>
      <c r="CW232" s="75"/>
      <c r="CX232" s="75"/>
      <c r="CY232" s="75"/>
      <c r="CZ232" s="75"/>
      <c r="DA232" s="75"/>
      <c r="DB232" s="75"/>
      <c r="DC232" s="75"/>
      <c r="DD232" s="81"/>
      <c r="DE232" s="74"/>
      <c r="DF232" s="75"/>
      <c r="DG232" s="75"/>
      <c r="DH232" s="75"/>
      <c r="DI232" s="75"/>
      <c r="DJ232" s="75"/>
      <c r="DK232" s="75"/>
      <c r="DL232" s="75"/>
      <c r="DM232" s="75"/>
      <c r="DN232" s="75"/>
      <c r="DO232" s="75"/>
      <c r="DP232" s="81"/>
      <c r="DQ232" s="74"/>
      <c r="DR232" s="75"/>
      <c r="DS232" s="75"/>
      <c r="DT232" s="75"/>
      <c r="DU232" s="75"/>
      <c r="DV232" s="75"/>
      <c r="DW232" s="75"/>
      <c r="DX232" s="75"/>
      <c r="DY232" s="75"/>
      <c r="DZ232" s="75"/>
      <c r="EA232" s="75"/>
      <c r="EB232" s="81"/>
      <c r="EC232" s="74"/>
      <c r="ED232" s="75"/>
      <c r="EE232" s="75"/>
      <c r="EF232" s="75"/>
      <c r="EG232" s="75"/>
      <c r="EH232" s="75"/>
      <c r="EI232" s="75"/>
      <c r="EJ232" s="75"/>
      <c r="EK232" s="75"/>
      <c r="EL232" s="75"/>
      <c r="EM232" s="75"/>
      <c r="EN232" s="81"/>
      <c r="EO232" s="74"/>
      <c r="EP232" s="75"/>
      <c r="EQ232" s="75"/>
      <c r="ER232" s="75"/>
      <c r="ES232" s="75"/>
      <c r="ET232" s="75"/>
      <c r="EU232" s="75"/>
      <c r="EV232" s="75"/>
      <c r="EW232" s="75"/>
      <c r="EX232" s="75"/>
      <c r="EY232" s="75"/>
      <c r="EZ232" s="81"/>
      <c r="FA232" s="74"/>
      <c r="FB232" s="75"/>
      <c r="FC232" s="75"/>
      <c r="FD232" s="75"/>
      <c r="FE232" s="75"/>
      <c r="FF232" s="75"/>
      <c r="FG232" s="75"/>
      <c r="FH232" s="75"/>
      <c r="FI232" s="75"/>
      <c r="FJ232" s="75"/>
      <c r="FK232" s="75"/>
      <c r="FL232" s="81"/>
      <c r="FM232" s="74"/>
      <c r="FN232" s="75"/>
      <c r="FO232" s="75"/>
      <c r="FP232" s="75"/>
      <c r="FQ232" s="75"/>
      <c r="FR232" s="75"/>
      <c r="FS232" s="75"/>
      <c r="FT232" s="75"/>
      <c r="FU232" s="75"/>
      <c r="FV232" s="75"/>
      <c r="FW232" s="75"/>
      <c r="FX232" s="81"/>
      <c r="FY232" s="74"/>
      <c r="FZ232" s="75"/>
      <c r="GA232" s="75"/>
      <c r="GB232" s="75"/>
      <c r="GC232" s="75"/>
      <c r="GD232" s="75"/>
      <c r="GE232" s="75"/>
      <c r="GF232" s="75"/>
      <c r="GG232" s="75"/>
      <c r="GH232" s="75"/>
      <c r="GI232" s="75"/>
      <c r="GJ232" s="81"/>
      <c r="GK232" s="74"/>
      <c r="GL232" s="75"/>
      <c r="GM232" s="75"/>
      <c r="GN232" s="75"/>
      <c r="GO232" s="75"/>
      <c r="GP232" s="75"/>
      <c r="GQ232" s="75"/>
      <c r="GR232" s="75"/>
      <c r="GS232" s="75"/>
      <c r="GT232" s="75"/>
      <c r="GU232" s="75"/>
      <c r="GV232" s="81"/>
      <c r="GW232" s="74"/>
      <c r="GX232" s="75"/>
      <c r="GY232" s="75"/>
      <c r="GZ232" s="75"/>
      <c r="HA232" s="75"/>
      <c r="HB232" s="75"/>
      <c r="HC232" s="75"/>
      <c r="HD232" s="75"/>
      <c r="HE232" s="75"/>
      <c r="HF232" s="75"/>
      <c r="HG232" s="75"/>
      <c r="HH232" s="81"/>
      <c r="HI232" s="75"/>
    </row>
    <row r="233" ht="15.0" customHeight="1">
      <c r="A233" s="74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81"/>
      <c r="M233" s="74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81"/>
      <c r="Y233" s="74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81"/>
      <c r="AK233" s="74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81"/>
      <c r="AW233" s="74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81"/>
      <c r="BI233" s="74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81"/>
      <c r="BU233" s="74"/>
      <c r="BV233" s="75"/>
      <c r="BW233" s="75"/>
      <c r="BX233" s="75"/>
      <c r="BY233" s="75"/>
      <c r="BZ233" s="75"/>
      <c r="CA233" s="75"/>
      <c r="CB233" s="75"/>
      <c r="CC233" s="75"/>
      <c r="CD233" s="75"/>
      <c r="CE233" s="75"/>
      <c r="CF233" s="81"/>
      <c r="CG233" s="74"/>
      <c r="CH233" s="75"/>
      <c r="CI233" s="75"/>
      <c r="CJ233" s="75"/>
      <c r="CK233" s="75"/>
      <c r="CL233" s="75"/>
      <c r="CM233" s="75"/>
      <c r="CN233" s="75"/>
      <c r="CO233" s="75"/>
      <c r="CP233" s="75"/>
      <c r="CQ233" s="75"/>
      <c r="CR233" s="81"/>
      <c r="CS233" s="74"/>
      <c r="CT233" s="75"/>
      <c r="CU233" s="75"/>
      <c r="CV233" s="75"/>
      <c r="CW233" s="75"/>
      <c r="CX233" s="75"/>
      <c r="CY233" s="75"/>
      <c r="CZ233" s="75"/>
      <c r="DA233" s="75"/>
      <c r="DB233" s="75"/>
      <c r="DC233" s="75"/>
      <c r="DD233" s="81"/>
      <c r="DE233" s="74"/>
      <c r="DF233" s="75"/>
      <c r="DG233" s="75"/>
      <c r="DH233" s="75"/>
      <c r="DI233" s="75"/>
      <c r="DJ233" s="75"/>
      <c r="DK233" s="75"/>
      <c r="DL233" s="75"/>
      <c r="DM233" s="75"/>
      <c r="DN233" s="75"/>
      <c r="DO233" s="75"/>
      <c r="DP233" s="81"/>
      <c r="DQ233" s="74"/>
      <c r="DR233" s="75"/>
      <c r="DS233" s="75"/>
      <c r="DT233" s="75"/>
      <c r="DU233" s="75"/>
      <c r="DV233" s="75"/>
      <c r="DW233" s="75"/>
      <c r="DX233" s="75"/>
      <c r="DY233" s="75"/>
      <c r="DZ233" s="75"/>
      <c r="EA233" s="75"/>
      <c r="EB233" s="81"/>
      <c r="EC233" s="74"/>
      <c r="ED233" s="75"/>
      <c r="EE233" s="75"/>
      <c r="EF233" s="75"/>
      <c r="EG233" s="75"/>
      <c r="EH233" s="75"/>
      <c r="EI233" s="75"/>
      <c r="EJ233" s="75"/>
      <c r="EK233" s="75"/>
      <c r="EL233" s="75"/>
      <c r="EM233" s="75"/>
      <c r="EN233" s="81"/>
      <c r="EO233" s="74"/>
      <c r="EP233" s="75"/>
      <c r="EQ233" s="75"/>
      <c r="ER233" s="75"/>
      <c r="ES233" s="75"/>
      <c r="ET233" s="75"/>
      <c r="EU233" s="75"/>
      <c r="EV233" s="75"/>
      <c r="EW233" s="75"/>
      <c r="EX233" s="75"/>
      <c r="EY233" s="75"/>
      <c r="EZ233" s="81"/>
      <c r="FA233" s="74"/>
      <c r="FB233" s="75"/>
      <c r="FC233" s="75"/>
      <c r="FD233" s="75"/>
      <c r="FE233" s="75"/>
      <c r="FF233" s="75"/>
      <c r="FG233" s="75"/>
      <c r="FH233" s="75"/>
      <c r="FI233" s="75"/>
      <c r="FJ233" s="75"/>
      <c r="FK233" s="75"/>
      <c r="FL233" s="81"/>
      <c r="FM233" s="74"/>
      <c r="FN233" s="75"/>
      <c r="FO233" s="75"/>
      <c r="FP233" s="75"/>
      <c r="FQ233" s="75"/>
      <c r="FR233" s="75"/>
      <c r="FS233" s="75"/>
      <c r="FT233" s="75"/>
      <c r="FU233" s="75"/>
      <c r="FV233" s="75"/>
      <c r="FW233" s="75"/>
      <c r="FX233" s="81"/>
      <c r="FY233" s="74"/>
      <c r="FZ233" s="75"/>
      <c r="GA233" s="75"/>
      <c r="GB233" s="75"/>
      <c r="GC233" s="75"/>
      <c r="GD233" s="75"/>
      <c r="GE233" s="75"/>
      <c r="GF233" s="75"/>
      <c r="GG233" s="75"/>
      <c r="GH233" s="75"/>
      <c r="GI233" s="75"/>
      <c r="GJ233" s="81"/>
      <c r="GK233" s="74"/>
      <c r="GL233" s="75"/>
      <c r="GM233" s="75"/>
      <c r="GN233" s="75"/>
      <c r="GO233" s="75"/>
      <c r="GP233" s="75"/>
      <c r="GQ233" s="75"/>
      <c r="GR233" s="75"/>
      <c r="GS233" s="75"/>
      <c r="GT233" s="75"/>
      <c r="GU233" s="75"/>
      <c r="GV233" s="81"/>
      <c r="GW233" s="74"/>
      <c r="GX233" s="75"/>
      <c r="GY233" s="75"/>
      <c r="GZ233" s="75"/>
      <c r="HA233" s="75"/>
      <c r="HB233" s="75"/>
      <c r="HC233" s="75"/>
      <c r="HD233" s="75"/>
      <c r="HE233" s="75"/>
      <c r="HF233" s="75"/>
      <c r="HG233" s="75"/>
      <c r="HH233" s="81"/>
      <c r="HI233" s="75"/>
    </row>
    <row r="234" ht="15.0" customHeight="1">
      <c r="A234" s="74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81"/>
      <c r="M234" s="74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81"/>
      <c r="Y234" s="74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81"/>
      <c r="AK234" s="74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81"/>
      <c r="AW234" s="74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81"/>
      <c r="BI234" s="74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81"/>
      <c r="BU234" s="74"/>
      <c r="BV234" s="75"/>
      <c r="BW234" s="75"/>
      <c r="BX234" s="75"/>
      <c r="BY234" s="75"/>
      <c r="BZ234" s="75"/>
      <c r="CA234" s="75"/>
      <c r="CB234" s="75"/>
      <c r="CC234" s="75"/>
      <c r="CD234" s="75"/>
      <c r="CE234" s="75"/>
      <c r="CF234" s="81"/>
      <c r="CG234" s="74"/>
      <c r="CH234" s="75"/>
      <c r="CI234" s="75"/>
      <c r="CJ234" s="75"/>
      <c r="CK234" s="75"/>
      <c r="CL234" s="75"/>
      <c r="CM234" s="75"/>
      <c r="CN234" s="75"/>
      <c r="CO234" s="75"/>
      <c r="CP234" s="75"/>
      <c r="CQ234" s="75"/>
      <c r="CR234" s="81"/>
      <c r="CS234" s="74"/>
      <c r="CT234" s="75"/>
      <c r="CU234" s="75"/>
      <c r="CV234" s="75"/>
      <c r="CW234" s="75"/>
      <c r="CX234" s="75"/>
      <c r="CY234" s="75"/>
      <c r="CZ234" s="75"/>
      <c r="DA234" s="75"/>
      <c r="DB234" s="75"/>
      <c r="DC234" s="75"/>
      <c r="DD234" s="81"/>
      <c r="DE234" s="74"/>
      <c r="DF234" s="75"/>
      <c r="DG234" s="75"/>
      <c r="DH234" s="75"/>
      <c r="DI234" s="75"/>
      <c r="DJ234" s="75"/>
      <c r="DK234" s="75"/>
      <c r="DL234" s="75"/>
      <c r="DM234" s="75"/>
      <c r="DN234" s="75"/>
      <c r="DO234" s="75"/>
      <c r="DP234" s="81"/>
      <c r="DQ234" s="74"/>
      <c r="DR234" s="75"/>
      <c r="DS234" s="75"/>
      <c r="DT234" s="75"/>
      <c r="DU234" s="75"/>
      <c r="DV234" s="75"/>
      <c r="DW234" s="75"/>
      <c r="DX234" s="75"/>
      <c r="DY234" s="75"/>
      <c r="DZ234" s="75"/>
      <c r="EA234" s="75"/>
      <c r="EB234" s="81"/>
      <c r="EC234" s="74"/>
      <c r="ED234" s="75"/>
      <c r="EE234" s="75"/>
      <c r="EF234" s="75"/>
      <c r="EG234" s="75"/>
      <c r="EH234" s="75"/>
      <c r="EI234" s="75"/>
      <c r="EJ234" s="75"/>
      <c r="EK234" s="75"/>
      <c r="EL234" s="75"/>
      <c r="EM234" s="75"/>
      <c r="EN234" s="81"/>
      <c r="EO234" s="74"/>
      <c r="EP234" s="75"/>
      <c r="EQ234" s="75"/>
      <c r="ER234" s="75"/>
      <c r="ES234" s="75"/>
      <c r="ET234" s="75"/>
      <c r="EU234" s="75"/>
      <c r="EV234" s="75"/>
      <c r="EW234" s="75"/>
      <c r="EX234" s="75"/>
      <c r="EY234" s="75"/>
      <c r="EZ234" s="81"/>
      <c r="FA234" s="74"/>
      <c r="FB234" s="75"/>
      <c r="FC234" s="75"/>
      <c r="FD234" s="75"/>
      <c r="FE234" s="75"/>
      <c r="FF234" s="75"/>
      <c r="FG234" s="75"/>
      <c r="FH234" s="75"/>
      <c r="FI234" s="75"/>
      <c r="FJ234" s="75"/>
      <c r="FK234" s="75"/>
      <c r="FL234" s="81"/>
      <c r="FM234" s="74"/>
      <c r="FN234" s="75"/>
      <c r="FO234" s="75"/>
      <c r="FP234" s="75"/>
      <c r="FQ234" s="75"/>
      <c r="FR234" s="75"/>
      <c r="FS234" s="75"/>
      <c r="FT234" s="75"/>
      <c r="FU234" s="75"/>
      <c r="FV234" s="75"/>
      <c r="FW234" s="75"/>
      <c r="FX234" s="81"/>
      <c r="FY234" s="74"/>
      <c r="FZ234" s="75"/>
      <c r="GA234" s="75"/>
      <c r="GB234" s="75"/>
      <c r="GC234" s="75"/>
      <c r="GD234" s="75"/>
      <c r="GE234" s="75"/>
      <c r="GF234" s="75"/>
      <c r="GG234" s="75"/>
      <c r="GH234" s="75"/>
      <c r="GI234" s="75"/>
      <c r="GJ234" s="81"/>
      <c r="GK234" s="74"/>
      <c r="GL234" s="75"/>
      <c r="GM234" s="75"/>
      <c r="GN234" s="75"/>
      <c r="GO234" s="75"/>
      <c r="GP234" s="75"/>
      <c r="GQ234" s="75"/>
      <c r="GR234" s="75"/>
      <c r="GS234" s="75"/>
      <c r="GT234" s="75"/>
      <c r="GU234" s="75"/>
      <c r="GV234" s="81"/>
      <c r="GW234" s="74"/>
      <c r="GX234" s="75"/>
      <c r="GY234" s="75"/>
      <c r="GZ234" s="75"/>
      <c r="HA234" s="75"/>
      <c r="HB234" s="75"/>
      <c r="HC234" s="75"/>
      <c r="HD234" s="75"/>
      <c r="HE234" s="75"/>
      <c r="HF234" s="75"/>
      <c r="HG234" s="75"/>
      <c r="HH234" s="81"/>
      <c r="HI234" s="75"/>
    </row>
    <row r="235" ht="15.0" customHeight="1">
      <c r="A235" s="74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81"/>
      <c r="M235" s="74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81"/>
      <c r="Y235" s="74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81"/>
      <c r="AK235" s="74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81"/>
      <c r="AW235" s="74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81"/>
      <c r="BI235" s="74"/>
      <c r="BJ235" s="75"/>
      <c r="BK235" s="75"/>
      <c r="BL235" s="75"/>
      <c r="BM235" s="75"/>
      <c r="BN235" s="75"/>
      <c r="BO235" s="75"/>
      <c r="BP235" s="75"/>
      <c r="BQ235" s="75"/>
      <c r="BR235" s="75"/>
      <c r="BS235" s="75"/>
      <c r="BT235" s="81"/>
      <c r="BU235" s="74"/>
      <c r="BV235" s="75"/>
      <c r="BW235" s="75"/>
      <c r="BX235" s="75"/>
      <c r="BY235" s="75"/>
      <c r="BZ235" s="75"/>
      <c r="CA235" s="75"/>
      <c r="CB235" s="75"/>
      <c r="CC235" s="75"/>
      <c r="CD235" s="75"/>
      <c r="CE235" s="75"/>
      <c r="CF235" s="81"/>
      <c r="CG235" s="74"/>
      <c r="CH235" s="75"/>
      <c r="CI235" s="75"/>
      <c r="CJ235" s="75"/>
      <c r="CK235" s="75"/>
      <c r="CL235" s="75"/>
      <c r="CM235" s="75"/>
      <c r="CN235" s="75"/>
      <c r="CO235" s="75"/>
      <c r="CP235" s="75"/>
      <c r="CQ235" s="75"/>
      <c r="CR235" s="81"/>
      <c r="CS235" s="74"/>
      <c r="CT235" s="75"/>
      <c r="CU235" s="75"/>
      <c r="CV235" s="75"/>
      <c r="CW235" s="75"/>
      <c r="CX235" s="75"/>
      <c r="CY235" s="75"/>
      <c r="CZ235" s="75"/>
      <c r="DA235" s="75"/>
      <c r="DB235" s="75"/>
      <c r="DC235" s="75"/>
      <c r="DD235" s="81"/>
      <c r="DE235" s="74"/>
      <c r="DF235" s="75"/>
      <c r="DG235" s="75"/>
      <c r="DH235" s="75"/>
      <c r="DI235" s="75"/>
      <c r="DJ235" s="75"/>
      <c r="DK235" s="75"/>
      <c r="DL235" s="75"/>
      <c r="DM235" s="75"/>
      <c r="DN235" s="75"/>
      <c r="DO235" s="75"/>
      <c r="DP235" s="81"/>
      <c r="DQ235" s="74"/>
      <c r="DR235" s="75"/>
      <c r="DS235" s="75"/>
      <c r="DT235" s="75"/>
      <c r="DU235" s="75"/>
      <c r="DV235" s="75"/>
      <c r="DW235" s="75"/>
      <c r="DX235" s="75"/>
      <c r="DY235" s="75"/>
      <c r="DZ235" s="75"/>
      <c r="EA235" s="75"/>
      <c r="EB235" s="81"/>
      <c r="EC235" s="74"/>
      <c r="ED235" s="75"/>
      <c r="EE235" s="75"/>
      <c r="EF235" s="75"/>
      <c r="EG235" s="75"/>
      <c r="EH235" s="75"/>
      <c r="EI235" s="75"/>
      <c r="EJ235" s="75"/>
      <c r="EK235" s="75"/>
      <c r="EL235" s="75"/>
      <c r="EM235" s="75"/>
      <c r="EN235" s="81"/>
      <c r="EO235" s="74"/>
      <c r="EP235" s="75"/>
      <c r="EQ235" s="75"/>
      <c r="ER235" s="75"/>
      <c r="ES235" s="75"/>
      <c r="ET235" s="75"/>
      <c r="EU235" s="75"/>
      <c r="EV235" s="75"/>
      <c r="EW235" s="75"/>
      <c r="EX235" s="75"/>
      <c r="EY235" s="75"/>
      <c r="EZ235" s="81"/>
      <c r="FA235" s="74"/>
      <c r="FB235" s="75"/>
      <c r="FC235" s="75"/>
      <c r="FD235" s="75"/>
      <c r="FE235" s="75"/>
      <c r="FF235" s="75"/>
      <c r="FG235" s="75"/>
      <c r="FH235" s="75"/>
      <c r="FI235" s="75"/>
      <c r="FJ235" s="75"/>
      <c r="FK235" s="75"/>
      <c r="FL235" s="81"/>
      <c r="FM235" s="74"/>
      <c r="FN235" s="75"/>
      <c r="FO235" s="75"/>
      <c r="FP235" s="75"/>
      <c r="FQ235" s="75"/>
      <c r="FR235" s="75"/>
      <c r="FS235" s="75"/>
      <c r="FT235" s="75"/>
      <c r="FU235" s="75"/>
      <c r="FV235" s="75"/>
      <c r="FW235" s="75"/>
      <c r="FX235" s="81"/>
      <c r="FY235" s="74"/>
      <c r="FZ235" s="75"/>
      <c r="GA235" s="75"/>
      <c r="GB235" s="75"/>
      <c r="GC235" s="75"/>
      <c r="GD235" s="75"/>
      <c r="GE235" s="75"/>
      <c r="GF235" s="75"/>
      <c r="GG235" s="75"/>
      <c r="GH235" s="75"/>
      <c r="GI235" s="75"/>
      <c r="GJ235" s="81"/>
      <c r="GK235" s="74"/>
      <c r="GL235" s="75"/>
      <c r="GM235" s="75"/>
      <c r="GN235" s="75"/>
      <c r="GO235" s="75"/>
      <c r="GP235" s="75"/>
      <c r="GQ235" s="75"/>
      <c r="GR235" s="75"/>
      <c r="GS235" s="75"/>
      <c r="GT235" s="75"/>
      <c r="GU235" s="75"/>
      <c r="GV235" s="81"/>
      <c r="GW235" s="74"/>
      <c r="GX235" s="75"/>
      <c r="GY235" s="75"/>
      <c r="GZ235" s="75"/>
      <c r="HA235" s="75"/>
      <c r="HB235" s="75"/>
      <c r="HC235" s="75"/>
      <c r="HD235" s="75"/>
      <c r="HE235" s="75"/>
      <c r="HF235" s="75"/>
      <c r="HG235" s="75"/>
      <c r="HH235" s="81"/>
      <c r="HI235" s="75"/>
    </row>
    <row r="236" ht="15.0" customHeight="1">
      <c r="A236" s="74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81"/>
      <c r="M236" s="74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81"/>
      <c r="Y236" s="74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81"/>
      <c r="AK236" s="74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81"/>
      <c r="AW236" s="74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81"/>
      <c r="BI236" s="74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81"/>
      <c r="BU236" s="74"/>
      <c r="BV236" s="75"/>
      <c r="BW236" s="75"/>
      <c r="BX236" s="75"/>
      <c r="BY236" s="75"/>
      <c r="BZ236" s="75"/>
      <c r="CA236" s="75"/>
      <c r="CB236" s="75"/>
      <c r="CC236" s="75"/>
      <c r="CD236" s="75"/>
      <c r="CE236" s="75"/>
      <c r="CF236" s="81"/>
      <c r="CG236" s="74"/>
      <c r="CH236" s="75"/>
      <c r="CI236" s="75"/>
      <c r="CJ236" s="75"/>
      <c r="CK236" s="75"/>
      <c r="CL236" s="75"/>
      <c r="CM236" s="75"/>
      <c r="CN236" s="75"/>
      <c r="CO236" s="75"/>
      <c r="CP236" s="75"/>
      <c r="CQ236" s="75"/>
      <c r="CR236" s="81"/>
      <c r="CS236" s="74"/>
      <c r="CT236" s="75"/>
      <c r="CU236" s="75"/>
      <c r="CV236" s="75"/>
      <c r="CW236" s="75"/>
      <c r="CX236" s="75"/>
      <c r="CY236" s="75"/>
      <c r="CZ236" s="75"/>
      <c r="DA236" s="75"/>
      <c r="DB236" s="75"/>
      <c r="DC236" s="75"/>
      <c r="DD236" s="81"/>
      <c r="DE236" s="74"/>
      <c r="DF236" s="75"/>
      <c r="DG236" s="75"/>
      <c r="DH236" s="75"/>
      <c r="DI236" s="75"/>
      <c r="DJ236" s="75"/>
      <c r="DK236" s="75"/>
      <c r="DL236" s="75"/>
      <c r="DM236" s="75"/>
      <c r="DN236" s="75"/>
      <c r="DO236" s="75"/>
      <c r="DP236" s="81"/>
      <c r="DQ236" s="74"/>
      <c r="DR236" s="75"/>
      <c r="DS236" s="75"/>
      <c r="DT236" s="75"/>
      <c r="DU236" s="75"/>
      <c r="DV236" s="75"/>
      <c r="DW236" s="75"/>
      <c r="DX236" s="75"/>
      <c r="DY236" s="75"/>
      <c r="DZ236" s="75"/>
      <c r="EA236" s="75"/>
      <c r="EB236" s="81"/>
      <c r="EC236" s="74"/>
      <c r="ED236" s="75"/>
      <c r="EE236" s="75"/>
      <c r="EF236" s="75"/>
      <c r="EG236" s="75"/>
      <c r="EH236" s="75"/>
      <c r="EI236" s="75"/>
      <c r="EJ236" s="75"/>
      <c r="EK236" s="75"/>
      <c r="EL236" s="75"/>
      <c r="EM236" s="75"/>
      <c r="EN236" s="81"/>
      <c r="EO236" s="74"/>
      <c r="EP236" s="75"/>
      <c r="EQ236" s="75"/>
      <c r="ER236" s="75"/>
      <c r="ES236" s="75"/>
      <c r="ET236" s="75"/>
      <c r="EU236" s="75"/>
      <c r="EV236" s="75"/>
      <c r="EW236" s="75"/>
      <c r="EX236" s="75"/>
      <c r="EY236" s="75"/>
      <c r="EZ236" s="81"/>
      <c r="FA236" s="74"/>
      <c r="FB236" s="75"/>
      <c r="FC236" s="75"/>
      <c r="FD236" s="75"/>
      <c r="FE236" s="75"/>
      <c r="FF236" s="75"/>
      <c r="FG236" s="75"/>
      <c r="FH236" s="75"/>
      <c r="FI236" s="75"/>
      <c r="FJ236" s="75"/>
      <c r="FK236" s="75"/>
      <c r="FL236" s="81"/>
      <c r="FM236" s="74"/>
      <c r="FN236" s="75"/>
      <c r="FO236" s="75"/>
      <c r="FP236" s="75"/>
      <c r="FQ236" s="75"/>
      <c r="FR236" s="75"/>
      <c r="FS236" s="75"/>
      <c r="FT236" s="75"/>
      <c r="FU236" s="75"/>
      <c r="FV236" s="75"/>
      <c r="FW236" s="75"/>
      <c r="FX236" s="81"/>
      <c r="FY236" s="74"/>
      <c r="FZ236" s="75"/>
      <c r="GA236" s="75"/>
      <c r="GB236" s="75"/>
      <c r="GC236" s="75"/>
      <c r="GD236" s="75"/>
      <c r="GE236" s="75"/>
      <c r="GF236" s="75"/>
      <c r="GG236" s="75"/>
      <c r="GH236" s="75"/>
      <c r="GI236" s="75"/>
      <c r="GJ236" s="81"/>
      <c r="GK236" s="74"/>
      <c r="GL236" s="75"/>
      <c r="GM236" s="75"/>
      <c r="GN236" s="75"/>
      <c r="GO236" s="75"/>
      <c r="GP236" s="75"/>
      <c r="GQ236" s="75"/>
      <c r="GR236" s="75"/>
      <c r="GS236" s="75"/>
      <c r="GT236" s="75"/>
      <c r="GU236" s="75"/>
      <c r="GV236" s="81"/>
      <c r="GW236" s="74"/>
      <c r="GX236" s="75"/>
      <c r="GY236" s="75"/>
      <c r="GZ236" s="75"/>
      <c r="HA236" s="75"/>
      <c r="HB236" s="75"/>
      <c r="HC236" s="75"/>
      <c r="HD236" s="75"/>
      <c r="HE236" s="75"/>
      <c r="HF236" s="75"/>
      <c r="HG236" s="75"/>
      <c r="HH236" s="81"/>
      <c r="HI236" s="75"/>
    </row>
    <row r="237" ht="15.0" customHeight="1">
      <c r="A237" s="74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81"/>
      <c r="M237" s="74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81"/>
      <c r="Y237" s="74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81"/>
      <c r="AK237" s="74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81"/>
      <c r="AW237" s="74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81"/>
      <c r="BI237" s="74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81"/>
      <c r="BU237" s="74"/>
      <c r="BV237" s="75"/>
      <c r="BW237" s="75"/>
      <c r="BX237" s="75"/>
      <c r="BY237" s="75"/>
      <c r="BZ237" s="75"/>
      <c r="CA237" s="75"/>
      <c r="CB237" s="75"/>
      <c r="CC237" s="75"/>
      <c r="CD237" s="75"/>
      <c r="CE237" s="75"/>
      <c r="CF237" s="81"/>
      <c r="CG237" s="74"/>
      <c r="CH237" s="75"/>
      <c r="CI237" s="75"/>
      <c r="CJ237" s="75"/>
      <c r="CK237" s="75"/>
      <c r="CL237" s="75"/>
      <c r="CM237" s="75"/>
      <c r="CN237" s="75"/>
      <c r="CO237" s="75"/>
      <c r="CP237" s="75"/>
      <c r="CQ237" s="75"/>
      <c r="CR237" s="81"/>
      <c r="CS237" s="74"/>
      <c r="CT237" s="75"/>
      <c r="CU237" s="75"/>
      <c r="CV237" s="75"/>
      <c r="CW237" s="75"/>
      <c r="CX237" s="75"/>
      <c r="CY237" s="75"/>
      <c r="CZ237" s="75"/>
      <c r="DA237" s="75"/>
      <c r="DB237" s="75"/>
      <c r="DC237" s="75"/>
      <c r="DD237" s="81"/>
      <c r="DE237" s="74"/>
      <c r="DF237" s="75"/>
      <c r="DG237" s="75"/>
      <c r="DH237" s="75"/>
      <c r="DI237" s="75"/>
      <c r="DJ237" s="75"/>
      <c r="DK237" s="75"/>
      <c r="DL237" s="75"/>
      <c r="DM237" s="75"/>
      <c r="DN237" s="75"/>
      <c r="DO237" s="75"/>
      <c r="DP237" s="81"/>
      <c r="DQ237" s="74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81"/>
      <c r="EC237" s="74"/>
      <c r="ED237" s="75"/>
      <c r="EE237" s="75"/>
      <c r="EF237" s="75"/>
      <c r="EG237" s="75"/>
      <c r="EH237" s="75"/>
      <c r="EI237" s="75"/>
      <c r="EJ237" s="75"/>
      <c r="EK237" s="75"/>
      <c r="EL237" s="75"/>
      <c r="EM237" s="75"/>
      <c r="EN237" s="81"/>
      <c r="EO237" s="74"/>
      <c r="EP237" s="75"/>
      <c r="EQ237" s="75"/>
      <c r="ER237" s="75"/>
      <c r="ES237" s="75"/>
      <c r="ET237" s="75"/>
      <c r="EU237" s="75"/>
      <c r="EV237" s="75"/>
      <c r="EW237" s="75"/>
      <c r="EX237" s="75"/>
      <c r="EY237" s="75"/>
      <c r="EZ237" s="81"/>
      <c r="FA237" s="74"/>
      <c r="FB237" s="75"/>
      <c r="FC237" s="75"/>
      <c r="FD237" s="75"/>
      <c r="FE237" s="75"/>
      <c r="FF237" s="75"/>
      <c r="FG237" s="75"/>
      <c r="FH237" s="75"/>
      <c r="FI237" s="75"/>
      <c r="FJ237" s="75"/>
      <c r="FK237" s="75"/>
      <c r="FL237" s="81"/>
      <c r="FM237" s="74"/>
      <c r="FN237" s="75"/>
      <c r="FO237" s="75"/>
      <c r="FP237" s="75"/>
      <c r="FQ237" s="75"/>
      <c r="FR237" s="75"/>
      <c r="FS237" s="75"/>
      <c r="FT237" s="75"/>
      <c r="FU237" s="75"/>
      <c r="FV237" s="75"/>
      <c r="FW237" s="75"/>
      <c r="FX237" s="81"/>
      <c r="FY237" s="74"/>
      <c r="FZ237" s="75"/>
      <c r="GA237" s="75"/>
      <c r="GB237" s="75"/>
      <c r="GC237" s="75"/>
      <c r="GD237" s="75"/>
      <c r="GE237" s="75"/>
      <c r="GF237" s="75"/>
      <c r="GG237" s="75"/>
      <c r="GH237" s="75"/>
      <c r="GI237" s="75"/>
      <c r="GJ237" s="81"/>
      <c r="GK237" s="74"/>
      <c r="GL237" s="75"/>
      <c r="GM237" s="75"/>
      <c r="GN237" s="75"/>
      <c r="GO237" s="75"/>
      <c r="GP237" s="75"/>
      <c r="GQ237" s="75"/>
      <c r="GR237" s="75"/>
      <c r="GS237" s="75"/>
      <c r="GT237" s="75"/>
      <c r="GU237" s="75"/>
      <c r="GV237" s="81"/>
      <c r="GW237" s="74"/>
      <c r="GX237" s="75"/>
      <c r="GY237" s="75"/>
      <c r="GZ237" s="75"/>
      <c r="HA237" s="75"/>
      <c r="HB237" s="75"/>
      <c r="HC237" s="75"/>
      <c r="HD237" s="75"/>
      <c r="HE237" s="75"/>
      <c r="HF237" s="75"/>
      <c r="HG237" s="75"/>
      <c r="HH237" s="81"/>
      <c r="HI237" s="75"/>
    </row>
    <row r="238" ht="15.0" customHeight="1">
      <c r="A238" s="74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81"/>
      <c r="M238" s="74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81"/>
      <c r="Y238" s="74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81"/>
      <c r="AK238" s="74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81"/>
      <c r="AW238" s="74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81"/>
      <c r="BI238" s="74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81"/>
      <c r="BU238" s="74"/>
      <c r="BV238" s="75"/>
      <c r="BW238" s="75"/>
      <c r="BX238" s="75"/>
      <c r="BY238" s="75"/>
      <c r="BZ238" s="75"/>
      <c r="CA238" s="75"/>
      <c r="CB238" s="75"/>
      <c r="CC238" s="75"/>
      <c r="CD238" s="75"/>
      <c r="CE238" s="75"/>
      <c r="CF238" s="81"/>
      <c r="CG238" s="74"/>
      <c r="CH238" s="75"/>
      <c r="CI238" s="75"/>
      <c r="CJ238" s="75"/>
      <c r="CK238" s="75"/>
      <c r="CL238" s="75"/>
      <c r="CM238" s="75"/>
      <c r="CN238" s="75"/>
      <c r="CO238" s="75"/>
      <c r="CP238" s="75"/>
      <c r="CQ238" s="75"/>
      <c r="CR238" s="81"/>
      <c r="CS238" s="74"/>
      <c r="CT238" s="75"/>
      <c r="CU238" s="75"/>
      <c r="CV238" s="75"/>
      <c r="CW238" s="75"/>
      <c r="CX238" s="75"/>
      <c r="CY238" s="75"/>
      <c r="CZ238" s="75"/>
      <c r="DA238" s="75"/>
      <c r="DB238" s="75"/>
      <c r="DC238" s="75"/>
      <c r="DD238" s="81"/>
      <c r="DE238" s="74"/>
      <c r="DF238" s="75"/>
      <c r="DG238" s="75"/>
      <c r="DH238" s="75"/>
      <c r="DI238" s="75"/>
      <c r="DJ238" s="75"/>
      <c r="DK238" s="75"/>
      <c r="DL238" s="75"/>
      <c r="DM238" s="75"/>
      <c r="DN238" s="75"/>
      <c r="DO238" s="75"/>
      <c r="DP238" s="81"/>
      <c r="DQ238" s="74"/>
      <c r="DR238" s="75"/>
      <c r="DS238" s="75"/>
      <c r="DT238" s="75"/>
      <c r="DU238" s="75"/>
      <c r="DV238" s="75"/>
      <c r="DW238" s="75"/>
      <c r="DX238" s="75"/>
      <c r="DY238" s="75"/>
      <c r="DZ238" s="75"/>
      <c r="EA238" s="75"/>
      <c r="EB238" s="81"/>
      <c r="EC238" s="74"/>
      <c r="ED238" s="75"/>
      <c r="EE238" s="75"/>
      <c r="EF238" s="75"/>
      <c r="EG238" s="75"/>
      <c r="EH238" s="75"/>
      <c r="EI238" s="75"/>
      <c r="EJ238" s="75"/>
      <c r="EK238" s="75"/>
      <c r="EL238" s="75"/>
      <c r="EM238" s="75"/>
      <c r="EN238" s="81"/>
      <c r="EO238" s="74"/>
      <c r="EP238" s="75"/>
      <c r="EQ238" s="75"/>
      <c r="ER238" s="75"/>
      <c r="ES238" s="75"/>
      <c r="ET238" s="75"/>
      <c r="EU238" s="75"/>
      <c r="EV238" s="75"/>
      <c r="EW238" s="75"/>
      <c r="EX238" s="75"/>
      <c r="EY238" s="75"/>
      <c r="EZ238" s="81"/>
      <c r="FA238" s="74"/>
      <c r="FB238" s="75"/>
      <c r="FC238" s="75"/>
      <c r="FD238" s="75"/>
      <c r="FE238" s="75"/>
      <c r="FF238" s="75"/>
      <c r="FG238" s="75"/>
      <c r="FH238" s="75"/>
      <c r="FI238" s="75"/>
      <c r="FJ238" s="75"/>
      <c r="FK238" s="75"/>
      <c r="FL238" s="81"/>
      <c r="FM238" s="74"/>
      <c r="FN238" s="75"/>
      <c r="FO238" s="75"/>
      <c r="FP238" s="75"/>
      <c r="FQ238" s="75"/>
      <c r="FR238" s="75"/>
      <c r="FS238" s="75"/>
      <c r="FT238" s="75"/>
      <c r="FU238" s="75"/>
      <c r="FV238" s="75"/>
      <c r="FW238" s="75"/>
      <c r="FX238" s="81"/>
      <c r="FY238" s="74"/>
      <c r="FZ238" s="75"/>
      <c r="GA238" s="75"/>
      <c r="GB238" s="75"/>
      <c r="GC238" s="75"/>
      <c r="GD238" s="75"/>
      <c r="GE238" s="75"/>
      <c r="GF238" s="75"/>
      <c r="GG238" s="75"/>
      <c r="GH238" s="75"/>
      <c r="GI238" s="75"/>
      <c r="GJ238" s="81"/>
      <c r="GK238" s="74"/>
      <c r="GL238" s="75"/>
      <c r="GM238" s="75"/>
      <c r="GN238" s="75"/>
      <c r="GO238" s="75"/>
      <c r="GP238" s="75"/>
      <c r="GQ238" s="75"/>
      <c r="GR238" s="75"/>
      <c r="GS238" s="75"/>
      <c r="GT238" s="75"/>
      <c r="GU238" s="75"/>
      <c r="GV238" s="81"/>
      <c r="GW238" s="74"/>
      <c r="GX238" s="75"/>
      <c r="GY238" s="75"/>
      <c r="GZ238" s="75"/>
      <c r="HA238" s="75"/>
      <c r="HB238" s="75"/>
      <c r="HC238" s="75"/>
      <c r="HD238" s="75"/>
      <c r="HE238" s="75"/>
      <c r="HF238" s="75"/>
      <c r="HG238" s="75"/>
      <c r="HH238" s="81"/>
      <c r="HI238" s="75"/>
    </row>
    <row r="239" ht="15.0" customHeight="1">
      <c r="A239" s="74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81"/>
      <c r="M239" s="74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81"/>
      <c r="Y239" s="74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81"/>
      <c r="AK239" s="74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81"/>
      <c r="AW239" s="74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81"/>
      <c r="BI239" s="74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81"/>
      <c r="BU239" s="74"/>
      <c r="BV239" s="75"/>
      <c r="BW239" s="75"/>
      <c r="BX239" s="75"/>
      <c r="BY239" s="75"/>
      <c r="BZ239" s="75"/>
      <c r="CA239" s="75"/>
      <c r="CB239" s="75"/>
      <c r="CC239" s="75"/>
      <c r="CD239" s="75"/>
      <c r="CE239" s="75"/>
      <c r="CF239" s="81"/>
      <c r="CG239" s="74"/>
      <c r="CH239" s="75"/>
      <c r="CI239" s="75"/>
      <c r="CJ239" s="75"/>
      <c r="CK239" s="75"/>
      <c r="CL239" s="75"/>
      <c r="CM239" s="75"/>
      <c r="CN239" s="75"/>
      <c r="CO239" s="75"/>
      <c r="CP239" s="75"/>
      <c r="CQ239" s="75"/>
      <c r="CR239" s="81"/>
      <c r="CS239" s="74"/>
      <c r="CT239" s="75"/>
      <c r="CU239" s="75"/>
      <c r="CV239" s="75"/>
      <c r="CW239" s="75"/>
      <c r="CX239" s="75"/>
      <c r="CY239" s="75"/>
      <c r="CZ239" s="75"/>
      <c r="DA239" s="75"/>
      <c r="DB239" s="75"/>
      <c r="DC239" s="75"/>
      <c r="DD239" s="81"/>
      <c r="DE239" s="74"/>
      <c r="DF239" s="75"/>
      <c r="DG239" s="75"/>
      <c r="DH239" s="75"/>
      <c r="DI239" s="75"/>
      <c r="DJ239" s="75"/>
      <c r="DK239" s="75"/>
      <c r="DL239" s="75"/>
      <c r="DM239" s="75"/>
      <c r="DN239" s="75"/>
      <c r="DO239" s="75"/>
      <c r="DP239" s="81"/>
      <c r="DQ239" s="74"/>
      <c r="DR239" s="75"/>
      <c r="DS239" s="75"/>
      <c r="DT239" s="75"/>
      <c r="DU239" s="75"/>
      <c r="DV239" s="75"/>
      <c r="DW239" s="75"/>
      <c r="DX239" s="75"/>
      <c r="DY239" s="75"/>
      <c r="DZ239" s="75"/>
      <c r="EA239" s="75"/>
      <c r="EB239" s="81"/>
      <c r="EC239" s="74"/>
      <c r="ED239" s="75"/>
      <c r="EE239" s="75"/>
      <c r="EF239" s="75"/>
      <c r="EG239" s="75"/>
      <c r="EH239" s="75"/>
      <c r="EI239" s="75"/>
      <c r="EJ239" s="75"/>
      <c r="EK239" s="75"/>
      <c r="EL239" s="75"/>
      <c r="EM239" s="75"/>
      <c r="EN239" s="81"/>
      <c r="EO239" s="74"/>
      <c r="EP239" s="75"/>
      <c r="EQ239" s="75"/>
      <c r="ER239" s="75"/>
      <c r="ES239" s="75"/>
      <c r="ET239" s="75"/>
      <c r="EU239" s="75"/>
      <c r="EV239" s="75"/>
      <c r="EW239" s="75"/>
      <c r="EX239" s="75"/>
      <c r="EY239" s="75"/>
      <c r="EZ239" s="81"/>
      <c r="FA239" s="74"/>
      <c r="FB239" s="75"/>
      <c r="FC239" s="75"/>
      <c r="FD239" s="75"/>
      <c r="FE239" s="75"/>
      <c r="FF239" s="75"/>
      <c r="FG239" s="75"/>
      <c r="FH239" s="75"/>
      <c r="FI239" s="75"/>
      <c r="FJ239" s="75"/>
      <c r="FK239" s="75"/>
      <c r="FL239" s="81"/>
      <c r="FM239" s="74"/>
      <c r="FN239" s="75"/>
      <c r="FO239" s="75"/>
      <c r="FP239" s="75"/>
      <c r="FQ239" s="75"/>
      <c r="FR239" s="75"/>
      <c r="FS239" s="75"/>
      <c r="FT239" s="75"/>
      <c r="FU239" s="75"/>
      <c r="FV239" s="75"/>
      <c r="FW239" s="75"/>
      <c r="FX239" s="81"/>
      <c r="FY239" s="74"/>
      <c r="FZ239" s="75"/>
      <c r="GA239" s="75"/>
      <c r="GB239" s="75"/>
      <c r="GC239" s="75"/>
      <c r="GD239" s="75"/>
      <c r="GE239" s="75"/>
      <c r="GF239" s="75"/>
      <c r="GG239" s="75"/>
      <c r="GH239" s="75"/>
      <c r="GI239" s="75"/>
      <c r="GJ239" s="81"/>
      <c r="GK239" s="74"/>
      <c r="GL239" s="75"/>
      <c r="GM239" s="75"/>
      <c r="GN239" s="75"/>
      <c r="GO239" s="75"/>
      <c r="GP239" s="75"/>
      <c r="GQ239" s="75"/>
      <c r="GR239" s="75"/>
      <c r="GS239" s="75"/>
      <c r="GT239" s="75"/>
      <c r="GU239" s="75"/>
      <c r="GV239" s="81"/>
      <c r="GW239" s="74"/>
      <c r="GX239" s="75"/>
      <c r="GY239" s="75"/>
      <c r="GZ239" s="75"/>
      <c r="HA239" s="75"/>
      <c r="HB239" s="75"/>
      <c r="HC239" s="75"/>
      <c r="HD239" s="75"/>
      <c r="HE239" s="75"/>
      <c r="HF239" s="75"/>
      <c r="HG239" s="75"/>
      <c r="HH239" s="81"/>
      <c r="HI239" s="75"/>
    </row>
    <row r="240" ht="15.0" customHeight="1">
      <c r="A240" s="74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81"/>
      <c r="M240" s="74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81"/>
      <c r="Y240" s="74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81"/>
      <c r="AK240" s="74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81"/>
      <c r="AW240" s="74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81"/>
      <c r="BI240" s="74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81"/>
      <c r="BU240" s="74"/>
      <c r="BV240" s="75"/>
      <c r="BW240" s="75"/>
      <c r="BX240" s="75"/>
      <c r="BY240" s="75"/>
      <c r="BZ240" s="75"/>
      <c r="CA240" s="75"/>
      <c r="CB240" s="75"/>
      <c r="CC240" s="75"/>
      <c r="CD240" s="75"/>
      <c r="CE240" s="75"/>
      <c r="CF240" s="81"/>
      <c r="CG240" s="74"/>
      <c r="CH240" s="75"/>
      <c r="CI240" s="75"/>
      <c r="CJ240" s="75"/>
      <c r="CK240" s="75"/>
      <c r="CL240" s="75"/>
      <c r="CM240" s="75"/>
      <c r="CN240" s="75"/>
      <c r="CO240" s="75"/>
      <c r="CP240" s="75"/>
      <c r="CQ240" s="75"/>
      <c r="CR240" s="81"/>
      <c r="CS240" s="74"/>
      <c r="CT240" s="75"/>
      <c r="CU240" s="75"/>
      <c r="CV240" s="75"/>
      <c r="CW240" s="75"/>
      <c r="CX240" s="75"/>
      <c r="CY240" s="75"/>
      <c r="CZ240" s="75"/>
      <c r="DA240" s="75"/>
      <c r="DB240" s="75"/>
      <c r="DC240" s="75"/>
      <c r="DD240" s="81"/>
      <c r="DE240" s="74"/>
      <c r="DF240" s="75"/>
      <c r="DG240" s="75"/>
      <c r="DH240" s="75"/>
      <c r="DI240" s="75"/>
      <c r="DJ240" s="75"/>
      <c r="DK240" s="75"/>
      <c r="DL240" s="75"/>
      <c r="DM240" s="75"/>
      <c r="DN240" s="75"/>
      <c r="DO240" s="75"/>
      <c r="DP240" s="81"/>
      <c r="DQ240" s="74"/>
      <c r="DR240" s="75"/>
      <c r="DS240" s="75"/>
      <c r="DT240" s="75"/>
      <c r="DU240" s="75"/>
      <c r="DV240" s="75"/>
      <c r="DW240" s="75"/>
      <c r="DX240" s="75"/>
      <c r="DY240" s="75"/>
      <c r="DZ240" s="75"/>
      <c r="EA240" s="75"/>
      <c r="EB240" s="81"/>
      <c r="EC240" s="74"/>
      <c r="ED240" s="75"/>
      <c r="EE240" s="75"/>
      <c r="EF240" s="75"/>
      <c r="EG240" s="75"/>
      <c r="EH240" s="75"/>
      <c r="EI240" s="75"/>
      <c r="EJ240" s="75"/>
      <c r="EK240" s="75"/>
      <c r="EL240" s="75"/>
      <c r="EM240" s="75"/>
      <c r="EN240" s="81"/>
      <c r="EO240" s="74"/>
      <c r="EP240" s="75"/>
      <c r="EQ240" s="75"/>
      <c r="ER240" s="75"/>
      <c r="ES240" s="75"/>
      <c r="ET240" s="75"/>
      <c r="EU240" s="75"/>
      <c r="EV240" s="75"/>
      <c r="EW240" s="75"/>
      <c r="EX240" s="75"/>
      <c r="EY240" s="75"/>
      <c r="EZ240" s="81"/>
      <c r="FA240" s="74"/>
      <c r="FB240" s="75"/>
      <c r="FC240" s="75"/>
      <c r="FD240" s="75"/>
      <c r="FE240" s="75"/>
      <c r="FF240" s="75"/>
      <c r="FG240" s="75"/>
      <c r="FH240" s="75"/>
      <c r="FI240" s="75"/>
      <c r="FJ240" s="75"/>
      <c r="FK240" s="75"/>
      <c r="FL240" s="81"/>
      <c r="FM240" s="74"/>
      <c r="FN240" s="75"/>
      <c r="FO240" s="75"/>
      <c r="FP240" s="75"/>
      <c r="FQ240" s="75"/>
      <c r="FR240" s="75"/>
      <c r="FS240" s="75"/>
      <c r="FT240" s="75"/>
      <c r="FU240" s="75"/>
      <c r="FV240" s="75"/>
      <c r="FW240" s="75"/>
      <c r="FX240" s="81"/>
      <c r="FY240" s="74"/>
      <c r="FZ240" s="75"/>
      <c r="GA240" s="75"/>
      <c r="GB240" s="75"/>
      <c r="GC240" s="75"/>
      <c r="GD240" s="75"/>
      <c r="GE240" s="75"/>
      <c r="GF240" s="75"/>
      <c r="GG240" s="75"/>
      <c r="GH240" s="75"/>
      <c r="GI240" s="75"/>
      <c r="GJ240" s="81"/>
      <c r="GK240" s="74"/>
      <c r="GL240" s="75"/>
      <c r="GM240" s="75"/>
      <c r="GN240" s="75"/>
      <c r="GO240" s="75"/>
      <c r="GP240" s="75"/>
      <c r="GQ240" s="75"/>
      <c r="GR240" s="75"/>
      <c r="GS240" s="75"/>
      <c r="GT240" s="75"/>
      <c r="GU240" s="75"/>
      <c r="GV240" s="81"/>
      <c r="GW240" s="74"/>
      <c r="GX240" s="75"/>
      <c r="GY240" s="75"/>
      <c r="GZ240" s="75"/>
      <c r="HA240" s="75"/>
      <c r="HB240" s="75"/>
      <c r="HC240" s="75"/>
      <c r="HD240" s="75"/>
      <c r="HE240" s="75"/>
      <c r="HF240" s="75"/>
      <c r="HG240" s="75"/>
      <c r="HH240" s="81"/>
      <c r="HI240" s="75"/>
    </row>
    <row r="241" ht="15.0" customHeight="1">
      <c r="A241" s="74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81"/>
      <c r="M241" s="74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81"/>
      <c r="Y241" s="74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81"/>
      <c r="AK241" s="74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81"/>
      <c r="AW241" s="74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81"/>
      <c r="BI241" s="74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81"/>
      <c r="BU241" s="74"/>
      <c r="BV241" s="75"/>
      <c r="BW241" s="75"/>
      <c r="BX241" s="75"/>
      <c r="BY241" s="75"/>
      <c r="BZ241" s="75"/>
      <c r="CA241" s="75"/>
      <c r="CB241" s="75"/>
      <c r="CC241" s="75"/>
      <c r="CD241" s="75"/>
      <c r="CE241" s="75"/>
      <c r="CF241" s="81"/>
      <c r="CG241" s="74"/>
      <c r="CH241" s="75"/>
      <c r="CI241" s="75"/>
      <c r="CJ241" s="75"/>
      <c r="CK241" s="75"/>
      <c r="CL241" s="75"/>
      <c r="CM241" s="75"/>
      <c r="CN241" s="75"/>
      <c r="CO241" s="75"/>
      <c r="CP241" s="75"/>
      <c r="CQ241" s="75"/>
      <c r="CR241" s="81"/>
      <c r="CS241" s="74"/>
      <c r="CT241" s="75"/>
      <c r="CU241" s="75"/>
      <c r="CV241" s="75"/>
      <c r="CW241" s="75"/>
      <c r="CX241" s="75"/>
      <c r="CY241" s="75"/>
      <c r="CZ241" s="75"/>
      <c r="DA241" s="75"/>
      <c r="DB241" s="75"/>
      <c r="DC241" s="75"/>
      <c r="DD241" s="81"/>
      <c r="DE241" s="74"/>
      <c r="DF241" s="75"/>
      <c r="DG241" s="75"/>
      <c r="DH241" s="75"/>
      <c r="DI241" s="75"/>
      <c r="DJ241" s="75"/>
      <c r="DK241" s="75"/>
      <c r="DL241" s="75"/>
      <c r="DM241" s="75"/>
      <c r="DN241" s="75"/>
      <c r="DO241" s="75"/>
      <c r="DP241" s="81"/>
      <c r="DQ241" s="74"/>
      <c r="DR241" s="75"/>
      <c r="DS241" s="75"/>
      <c r="DT241" s="75"/>
      <c r="DU241" s="75"/>
      <c r="DV241" s="75"/>
      <c r="DW241" s="75"/>
      <c r="DX241" s="75"/>
      <c r="DY241" s="75"/>
      <c r="DZ241" s="75"/>
      <c r="EA241" s="75"/>
      <c r="EB241" s="81"/>
      <c r="EC241" s="74"/>
      <c r="ED241" s="75"/>
      <c r="EE241" s="75"/>
      <c r="EF241" s="75"/>
      <c r="EG241" s="75"/>
      <c r="EH241" s="75"/>
      <c r="EI241" s="75"/>
      <c r="EJ241" s="75"/>
      <c r="EK241" s="75"/>
      <c r="EL241" s="75"/>
      <c r="EM241" s="75"/>
      <c r="EN241" s="81"/>
      <c r="EO241" s="74"/>
      <c r="EP241" s="75"/>
      <c r="EQ241" s="75"/>
      <c r="ER241" s="75"/>
      <c r="ES241" s="75"/>
      <c r="ET241" s="75"/>
      <c r="EU241" s="75"/>
      <c r="EV241" s="75"/>
      <c r="EW241" s="75"/>
      <c r="EX241" s="75"/>
      <c r="EY241" s="75"/>
      <c r="EZ241" s="81"/>
      <c r="FA241" s="74"/>
      <c r="FB241" s="75"/>
      <c r="FC241" s="75"/>
      <c r="FD241" s="75"/>
      <c r="FE241" s="75"/>
      <c r="FF241" s="75"/>
      <c r="FG241" s="75"/>
      <c r="FH241" s="75"/>
      <c r="FI241" s="75"/>
      <c r="FJ241" s="75"/>
      <c r="FK241" s="75"/>
      <c r="FL241" s="81"/>
      <c r="FM241" s="74"/>
      <c r="FN241" s="75"/>
      <c r="FO241" s="75"/>
      <c r="FP241" s="75"/>
      <c r="FQ241" s="75"/>
      <c r="FR241" s="75"/>
      <c r="FS241" s="75"/>
      <c r="FT241" s="75"/>
      <c r="FU241" s="75"/>
      <c r="FV241" s="75"/>
      <c r="FW241" s="75"/>
      <c r="FX241" s="81"/>
      <c r="FY241" s="74"/>
      <c r="FZ241" s="75"/>
      <c r="GA241" s="75"/>
      <c r="GB241" s="75"/>
      <c r="GC241" s="75"/>
      <c r="GD241" s="75"/>
      <c r="GE241" s="75"/>
      <c r="GF241" s="75"/>
      <c r="GG241" s="75"/>
      <c r="GH241" s="75"/>
      <c r="GI241" s="75"/>
      <c r="GJ241" s="81"/>
      <c r="GK241" s="74"/>
      <c r="GL241" s="75"/>
      <c r="GM241" s="75"/>
      <c r="GN241" s="75"/>
      <c r="GO241" s="75"/>
      <c r="GP241" s="75"/>
      <c r="GQ241" s="75"/>
      <c r="GR241" s="75"/>
      <c r="GS241" s="75"/>
      <c r="GT241" s="75"/>
      <c r="GU241" s="75"/>
      <c r="GV241" s="81"/>
      <c r="GW241" s="74"/>
      <c r="GX241" s="75"/>
      <c r="GY241" s="75"/>
      <c r="GZ241" s="75"/>
      <c r="HA241" s="75"/>
      <c r="HB241" s="75"/>
      <c r="HC241" s="75"/>
      <c r="HD241" s="75"/>
      <c r="HE241" s="75"/>
      <c r="HF241" s="75"/>
      <c r="HG241" s="75"/>
      <c r="HH241" s="81"/>
      <c r="HI241" s="75"/>
    </row>
    <row r="242" ht="15.0" customHeight="1">
      <c r="A242" s="74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81"/>
      <c r="M242" s="74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81"/>
      <c r="Y242" s="74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81"/>
      <c r="AK242" s="74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81"/>
      <c r="AW242" s="74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81"/>
      <c r="BI242" s="74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81"/>
      <c r="BU242" s="74"/>
      <c r="BV242" s="75"/>
      <c r="BW242" s="75"/>
      <c r="BX242" s="75"/>
      <c r="BY242" s="75"/>
      <c r="BZ242" s="75"/>
      <c r="CA242" s="75"/>
      <c r="CB242" s="75"/>
      <c r="CC242" s="75"/>
      <c r="CD242" s="75"/>
      <c r="CE242" s="75"/>
      <c r="CF242" s="81"/>
      <c r="CG242" s="74"/>
      <c r="CH242" s="75"/>
      <c r="CI242" s="75"/>
      <c r="CJ242" s="75"/>
      <c r="CK242" s="75"/>
      <c r="CL242" s="75"/>
      <c r="CM242" s="75"/>
      <c r="CN242" s="75"/>
      <c r="CO242" s="75"/>
      <c r="CP242" s="75"/>
      <c r="CQ242" s="75"/>
      <c r="CR242" s="81"/>
      <c r="CS242" s="74"/>
      <c r="CT242" s="75"/>
      <c r="CU242" s="75"/>
      <c r="CV242" s="75"/>
      <c r="CW242" s="75"/>
      <c r="CX242" s="75"/>
      <c r="CY242" s="75"/>
      <c r="CZ242" s="75"/>
      <c r="DA242" s="75"/>
      <c r="DB242" s="75"/>
      <c r="DC242" s="75"/>
      <c r="DD242" s="81"/>
      <c r="DE242" s="74"/>
      <c r="DF242" s="75"/>
      <c r="DG242" s="75"/>
      <c r="DH242" s="75"/>
      <c r="DI242" s="75"/>
      <c r="DJ242" s="75"/>
      <c r="DK242" s="75"/>
      <c r="DL242" s="75"/>
      <c r="DM242" s="75"/>
      <c r="DN242" s="75"/>
      <c r="DO242" s="75"/>
      <c r="DP242" s="81"/>
      <c r="DQ242" s="74"/>
      <c r="DR242" s="75"/>
      <c r="DS242" s="75"/>
      <c r="DT242" s="75"/>
      <c r="DU242" s="75"/>
      <c r="DV242" s="75"/>
      <c r="DW242" s="75"/>
      <c r="DX242" s="75"/>
      <c r="DY242" s="75"/>
      <c r="DZ242" s="75"/>
      <c r="EA242" s="75"/>
      <c r="EB242" s="81"/>
      <c r="EC242" s="74"/>
      <c r="ED242" s="75"/>
      <c r="EE242" s="75"/>
      <c r="EF242" s="75"/>
      <c r="EG242" s="75"/>
      <c r="EH242" s="75"/>
      <c r="EI242" s="75"/>
      <c r="EJ242" s="75"/>
      <c r="EK242" s="75"/>
      <c r="EL242" s="75"/>
      <c r="EM242" s="75"/>
      <c r="EN242" s="81"/>
      <c r="EO242" s="74"/>
      <c r="EP242" s="75"/>
      <c r="EQ242" s="75"/>
      <c r="ER242" s="75"/>
      <c r="ES242" s="75"/>
      <c r="ET242" s="75"/>
      <c r="EU242" s="75"/>
      <c r="EV242" s="75"/>
      <c r="EW242" s="75"/>
      <c r="EX242" s="75"/>
      <c r="EY242" s="75"/>
      <c r="EZ242" s="81"/>
      <c r="FA242" s="74"/>
      <c r="FB242" s="75"/>
      <c r="FC242" s="75"/>
      <c r="FD242" s="75"/>
      <c r="FE242" s="75"/>
      <c r="FF242" s="75"/>
      <c r="FG242" s="75"/>
      <c r="FH242" s="75"/>
      <c r="FI242" s="75"/>
      <c r="FJ242" s="75"/>
      <c r="FK242" s="75"/>
      <c r="FL242" s="81"/>
      <c r="FM242" s="74"/>
      <c r="FN242" s="75"/>
      <c r="FO242" s="75"/>
      <c r="FP242" s="75"/>
      <c r="FQ242" s="75"/>
      <c r="FR242" s="75"/>
      <c r="FS242" s="75"/>
      <c r="FT242" s="75"/>
      <c r="FU242" s="75"/>
      <c r="FV242" s="75"/>
      <c r="FW242" s="75"/>
      <c r="FX242" s="81"/>
      <c r="FY242" s="74"/>
      <c r="FZ242" s="75"/>
      <c r="GA242" s="75"/>
      <c r="GB242" s="75"/>
      <c r="GC242" s="75"/>
      <c r="GD242" s="75"/>
      <c r="GE242" s="75"/>
      <c r="GF242" s="75"/>
      <c r="GG242" s="75"/>
      <c r="GH242" s="75"/>
      <c r="GI242" s="75"/>
      <c r="GJ242" s="81"/>
      <c r="GK242" s="74"/>
      <c r="GL242" s="75"/>
      <c r="GM242" s="75"/>
      <c r="GN242" s="75"/>
      <c r="GO242" s="75"/>
      <c r="GP242" s="75"/>
      <c r="GQ242" s="75"/>
      <c r="GR242" s="75"/>
      <c r="GS242" s="75"/>
      <c r="GT242" s="75"/>
      <c r="GU242" s="75"/>
      <c r="GV242" s="81"/>
      <c r="GW242" s="74"/>
      <c r="GX242" s="75"/>
      <c r="GY242" s="75"/>
      <c r="GZ242" s="75"/>
      <c r="HA242" s="75"/>
      <c r="HB242" s="75"/>
      <c r="HC242" s="75"/>
      <c r="HD242" s="75"/>
      <c r="HE242" s="75"/>
      <c r="HF242" s="75"/>
      <c r="HG242" s="75"/>
      <c r="HH242" s="81"/>
      <c r="HI242" s="75"/>
    </row>
    <row r="243" ht="15.0" customHeight="1">
      <c r="A243" s="74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81"/>
      <c r="M243" s="74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81"/>
      <c r="Y243" s="74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81"/>
      <c r="AK243" s="74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81"/>
      <c r="AW243" s="74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81"/>
      <c r="BI243" s="74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81"/>
      <c r="BU243" s="74"/>
      <c r="BV243" s="75"/>
      <c r="BW243" s="75"/>
      <c r="BX243" s="75"/>
      <c r="BY243" s="75"/>
      <c r="BZ243" s="75"/>
      <c r="CA243" s="75"/>
      <c r="CB243" s="75"/>
      <c r="CC243" s="75"/>
      <c r="CD243" s="75"/>
      <c r="CE243" s="75"/>
      <c r="CF243" s="81"/>
      <c r="CG243" s="74"/>
      <c r="CH243" s="75"/>
      <c r="CI243" s="75"/>
      <c r="CJ243" s="75"/>
      <c r="CK243" s="75"/>
      <c r="CL243" s="75"/>
      <c r="CM243" s="75"/>
      <c r="CN243" s="75"/>
      <c r="CO243" s="75"/>
      <c r="CP243" s="75"/>
      <c r="CQ243" s="75"/>
      <c r="CR243" s="81"/>
      <c r="CS243" s="74"/>
      <c r="CT243" s="75"/>
      <c r="CU243" s="75"/>
      <c r="CV243" s="75"/>
      <c r="CW243" s="75"/>
      <c r="CX243" s="75"/>
      <c r="CY243" s="75"/>
      <c r="CZ243" s="75"/>
      <c r="DA243" s="75"/>
      <c r="DB243" s="75"/>
      <c r="DC243" s="75"/>
      <c r="DD243" s="81"/>
      <c r="DE243" s="74"/>
      <c r="DF243" s="75"/>
      <c r="DG243" s="75"/>
      <c r="DH243" s="75"/>
      <c r="DI243" s="75"/>
      <c r="DJ243" s="75"/>
      <c r="DK243" s="75"/>
      <c r="DL243" s="75"/>
      <c r="DM243" s="75"/>
      <c r="DN243" s="75"/>
      <c r="DO243" s="75"/>
      <c r="DP243" s="81"/>
      <c r="DQ243" s="74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81"/>
      <c r="EC243" s="74"/>
      <c r="ED243" s="75"/>
      <c r="EE243" s="75"/>
      <c r="EF243" s="75"/>
      <c r="EG243" s="75"/>
      <c r="EH243" s="75"/>
      <c r="EI243" s="75"/>
      <c r="EJ243" s="75"/>
      <c r="EK243" s="75"/>
      <c r="EL243" s="75"/>
      <c r="EM243" s="75"/>
      <c r="EN243" s="81"/>
      <c r="EO243" s="74"/>
      <c r="EP243" s="75"/>
      <c r="EQ243" s="75"/>
      <c r="ER243" s="75"/>
      <c r="ES243" s="75"/>
      <c r="ET243" s="75"/>
      <c r="EU243" s="75"/>
      <c r="EV243" s="75"/>
      <c r="EW243" s="75"/>
      <c r="EX243" s="75"/>
      <c r="EY243" s="75"/>
      <c r="EZ243" s="81"/>
      <c r="FA243" s="74"/>
      <c r="FB243" s="75"/>
      <c r="FC243" s="75"/>
      <c r="FD243" s="75"/>
      <c r="FE243" s="75"/>
      <c r="FF243" s="75"/>
      <c r="FG243" s="75"/>
      <c r="FH243" s="75"/>
      <c r="FI243" s="75"/>
      <c r="FJ243" s="75"/>
      <c r="FK243" s="75"/>
      <c r="FL243" s="81"/>
      <c r="FM243" s="74"/>
      <c r="FN243" s="75"/>
      <c r="FO243" s="75"/>
      <c r="FP243" s="75"/>
      <c r="FQ243" s="75"/>
      <c r="FR243" s="75"/>
      <c r="FS243" s="75"/>
      <c r="FT243" s="75"/>
      <c r="FU243" s="75"/>
      <c r="FV243" s="75"/>
      <c r="FW243" s="75"/>
      <c r="FX243" s="81"/>
      <c r="FY243" s="74"/>
      <c r="FZ243" s="75"/>
      <c r="GA243" s="75"/>
      <c r="GB243" s="75"/>
      <c r="GC243" s="75"/>
      <c r="GD243" s="75"/>
      <c r="GE243" s="75"/>
      <c r="GF243" s="75"/>
      <c r="GG243" s="75"/>
      <c r="GH243" s="75"/>
      <c r="GI243" s="75"/>
      <c r="GJ243" s="81"/>
      <c r="GK243" s="74"/>
      <c r="GL243" s="75"/>
      <c r="GM243" s="75"/>
      <c r="GN243" s="75"/>
      <c r="GO243" s="75"/>
      <c r="GP243" s="75"/>
      <c r="GQ243" s="75"/>
      <c r="GR243" s="75"/>
      <c r="GS243" s="75"/>
      <c r="GT243" s="75"/>
      <c r="GU243" s="75"/>
      <c r="GV243" s="81"/>
      <c r="GW243" s="74"/>
      <c r="GX243" s="75"/>
      <c r="GY243" s="75"/>
      <c r="GZ243" s="75"/>
      <c r="HA243" s="75"/>
      <c r="HB243" s="75"/>
      <c r="HC243" s="75"/>
      <c r="HD243" s="75"/>
      <c r="HE243" s="75"/>
      <c r="HF243" s="75"/>
      <c r="HG243" s="75"/>
      <c r="HH243" s="81"/>
      <c r="HI243" s="75"/>
    </row>
    <row r="244" ht="15.0" customHeight="1">
      <c r="A244" s="74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81"/>
      <c r="M244" s="74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81"/>
      <c r="Y244" s="74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81"/>
      <c r="AK244" s="74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81"/>
      <c r="AW244" s="74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81"/>
      <c r="BI244" s="74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81"/>
      <c r="BU244" s="74"/>
      <c r="BV244" s="75"/>
      <c r="BW244" s="75"/>
      <c r="BX244" s="75"/>
      <c r="BY244" s="75"/>
      <c r="BZ244" s="75"/>
      <c r="CA244" s="75"/>
      <c r="CB244" s="75"/>
      <c r="CC244" s="75"/>
      <c r="CD244" s="75"/>
      <c r="CE244" s="75"/>
      <c r="CF244" s="81"/>
      <c r="CG244" s="74"/>
      <c r="CH244" s="75"/>
      <c r="CI244" s="75"/>
      <c r="CJ244" s="75"/>
      <c r="CK244" s="75"/>
      <c r="CL244" s="75"/>
      <c r="CM244" s="75"/>
      <c r="CN244" s="75"/>
      <c r="CO244" s="75"/>
      <c r="CP244" s="75"/>
      <c r="CQ244" s="75"/>
      <c r="CR244" s="81"/>
      <c r="CS244" s="74"/>
      <c r="CT244" s="75"/>
      <c r="CU244" s="75"/>
      <c r="CV244" s="75"/>
      <c r="CW244" s="75"/>
      <c r="CX244" s="75"/>
      <c r="CY244" s="75"/>
      <c r="CZ244" s="75"/>
      <c r="DA244" s="75"/>
      <c r="DB244" s="75"/>
      <c r="DC244" s="75"/>
      <c r="DD244" s="81"/>
      <c r="DE244" s="74"/>
      <c r="DF244" s="75"/>
      <c r="DG244" s="75"/>
      <c r="DH244" s="75"/>
      <c r="DI244" s="75"/>
      <c r="DJ244" s="75"/>
      <c r="DK244" s="75"/>
      <c r="DL244" s="75"/>
      <c r="DM244" s="75"/>
      <c r="DN244" s="75"/>
      <c r="DO244" s="75"/>
      <c r="DP244" s="81"/>
      <c r="DQ244" s="74"/>
      <c r="DR244" s="75"/>
      <c r="DS244" s="75"/>
      <c r="DT244" s="75"/>
      <c r="DU244" s="75"/>
      <c r="DV244" s="75"/>
      <c r="DW244" s="75"/>
      <c r="DX244" s="75"/>
      <c r="DY244" s="75"/>
      <c r="DZ244" s="75"/>
      <c r="EA244" s="75"/>
      <c r="EB244" s="81"/>
      <c r="EC244" s="74"/>
      <c r="ED244" s="75"/>
      <c r="EE244" s="75"/>
      <c r="EF244" s="75"/>
      <c r="EG244" s="75"/>
      <c r="EH244" s="75"/>
      <c r="EI244" s="75"/>
      <c r="EJ244" s="75"/>
      <c r="EK244" s="75"/>
      <c r="EL244" s="75"/>
      <c r="EM244" s="75"/>
      <c r="EN244" s="81"/>
      <c r="EO244" s="74"/>
      <c r="EP244" s="75"/>
      <c r="EQ244" s="75"/>
      <c r="ER244" s="75"/>
      <c r="ES244" s="75"/>
      <c r="ET244" s="75"/>
      <c r="EU244" s="75"/>
      <c r="EV244" s="75"/>
      <c r="EW244" s="75"/>
      <c r="EX244" s="75"/>
      <c r="EY244" s="75"/>
      <c r="EZ244" s="81"/>
      <c r="FA244" s="74"/>
      <c r="FB244" s="75"/>
      <c r="FC244" s="75"/>
      <c r="FD244" s="75"/>
      <c r="FE244" s="75"/>
      <c r="FF244" s="75"/>
      <c r="FG244" s="75"/>
      <c r="FH244" s="75"/>
      <c r="FI244" s="75"/>
      <c r="FJ244" s="75"/>
      <c r="FK244" s="75"/>
      <c r="FL244" s="81"/>
      <c r="FM244" s="74"/>
      <c r="FN244" s="75"/>
      <c r="FO244" s="75"/>
      <c r="FP244" s="75"/>
      <c r="FQ244" s="75"/>
      <c r="FR244" s="75"/>
      <c r="FS244" s="75"/>
      <c r="FT244" s="75"/>
      <c r="FU244" s="75"/>
      <c r="FV244" s="75"/>
      <c r="FW244" s="75"/>
      <c r="FX244" s="81"/>
      <c r="FY244" s="74"/>
      <c r="FZ244" s="75"/>
      <c r="GA244" s="75"/>
      <c r="GB244" s="75"/>
      <c r="GC244" s="75"/>
      <c r="GD244" s="75"/>
      <c r="GE244" s="75"/>
      <c r="GF244" s="75"/>
      <c r="GG244" s="75"/>
      <c r="GH244" s="75"/>
      <c r="GI244" s="75"/>
      <c r="GJ244" s="81"/>
      <c r="GK244" s="74"/>
      <c r="GL244" s="75"/>
      <c r="GM244" s="75"/>
      <c r="GN244" s="75"/>
      <c r="GO244" s="75"/>
      <c r="GP244" s="75"/>
      <c r="GQ244" s="75"/>
      <c r="GR244" s="75"/>
      <c r="GS244" s="75"/>
      <c r="GT244" s="75"/>
      <c r="GU244" s="75"/>
      <c r="GV244" s="81"/>
      <c r="GW244" s="74"/>
      <c r="GX244" s="75"/>
      <c r="GY244" s="75"/>
      <c r="GZ244" s="75"/>
      <c r="HA244" s="75"/>
      <c r="HB244" s="75"/>
      <c r="HC244" s="75"/>
      <c r="HD244" s="75"/>
      <c r="HE244" s="75"/>
      <c r="HF244" s="75"/>
      <c r="HG244" s="75"/>
      <c r="HH244" s="81"/>
      <c r="HI244" s="75"/>
    </row>
    <row r="245" ht="15.0" customHeight="1">
      <c r="A245" s="74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81"/>
      <c r="M245" s="74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81"/>
      <c r="Y245" s="74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81"/>
      <c r="AK245" s="74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81"/>
      <c r="AW245" s="74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81"/>
      <c r="BI245" s="74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81"/>
      <c r="BU245" s="74"/>
      <c r="BV245" s="75"/>
      <c r="BW245" s="75"/>
      <c r="BX245" s="75"/>
      <c r="BY245" s="75"/>
      <c r="BZ245" s="75"/>
      <c r="CA245" s="75"/>
      <c r="CB245" s="75"/>
      <c r="CC245" s="75"/>
      <c r="CD245" s="75"/>
      <c r="CE245" s="75"/>
      <c r="CF245" s="81"/>
      <c r="CG245" s="74"/>
      <c r="CH245" s="75"/>
      <c r="CI245" s="75"/>
      <c r="CJ245" s="75"/>
      <c r="CK245" s="75"/>
      <c r="CL245" s="75"/>
      <c r="CM245" s="75"/>
      <c r="CN245" s="75"/>
      <c r="CO245" s="75"/>
      <c r="CP245" s="75"/>
      <c r="CQ245" s="75"/>
      <c r="CR245" s="81"/>
      <c r="CS245" s="74"/>
      <c r="CT245" s="75"/>
      <c r="CU245" s="75"/>
      <c r="CV245" s="75"/>
      <c r="CW245" s="75"/>
      <c r="CX245" s="75"/>
      <c r="CY245" s="75"/>
      <c r="CZ245" s="75"/>
      <c r="DA245" s="75"/>
      <c r="DB245" s="75"/>
      <c r="DC245" s="75"/>
      <c r="DD245" s="81"/>
      <c r="DE245" s="74"/>
      <c r="DF245" s="75"/>
      <c r="DG245" s="75"/>
      <c r="DH245" s="75"/>
      <c r="DI245" s="75"/>
      <c r="DJ245" s="75"/>
      <c r="DK245" s="75"/>
      <c r="DL245" s="75"/>
      <c r="DM245" s="75"/>
      <c r="DN245" s="75"/>
      <c r="DO245" s="75"/>
      <c r="DP245" s="81"/>
      <c r="DQ245" s="74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81"/>
      <c r="EC245" s="74"/>
      <c r="ED245" s="75"/>
      <c r="EE245" s="75"/>
      <c r="EF245" s="75"/>
      <c r="EG245" s="75"/>
      <c r="EH245" s="75"/>
      <c r="EI245" s="75"/>
      <c r="EJ245" s="75"/>
      <c r="EK245" s="75"/>
      <c r="EL245" s="75"/>
      <c r="EM245" s="75"/>
      <c r="EN245" s="81"/>
      <c r="EO245" s="74"/>
      <c r="EP245" s="75"/>
      <c r="EQ245" s="75"/>
      <c r="ER245" s="75"/>
      <c r="ES245" s="75"/>
      <c r="ET245" s="75"/>
      <c r="EU245" s="75"/>
      <c r="EV245" s="75"/>
      <c r="EW245" s="75"/>
      <c r="EX245" s="75"/>
      <c r="EY245" s="75"/>
      <c r="EZ245" s="81"/>
      <c r="FA245" s="74"/>
      <c r="FB245" s="75"/>
      <c r="FC245" s="75"/>
      <c r="FD245" s="75"/>
      <c r="FE245" s="75"/>
      <c r="FF245" s="75"/>
      <c r="FG245" s="75"/>
      <c r="FH245" s="75"/>
      <c r="FI245" s="75"/>
      <c r="FJ245" s="75"/>
      <c r="FK245" s="75"/>
      <c r="FL245" s="81"/>
      <c r="FM245" s="74"/>
      <c r="FN245" s="75"/>
      <c r="FO245" s="75"/>
      <c r="FP245" s="75"/>
      <c r="FQ245" s="75"/>
      <c r="FR245" s="75"/>
      <c r="FS245" s="75"/>
      <c r="FT245" s="75"/>
      <c r="FU245" s="75"/>
      <c r="FV245" s="75"/>
      <c r="FW245" s="75"/>
      <c r="FX245" s="81"/>
      <c r="FY245" s="74"/>
      <c r="FZ245" s="75"/>
      <c r="GA245" s="75"/>
      <c r="GB245" s="75"/>
      <c r="GC245" s="75"/>
      <c r="GD245" s="75"/>
      <c r="GE245" s="75"/>
      <c r="GF245" s="75"/>
      <c r="GG245" s="75"/>
      <c r="GH245" s="75"/>
      <c r="GI245" s="75"/>
      <c r="GJ245" s="81"/>
      <c r="GK245" s="74"/>
      <c r="GL245" s="75"/>
      <c r="GM245" s="75"/>
      <c r="GN245" s="75"/>
      <c r="GO245" s="75"/>
      <c r="GP245" s="75"/>
      <c r="GQ245" s="75"/>
      <c r="GR245" s="75"/>
      <c r="GS245" s="75"/>
      <c r="GT245" s="75"/>
      <c r="GU245" s="75"/>
      <c r="GV245" s="81"/>
      <c r="GW245" s="74"/>
      <c r="GX245" s="75"/>
      <c r="GY245" s="75"/>
      <c r="GZ245" s="75"/>
      <c r="HA245" s="75"/>
      <c r="HB245" s="75"/>
      <c r="HC245" s="75"/>
      <c r="HD245" s="75"/>
      <c r="HE245" s="75"/>
      <c r="HF245" s="75"/>
      <c r="HG245" s="75"/>
      <c r="HH245" s="81"/>
      <c r="HI245" s="75"/>
    </row>
    <row r="246" ht="15.0" customHeight="1">
      <c r="A246" s="74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81"/>
      <c r="M246" s="74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81"/>
      <c r="Y246" s="74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81"/>
      <c r="AK246" s="74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81"/>
      <c r="AW246" s="74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81"/>
      <c r="BI246" s="74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81"/>
      <c r="BU246" s="74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81"/>
      <c r="CG246" s="74"/>
      <c r="CH246" s="75"/>
      <c r="CI246" s="75"/>
      <c r="CJ246" s="75"/>
      <c r="CK246" s="75"/>
      <c r="CL246" s="75"/>
      <c r="CM246" s="75"/>
      <c r="CN246" s="75"/>
      <c r="CO246" s="75"/>
      <c r="CP246" s="75"/>
      <c r="CQ246" s="75"/>
      <c r="CR246" s="81"/>
      <c r="CS246" s="74"/>
      <c r="CT246" s="75"/>
      <c r="CU246" s="75"/>
      <c r="CV246" s="75"/>
      <c r="CW246" s="75"/>
      <c r="CX246" s="75"/>
      <c r="CY246" s="75"/>
      <c r="CZ246" s="75"/>
      <c r="DA246" s="75"/>
      <c r="DB246" s="75"/>
      <c r="DC246" s="75"/>
      <c r="DD246" s="81"/>
      <c r="DE246" s="74"/>
      <c r="DF246" s="75"/>
      <c r="DG246" s="75"/>
      <c r="DH246" s="75"/>
      <c r="DI246" s="75"/>
      <c r="DJ246" s="75"/>
      <c r="DK246" s="75"/>
      <c r="DL246" s="75"/>
      <c r="DM246" s="75"/>
      <c r="DN246" s="75"/>
      <c r="DO246" s="75"/>
      <c r="DP246" s="81"/>
      <c r="DQ246" s="74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81"/>
      <c r="EC246" s="74"/>
      <c r="ED246" s="75"/>
      <c r="EE246" s="75"/>
      <c r="EF246" s="75"/>
      <c r="EG246" s="75"/>
      <c r="EH246" s="75"/>
      <c r="EI246" s="75"/>
      <c r="EJ246" s="75"/>
      <c r="EK246" s="75"/>
      <c r="EL246" s="75"/>
      <c r="EM246" s="75"/>
      <c r="EN246" s="81"/>
      <c r="EO246" s="74"/>
      <c r="EP246" s="75"/>
      <c r="EQ246" s="75"/>
      <c r="ER246" s="75"/>
      <c r="ES246" s="75"/>
      <c r="ET246" s="75"/>
      <c r="EU246" s="75"/>
      <c r="EV246" s="75"/>
      <c r="EW246" s="75"/>
      <c r="EX246" s="75"/>
      <c r="EY246" s="75"/>
      <c r="EZ246" s="81"/>
      <c r="FA246" s="74"/>
      <c r="FB246" s="75"/>
      <c r="FC246" s="75"/>
      <c r="FD246" s="75"/>
      <c r="FE246" s="75"/>
      <c r="FF246" s="75"/>
      <c r="FG246" s="75"/>
      <c r="FH246" s="75"/>
      <c r="FI246" s="75"/>
      <c r="FJ246" s="75"/>
      <c r="FK246" s="75"/>
      <c r="FL246" s="81"/>
      <c r="FM246" s="74"/>
      <c r="FN246" s="75"/>
      <c r="FO246" s="75"/>
      <c r="FP246" s="75"/>
      <c r="FQ246" s="75"/>
      <c r="FR246" s="75"/>
      <c r="FS246" s="75"/>
      <c r="FT246" s="75"/>
      <c r="FU246" s="75"/>
      <c r="FV246" s="75"/>
      <c r="FW246" s="75"/>
      <c r="FX246" s="81"/>
      <c r="FY246" s="74"/>
      <c r="FZ246" s="75"/>
      <c r="GA246" s="75"/>
      <c r="GB246" s="75"/>
      <c r="GC246" s="75"/>
      <c r="GD246" s="75"/>
      <c r="GE246" s="75"/>
      <c r="GF246" s="75"/>
      <c r="GG246" s="75"/>
      <c r="GH246" s="75"/>
      <c r="GI246" s="75"/>
      <c r="GJ246" s="81"/>
      <c r="GK246" s="74"/>
      <c r="GL246" s="75"/>
      <c r="GM246" s="75"/>
      <c r="GN246" s="75"/>
      <c r="GO246" s="75"/>
      <c r="GP246" s="75"/>
      <c r="GQ246" s="75"/>
      <c r="GR246" s="75"/>
      <c r="GS246" s="75"/>
      <c r="GT246" s="75"/>
      <c r="GU246" s="75"/>
      <c r="GV246" s="81"/>
      <c r="GW246" s="74"/>
      <c r="GX246" s="75"/>
      <c r="GY246" s="75"/>
      <c r="GZ246" s="75"/>
      <c r="HA246" s="75"/>
      <c r="HB246" s="75"/>
      <c r="HC246" s="75"/>
      <c r="HD246" s="75"/>
      <c r="HE246" s="75"/>
      <c r="HF246" s="75"/>
      <c r="HG246" s="75"/>
      <c r="HH246" s="81"/>
      <c r="HI246" s="75"/>
    </row>
    <row r="247" ht="15.0" customHeight="1">
      <c r="A247" s="74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81"/>
      <c r="M247" s="74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81"/>
      <c r="Y247" s="74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81"/>
      <c r="AK247" s="74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81"/>
      <c r="AW247" s="74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81"/>
      <c r="BI247" s="74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81"/>
      <c r="BU247" s="74"/>
      <c r="BV247" s="75"/>
      <c r="BW247" s="75"/>
      <c r="BX247" s="75"/>
      <c r="BY247" s="75"/>
      <c r="BZ247" s="75"/>
      <c r="CA247" s="75"/>
      <c r="CB247" s="75"/>
      <c r="CC247" s="75"/>
      <c r="CD247" s="75"/>
      <c r="CE247" s="75"/>
      <c r="CF247" s="81"/>
      <c r="CG247" s="74"/>
      <c r="CH247" s="75"/>
      <c r="CI247" s="75"/>
      <c r="CJ247" s="75"/>
      <c r="CK247" s="75"/>
      <c r="CL247" s="75"/>
      <c r="CM247" s="75"/>
      <c r="CN247" s="75"/>
      <c r="CO247" s="75"/>
      <c r="CP247" s="75"/>
      <c r="CQ247" s="75"/>
      <c r="CR247" s="81"/>
      <c r="CS247" s="74"/>
      <c r="CT247" s="75"/>
      <c r="CU247" s="75"/>
      <c r="CV247" s="75"/>
      <c r="CW247" s="75"/>
      <c r="CX247" s="75"/>
      <c r="CY247" s="75"/>
      <c r="CZ247" s="75"/>
      <c r="DA247" s="75"/>
      <c r="DB247" s="75"/>
      <c r="DC247" s="75"/>
      <c r="DD247" s="81"/>
      <c r="DE247" s="74"/>
      <c r="DF247" s="75"/>
      <c r="DG247" s="75"/>
      <c r="DH247" s="75"/>
      <c r="DI247" s="75"/>
      <c r="DJ247" s="75"/>
      <c r="DK247" s="75"/>
      <c r="DL247" s="75"/>
      <c r="DM247" s="75"/>
      <c r="DN247" s="75"/>
      <c r="DO247" s="75"/>
      <c r="DP247" s="81"/>
      <c r="DQ247" s="74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81"/>
      <c r="EC247" s="74"/>
      <c r="ED247" s="75"/>
      <c r="EE247" s="75"/>
      <c r="EF247" s="75"/>
      <c r="EG247" s="75"/>
      <c r="EH247" s="75"/>
      <c r="EI247" s="75"/>
      <c r="EJ247" s="75"/>
      <c r="EK247" s="75"/>
      <c r="EL247" s="75"/>
      <c r="EM247" s="75"/>
      <c r="EN247" s="81"/>
      <c r="EO247" s="74"/>
      <c r="EP247" s="75"/>
      <c r="EQ247" s="75"/>
      <c r="ER247" s="75"/>
      <c r="ES247" s="75"/>
      <c r="ET247" s="75"/>
      <c r="EU247" s="75"/>
      <c r="EV247" s="75"/>
      <c r="EW247" s="75"/>
      <c r="EX247" s="75"/>
      <c r="EY247" s="75"/>
      <c r="EZ247" s="81"/>
      <c r="FA247" s="74"/>
      <c r="FB247" s="75"/>
      <c r="FC247" s="75"/>
      <c r="FD247" s="75"/>
      <c r="FE247" s="75"/>
      <c r="FF247" s="75"/>
      <c r="FG247" s="75"/>
      <c r="FH247" s="75"/>
      <c r="FI247" s="75"/>
      <c r="FJ247" s="75"/>
      <c r="FK247" s="75"/>
      <c r="FL247" s="81"/>
      <c r="FM247" s="74"/>
      <c r="FN247" s="75"/>
      <c r="FO247" s="75"/>
      <c r="FP247" s="75"/>
      <c r="FQ247" s="75"/>
      <c r="FR247" s="75"/>
      <c r="FS247" s="75"/>
      <c r="FT247" s="75"/>
      <c r="FU247" s="75"/>
      <c r="FV247" s="75"/>
      <c r="FW247" s="75"/>
      <c r="FX247" s="81"/>
      <c r="FY247" s="74"/>
      <c r="FZ247" s="75"/>
      <c r="GA247" s="75"/>
      <c r="GB247" s="75"/>
      <c r="GC247" s="75"/>
      <c r="GD247" s="75"/>
      <c r="GE247" s="75"/>
      <c r="GF247" s="75"/>
      <c r="GG247" s="75"/>
      <c r="GH247" s="75"/>
      <c r="GI247" s="75"/>
      <c r="GJ247" s="81"/>
      <c r="GK247" s="74"/>
      <c r="GL247" s="75"/>
      <c r="GM247" s="75"/>
      <c r="GN247" s="75"/>
      <c r="GO247" s="75"/>
      <c r="GP247" s="75"/>
      <c r="GQ247" s="75"/>
      <c r="GR247" s="75"/>
      <c r="GS247" s="75"/>
      <c r="GT247" s="75"/>
      <c r="GU247" s="75"/>
      <c r="GV247" s="81"/>
      <c r="GW247" s="74"/>
      <c r="GX247" s="75"/>
      <c r="GY247" s="75"/>
      <c r="GZ247" s="75"/>
      <c r="HA247" s="75"/>
      <c r="HB247" s="75"/>
      <c r="HC247" s="75"/>
      <c r="HD247" s="75"/>
      <c r="HE247" s="75"/>
      <c r="HF247" s="75"/>
      <c r="HG247" s="75"/>
      <c r="HH247" s="81"/>
      <c r="HI247" s="75"/>
    </row>
    <row r="248" ht="15.0" customHeight="1">
      <c r="A248" s="74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81"/>
      <c r="M248" s="74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81"/>
      <c r="Y248" s="74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81"/>
      <c r="AK248" s="74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81"/>
      <c r="AW248" s="74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81"/>
      <c r="BI248" s="74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81"/>
      <c r="BU248" s="74"/>
      <c r="BV248" s="75"/>
      <c r="BW248" s="75"/>
      <c r="BX248" s="75"/>
      <c r="BY248" s="75"/>
      <c r="BZ248" s="75"/>
      <c r="CA248" s="75"/>
      <c r="CB248" s="75"/>
      <c r="CC248" s="75"/>
      <c r="CD248" s="75"/>
      <c r="CE248" s="75"/>
      <c r="CF248" s="81"/>
      <c r="CG248" s="74"/>
      <c r="CH248" s="75"/>
      <c r="CI248" s="75"/>
      <c r="CJ248" s="75"/>
      <c r="CK248" s="75"/>
      <c r="CL248" s="75"/>
      <c r="CM248" s="75"/>
      <c r="CN248" s="75"/>
      <c r="CO248" s="75"/>
      <c r="CP248" s="75"/>
      <c r="CQ248" s="75"/>
      <c r="CR248" s="81"/>
      <c r="CS248" s="74"/>
      <c r="CT248" s="75"/>
      <c r="CU248" s="75"/>
      <c r="CV248" s="75"/>
      <c r="CW248" s="75"/>
      <c r="CX248" s="75"/>
      <c r="CY248" s="75"/>
      <c r="CZ248" s="75"/>
      <c r="DA248" s="75"/>
      <c r="DB248" s="75"/>
      <c r="DC248" s="75"/>
      <c r="DD248" s="81"/>
      <c r="DE248" s="74"/>
      <c r="DF248" s="75"/>
      <c r="DG248" s="75"/>
      <c r="DH248" s="75"/>
      <c r="DI248" s="75"/>
      <c r="DJ248" s="75"/>
      <c r="DK248" s="75"/>
      <c r="DL248" s="75"/>
      <c r="DM248" s="75"/>
      <c r="DN248" s="75"/>
      <c r="DO248" s="75"/>
      <c r="DP248" s="81"/>
      <c r="DQ248" s="74"/>
      <c r="DR248" s="75"/>
      <c r="DS248" s="75"/>
      <c r="DT248" s="75"/>
      <c r="DU248" s="75"/>
      <c r="DV248" s="75"/>
      <c r="DW248" s="75"/>
      <c r="DX248" s="75"/>
      <c r="DY248" s="75"/>
      <c r="DZ248" s="75"/>
      <c r="EA248" s="75"/>
      <c r="EB248" s="81"/>
      <c r="EC248" s="74"/>
      <c r="ED248" s="75"/>
      <c r="EE248" s="75"/>
      <c r="EF248" s="75"/>
      <c r="EG248" s="75"/>
      <c r="EH248" s="75"/>
      <c r="EI248" s="75"/>
      <c r="EJ248" s="75"/>
      <c r="EK248" s="75"/>
      <c r="EL248" s="75"/>
      <c r="EM248" s="75"/>
      <c r="EN248" s="81"/>
      <c r="EO248" s="74"/>
      <c r="EP248" s="75"/>
      <c r="EQ248" s="75"/>
      <c r="ER248" s="75"/>
      <c r="ES248" s="75"/>
      <c r="ET248" s="75"/>
      <c r="EU248" s="75"/>
      <c r="EV248" s="75"/>
      <c r="EW248" s="75"/>
      <c r="EX248" s="75"/>
      <c r="EY248" s="75"/>
      <c r="EZ248" s="81"/>
      <c r="FA248" s="74"/>
      <c r="FB248" s="75"/>
      <c r="FC248" s="75"/>
      <c r="FD248" s="75"/>
      <c r="FE248" s="75"/>
      <c r="FF248" s="75"/>
      <c r="FG248" s="75"/>
      <c r="FH248" s="75"/>
      <c r="FI248" s="75"/>
      <c r="FJ248" s="75"/>
      <c r="FK248" s="75"/>
      <c r="FL248" s="81"/>
      <c r="FM248" s="74"/>
      <c r="FN248" s="75"/>
      <c r="FO248" s="75"/>
      <c r="FP248" s="75"/>
      <c r="FQ248" s="75"/>
      <c r="FR248" s="75"/>
      <c r="FS248" s="75"/>
      <c r="FT248" s="75"/>
      <c r="FU248" s="75"/>
      <c r="FV248" s="75"/>
      <c r="FW248" s="75"/>
      <c r="FX248" s="81"/>
      <c r="FY248" s="74"/>
      <c r="FZ248" s="75"/>
      <c r="GA248" s="75"/>
      <c r="GB248" s="75"/>
      <c r="GC248" s="75"/>
      <c r="GD248" s="75"/>
      <c r="GE248" s="75"/>
      <c r="GF248" s="75"/>
      <c r="GG248" s="75"/>
      <c r="GH248" s="75"/>
      <c r="GI248" s="75"/>
      <c r="GJ248" s="81"/>
      <c r="GK248" s="74"/>
      <c r="GL248" s="75"/>
      <c r="GM248" s="75"/>
      <c r="GN248" s="75"/>
      <c r="GO248" s="75"/>
      <c r="GP248" s="75"/>
      <c r="GQ248" s="75"/>
      <c r="GR248" s="75"/>
      <c r="GS248" s="75"/>
      <c r="GT248" s="75"/>
      <c r="GU248" s="75"/>
      <c r="GV248" s="81"/>
      <c r="GW248" s="74"/>
      <c r="GX248" s="75"/>
      <c r="GY248" s="75"/>
      <c r="GZ248" s="75"/>
      <c r="HA248" s="75"/>
      <c r="HB248" s="75"/>
      <c r="HC248" s="75"/>
      <c r="HD248" s="75"/>
      <c r="HE248" s="75"/>
      <c r="HF248" s="75"/>
      <c r="HG248" s="75"/>
      <c r="HH248" s="81"/>
      <c r="HI248" s="75"/>
    </row>
    <row r="249" ht="15.0" customHeight="1">
      <c r="A249" s="74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81"/>
      <c r="M249" s="74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81"/>
      <c r="Y249" s="74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81"/>
      <c r="AK249" s="74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81"/>
      <c r="AW249" s="74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81"/>
      <c r="BI249" s="74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81"/>
      <c r="BU249" s="74"/>
      <c r="BV249" s="75"/>
      <c r="BW249" s="75"/>
      <c r="BX249" s="75"/>
      <c r="BY249" s="75"/>
      <c r="BZ249" s="75"/>
      <c r="CA249" s="75"/>
      <c r="CB249" s="75"/>
      <c r="CC249" s="75"/>
      <c r="CD249" s="75"/>
      <c r="CE249" s="75"/>
      <c r="CF249" s="81"/>
      <c r="CG249" s="74"/>
      <c r="CH249" s="75"/>
      <c r="CI249" s="75"/>
      <c r="CJ249" s="75"/>
      <c r="CK249" s="75"/>
      <c r="CL249" s="75"/>
      <c r="CM249" s="75"/>
      <c r="CN249" s="75"/>
      <c r="CO249" s="75"/>
      <c r="CP249" s="75"/>
      <c r="CQ249" s="75"/>
      <c r="CR249" s="81"/>
      <c r="CS249" s="74"/>
      <c r="CT249" s="75"/>
      <c r="CU249" s="75"/>
      <c r="CV249" s="75"/>
      <c r="CW249" s="75"/>
      <c r="CX249" s="75"/>
      <c r="CY249" s="75"/>
      <c r="CZ249" s="75"/>
      <c r="DA249" s="75"/>
      <c r="DB249" s="75"/>
      <c r="DC249" s="75"/>
      <c r="DD249" s="81"/>
      <c r="DE249" s="74"/>
      <c r="DF249" s="75"/>
      <c r="DG249" s="75"/>
      <c r="DH249" s="75"/>
      <c r="DI249" s="75"/>
      <c r="DJ249" s="75"/>
      <c r="DK249" s="75"/>
      <c r="DL249" s="75"/>
      <c r="DM249" s="75"/>
      <c r="DN249" s="75"/>
      <c r="DO249" s="75"/>
      <c r="DP249" s="81"/>
      <c r="DQ249" s="74"/>
      <c r="DR249" s="75"/>
      <c r="DS249" s="75"/>
      <c r="DT249" s="75"/>
      <c r="DU249" s="75"/>
      <c r="DV249" s="75"/>
      <c r="DW249" s="75"/>
      <c r="DX249" s="75"/>
      <c r="DY249" s="75"/>
      <c r="DZ249" s="75"/>
      <c r="EA249" s="75"/>
      <c r="EB249" s="81"/>
      <c r="EC249" s="74"/>
      <c r="ED249" s="75"/>
      <c r="EE249" s="75"/>
      <c r="EF249" s="75"/>
      <c r="EG249" s="75"/>
      <c r="EH249" s="75"/>
      <c r="EI249" s="75"/>
      <c r="EJ249" s="75"/>
      <c r="EK249" s="75"/>
      <c r="EL249" s="75"/>
      <c r="EM249" s="75"/>
      <c r="EN249" s="81"/>
      <c r="EO249" s="74"/>
      <c r="EP249" s="75"/>
      <c r="EQ249" s="75"/>
      <c r="ER249" s="75"/>
      <c r="ES249" s="75"/>
      <c r="ET249" s="75"/>
      <c r="EU249" s="75"/>
      <c r="EV249" s="75"/>
      <c r="EW249" s="75"/>
      <c r="EX249" s="75"/>
      <c r="EY249" s="75"/>
      <c r="EZ249" s="81"/>
      <c r="FA249" s="74"/>
      <c r="FB249" s="75"/>
      <c r="FC249" s="75"/>
      <c r="FD249" s="75"/>
      <c r="FE249" s="75"/>
      <c r="FF249" s="75"/>
      <c r="FG249" s="75"/>
      <c r="FH249" s="75"/>
      <c r="FI249" s="75"/>
      <c r="FJ249" s="75"/>
      <c r="FK249" s="75"/>
      <c r="FL249" s="81"/>
      <c r="FM249" s="74"/>
      <c r="FN249" s="75"/>
      <c r="FO249" s="75"/>
      <c r="FP249" s="75"/>
      <c r="FQ249" s="75"/>
      <c r="FR249" s="75"/>
      <c r="FS249" s="75"/>
      <c r="FT249" s="75"/>
      <c r="FU249" s="75"/>
      <c r="FV249" s="75"/>
      <c r="FW249" s="75"/>
      <c r="FX249" s="81"/>
      <c r="FY249" s="74"/>
      <c r="FZ249" s="75"/>
      <c r="GA249" s="75"/>
      <c r="GB249" s="75"/>
      <c r="GC249" s="75"/>
      <c r="GD249" s="75"/>
      <c r="GE249" s="75"/>
      <c r="GF249" s="75"/>
      <c r="GG249" s="75"/>
      <c r="GH249" s="75"/>
      <c r="GI249" s="75"/>
      <c r="GJ249" s="81"/>
      <c r="GK249" s="74"/>
      <c r="GL249" s="75"/>
      <c r="GM249" s="75"/>
      <c r="GN249" s="75"/>
      <c r="GO249" s="75"/>
      <c r="GP249" s="75"/>
      <c r="GQ249" s="75"/>
      <c r="GR249" s="75"/>
      <c r="GS249" s="75"/>
      <c r="GT249" s="75"/>
      <c r="GU249" s="75"/>
      <c r="GV249" s="81"/>
      <c r="GW249" s="74"/>
      <c r="GX249" s="75"/>
      <c r="GY249" s="75"/>
      <c r="GZ249" s="75"/>
      <c r="HA249" s="75"/>
      <c r="HB249" s="75"/>
      <c r="HC249" s="75"/>
      <c r="HD249" s="75"/>
      <c r="HE249" s="75"/>
      <c r="HF249" s="75"/>
      <c r="HG249" s="75"/>
      <c r="HH249" s="81"/>
      <c r="HI249" s="75"/>
    </row>
    <row r="250" ht="15.0" customHeight="1">
      <c r="A250" s="74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81"/>
      <c r="M250" s="74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81"/>
      <c r="Y250" s="74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81"/>
      <c r="AK250" s="74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81"/>
      <c r="AW250" s="74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81"/>
      <c r="BI250" s="74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81"/>
      <c r="BU250" s="74"/>
      <c r="BV250" s="75"/>
      <c r="BW250" s="75"/>
      <c r="BX250" s="75"/>
      <c r="BY250" s="75"/>
      <c r="BZ250" s="75"/>
      <c r="CA250" s="75"/>
      <c r="CB250" s="75"/>
      <c r="CC250" s="75"/>
      <c r="CD250" s="75"/>
      <c r="CE250" s="75"/>
      <c r="CF250" s="81"/>
      <c r="CG250" s="74"/>
      <c r="CH250" s="75"/>
      <c r="CI250" s="75"/>
      <c r="CJ250" s="75"/>
      <c r="CK250" s="75"/>
      <c r="CL250" s="75"/>
      <c r="CM250" s="75"/>
      <c r="CN250" s="75"/>
      <c r="CO250" s="75"/>
      <c r="CP250" s="75"/>
      <c r="CQ250" s="75"/>
      <c r="CR250" s="81"/>
      <c r="CS250" s="74"/>
      <c r="CT250" s="75"/>
      <c r="CU250" s="75"/>
      <c r="CV250" s="75"/>
      <c r="CW250" s="75"/>
      <c r="CX250" s="75"/>
      <c r="CY250" s="75"/>
      <c r="CZ250" s="75"/>
      <c r="DA250" s="75"/>
      <c r="DB250" s="75"/>
      <c r="DC250" s="75"/>
      <c r="DD250" s="81"/>
      <c r="DE250" s="74"/>
      <c r="DF250" s="75"/>
      <c r="DG250" s="75"/>
      <c r="DH250" s="75"/>
      <c r="DI250" s="75"/>
      <c r="DJ250" s="75"/>
      <c r="DK250" s="75"/>
      <c r="DL250" s="75"/>
      <c r="DM250" s="75"/>
      <c r="DN250" s="75"/>
      <c r="DO250" s="75"/>
      <c r="DP250" s="81"/>
      <c r="DQ250" s="74"/>
      <c r="DR250" s="75"/>
      <c r="DS250" s="75"/>
      <c r="DT250" s="75"/>
      <c r="DU250" s="75"/>
      <c r="DV250" s="75"/>
      <c r="DW250" s="75"/>
      <c r="DX250" s="75"/>
      <c r="DY250" s="75"/>
      <c r="DZ250" s="75"/>
      <c r="EA250" s="75"/>
      <c r="EB250" s="81"/>
      <c r="EC250" s="74"/>
      <c r="ED250" s="75"/>
      <c r="EE250" s="75"/>
      <c r="EF250" s="75"/>
      <c r="EG250" s="75"/>
      <c r="EH250" s="75"/>
      <c r="EI250" s="75"/>
      <c r="EJ250" s="75"/>
      <c r="EK250" s="75"/>
      <c r="EL250" s="75"/>
      <c r="EM250" s="75"/>
      <c r="EN250" s="81"/>
      <c r="EO250" s="74"/>
      <c r="EP250" s="75"/>
      <c r="EQ250" s="75"/>
      <c r="ER250" s="75"/>
      <c r="ES250" s="75"/>
      <c r="ET250" s="75"/>
      <c r="EU250" s="75"/>
      <c r="EV250" s="75"/>
      <c r="EW250" s="75"/>
      <c r="EX250" s="75"/>
      <c r="EY250" s="75"/>
      <c r="EZ250" s="81"/>
      <c r="FA250" s="74"/>
      <c r="FB250" s="75"/>
      <c r="FC250" s="75"/>
      <c r="FD250" s="75"/>
      <c r="FE250" s="75"/>
      <c r="FF250" s="75"/>
      <c r="FG250" s="75"/>
      <c r="FH250" s="75"/>
      <c r="FI250" s="75"/>
      <c r="FJ250" s="75"/>
      <c r="FK250" s="75"/>
      <c r="FL250" s="81"/>
      <c r="FM250" s="74"/>
      <c r="FN250" s="75"/>
      <c r="FO250" s="75"/>
      <c r="FP250" s="75"/>
      <c r="FQ250" s="75"/>
      <c r="FR250" s="75"/>
      <c r="FS250" s="75"/>
      <c r="FT250" s="75"/>
      <c r="FU250" s="75"/>
      <c r="FV250" s="75"/>
      <c r="FW250" s="75"/>
      <c r="FX250" s="81"/>
      <c r="FY250" s="74"/>
      <c r="FZ250" s="75"/>
      <c r="GA250" s="75"/>
      <c r="GB250" s="75"/>
      <c r="GC250" s="75"/>
      <c r="GD250" s="75"/>
      <c r="GE250" s="75"/>
      <c r="GF250" s="75"/>
      <c r="GG250" s="75"/>
      <c r="GH250" s="75"/>
      <c r="GI250" s="75"/>
      <c r="GJ250" s="81"/>
      <c r="GK250" s="74"/>
      <c r="GL250" s="75"/>
      <c r="GM250" s="75"/>
      <c r="GN250" s="75"/>
      <c r="GO250" s="75"/>
      <c r="GP250" s="75"/>
      <c r="GQ250" s="75"/>
      <c r="GR250" s="75"/>
      <c r="GS250" s="75"/>
      <c r="GT250" s="75"/>
      <c r="GU250" s="75"/>
      <c r="GV250" s="81"/>
      <c r="GW250" s="74"/>
      <c r="GX250" s="75"/>
      <c r="GY250" s="75"/>
      <c r="GZ250" s="75"/>
      <c r="HA250" s="75"/>
      <c r="HB250" s="75"/>
      <c r="HC250" s="75"/>
      <c r="HD250" s="75"/>
      <c r="HE250" s="75"/>
      <c r="HF250" s="75"/>
      <c r="HG250" s="75"/>
      <c r="HH250" s="81"/>
      <c r="HI250" s="75"/>
    </row>
    <row r="251" ht="15.0" customHeight="1">
      <c r="A251" s="74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81"/>
      <c r="M251" s="74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81"/>
      <c r="Y251" s="74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81"/>
      <c r="AK251" s="74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81"/>
      <c r="AW251" s="74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81"/>
      <c r="BI251" s="74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81"/>
      <c r="BU251" s="74"/>
      <c r="BV251" s="75"/>
      <c r="BW251" s="75"/>
      <c r="BX251" s="75"/>
      <c r="BY251" s="75"/>
      <c r="BZ251" s="75"/>
      <c r="CA251" s="75"/>
      <c r="CB251" s="75"/>
      <c r="CC251" s="75"/>
      <c r="CD251" s="75"/>
      <c r="CE251" s="75"/>
      <c r="CF251" s="81"/>
      <c r="CG251" s="74"/>
      <c r="CH251" s="75"/>
      <c r="CI251" s="75"/>
      <c r="CJ251" s="75"/>
      <c r="CK251" s="75"/>
      <c r="CL251" s="75"/>
      <c r="CM251" s="75"/>
      <c r="CN251" s="75"/>
      <c r="CO251" s="75"/>
      <c r="CP251" s="75"/>
      <c r="CQ251" s="75"/>
      <c r="CR251" s="81"/>
      <c r="CS251" s="74"/>
      <c r="CT251" s="75"/>
      <c r="CU251" s="75"/>
      <c r="CV251" s="75"/>
      <c r="CW251" s="75"/>
      <c r="CX251" s="75"/>
      <c r="CY251" s="75"/>
      <c r="CZ251" s="75"/>
      <c r="DA251" s="75"/>
      <c r="DB251" s="75"/>
      <c r="DC251" s="75"/>
      <c r="DD251" s="81"/>
      <c r="DE251" s="74"/>
      <c r="DF251" s="75"/>
      <c r="DG251" s="75"/>
      <c r="DH251" s="75"/>
      <c r="DI251" s="75"/>
      <c r="DJ251" s="75"/>
      <c r="DK251" s="75"/>
      <c r="DL251" s="75"/>
      <c r="DM251" s="75"/>
      <c r="DN251" s="75"/>
      <c r="DO251" s="75"/>
      <c r="DP251" s="81"/>
      <c r="DQ251" s="74"/>
      <c r="DR251" s="75"/>
      <c r="DS251" s="75"/>
      <c r="DT251" s="75"/>
      <c r="DU251" s="75"/>
      <c r="DV251" s="75"/>
      <c r="DW251" s="75"/>
      <c r="DX251" s="75"/>
      <c r="DY251" s="75"/>
      <c r="DZ251" s="75"/>
      <c r="EA251" s="75"/>
      <c r="EB251" s="81"/>
      <c r="EC251" s="74"/>
      <c r="ED251" s="75"/>
      <c r="EE251" s="75"/>
      <c r="EF251" s="75"/>
      <c r="EG251" s="75"/>
      <c r="EH251" s="75"/>
      <c r="EI251" s="75"/>
      <c r="EJ251" s="75"/>
      <c r="EK251" s="75"/>
      <c r="EL251" s="75"/>
      <c r="EM251" s="75"/>
      <c r="EN251" s="81"/>
      <c r="EO251" s="74"/>
      <c r="EP251" s="75"/>
      <c r="EQ251" s="75"/>
      <c r="ER251" s="75"/>
      <c r="ES251" s="75"/>
      <c r="ET251" s="75"/>
      <c r="EU251" s="75"/>
      <c r="EV251" s="75"/>
      <c r="EW251" s="75"/>
      <c r="EX251" s="75"/>
      <c r="EY251" s="75"/>
      <c r="EZ251" s="81"/>
      <c r="FA251" s="74"/>
      <c r="FB251" s="75"/>
      <c r="FC251" s="75"/>
      <c r="FD251" s="75"/>
      <c r="FE251" s="75"/>
      <c r="FF251" s="75"/>
      <c r="FG251" s="75"/>
      <c r="FH251" s="75"/>
      <c r="FI251" s="75"/>
      <c r="FJ251" s="75"/>
      <c r="FK251" s="75"/>
      <c r="FL251" s="81"/>
      <c r="FM251" s="74"/>
      <c r="FN251" s="75"/>
      <c r="FO251" s="75"/>
      <c r="FP251" s="75"/>
      <c r="FQ251" s="75"/>
      <c r="FR251" s="75"/>
      <c r="FS251" s="75"/>
      <c r="FT251" s="75"/>
      <c r="FU251" s="75"/>
      <c r="FV251" s="75"/>
      <c r="FW251" s="75"/>
      <c r="FX251" s="81"/>
      <c r="FY251" s="74"/>
      <c r="FZ251" s="75"/>
      <c r="GA251" s="75"/>
      <c r="GB251" s="75"/>
      <c r="GC251" s="75"/>
      <c r="GD251" s="75"/>
      <c r="GE251" s="75"/>
      <c r="GF251" s="75"/>
      <c r="GG251" s="75"/>
      <c r="GH251" s="75"/>
      <c r="GI251" s="75"/>
      <c r="GJ251" s="81"/>
      <c r="GK251" s="74"/>
      <c r="GL251" s="75"/>
      <c r="GM251" s="75"/>
      <c r="GN251" s="75"/>
      <c r="GO251" s="75"/>
      <c r="GP251" s="75"/>
      <c r="GQ251" s="75"/>
      <c r="GR251" s="75"/>
      <c r="GS251" s="75"/>
      <c r="GT251" s="75"/>
      <c r="GU251" s="75"/>
      <c r="GV251" s="81"/>
      <c r="GW251" s="74"/>
      <c r="GX251" s="75"/>
      <c r="GY251" s="75"/>
      <c r="GZ251" s="75"/>
      <c r="HA251" s="75"/>
      <c r="HB251" s="75"/>
      <c r="HC251" s="75"/>
      <c r="HD251" s="75"/>
      <c r="HE251" s="75"/>
      <c r="HF251" s="75"/>
      <c r="HG251" s="75"/>
      <c r="HH251" s="81"/>
      <c r="HI251" s="75"/>
    </row>
    <row r="252" ht="15.0" customHeight="1">
      <c r="A252" s="74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81"/>
      <c r="M252" s="74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81"/>
      <c r="Y252" s="74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81"/>
      <c r="AK252" s="74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81"/>
      <c r="AW252" s="74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81"/>
      <c r="BI252" s="74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81"/>
      <c r="BU252" s="74"/>
      <c r="BV252" s="75"/>
      <c r="BW252" s="75"/>
      <c r="BX252" s="75"/>
      <c r="BY252" s="75"/>
      <c r="BZ252" s="75"/>
      <c r="CA252" s="75"/>
      <c r="CB252" s="75"/>
      <c r="CC252" s="75"/>
      <c r="CD252" s="75"/>
      <c r="CE252" s="75"/>
      <c r="CF252" s="81"/>
      <c r="CG252" s="74"/>
      <c r="CH252" s="75"/>
      <c r="CI252" s="75"/>
      <c r="CJ252" s="75"/>
      <c r="CK252" s="75"/>
      <c r="CL252" s="75"/>
      <c r="CM252" s="75"/>
      <c r="CN252" s="75"/>
      <c r="CO252" s="75"/>
      <c r="CP252" s="75"/>
      <c r="CQ252" s="75"/>
      <c r="CR252" s="81"/>
      <c r="CS252" s="74"/>
      <c r="CT252" s="75"/>
      <c r="CU252" s="75"/>
      <c r="CV252" s="75"/>
      <c r="CW252" s="75"/>
      <c r="CX252" s="75"/>
      <c r="CY252" s="75"/>
      <c r="CZ252" s="75"/>
      <c r="DA252" s="75"/>
      <c r="DB252" s="75"/>
      <c r="DC252" s="75"/>
      <c r="DD252" s="81"/>
      <c r="DE252" s="74"/>
      <c r="DF252" s="75"/>
      <c r="DG252" s="75"/>
      <c r="DH252" s="75"/>
      <c r="DI252" s="75"/>
      <c r="DJ252" s="75"/>
      <c r="DK252" s="75"/>
      <c r="DL252" s="75"/>
      <c r="DM252" s="75"/>
      <c r="DN252" s="75"/>
      <c r="DO252" s="75"/>
      <c r="DP252" s="81"/>
      <c r="DQ252" s="74"/>
      <c r="DR252" s="75"/>
      <c r="DS252" s="75"/>
      <c r="DT252" s="75"/>
      <c r="DU252" s="75"/>
      <c r="DV252" s="75"/>
      <c r="DW252" s="75"/>
      <c r="DX252" s="75"/>
      <c r="DY252" s="75"/>
      <c r="DZ252" s="75"/>
      <c r="EA252" s="75"/>
      <c r="EB252" s="81"/>
      <c r="EC252" s="74"/>
      <c r="ED252" s="75"/>
      <c r="EE252" s="75"/>
      <c r="EF252" s="75"/>
      <c r="EG252" s="75"/>
      <c r="EH252" s="75"/>
      <c r="EI252" s="75"/>
      <c r="EJ252" s="75"/>
      <c r="EK252" s="75"/>
      <c r="EL252" s="75"/>
      <c r="EM252" s="75"/>
      <c r="EN252" s="81"/>
      <c r="EO252" s="74"/>
      <c r="EP252" s="75"/>
      <c r="EQ252" s="75"/>
      <c r="ER252" s="75"/>
      <c r="ES252" s="75"/>
      <c r="ET252" s="75"/>
      <c r="EU252" s="75"/>
      <c r="EV252" s="75"/>
      <c r="EW252" s="75"/>
      <c r="EX252" s="75"/>
      <c r="EY252" s="75"/>
      <c r="EZ252" s="81"/>
      <c r="FA252" s="74"/>
      <c r="FB252" s="75"/>
      <c r="FC252" s="75"/>
      <c r="FD252" s="75"/>
      <c r="FE252" s="75"/>
      <c r="FF252" s="75"/>
      <c r="FG252" s="75"/>
      <c r="FH252" s="75"/>
      <c r="FI252" s="75"/>
      <c r="FJ252" s="75"/>
      <c r="FK252" s="75"/>
      <c r="FL252" s="81"/>
      <c r="FM252" s="74"/>
      <c r="FN252" s="75"/>
      <c r="FO252" s="75"/>
      <c r="FP252" s="75"/>
      <c r="FQ252" s="75"/>
      <c r="FR252" s="75"/>
      <c r="FS252" s="75"/>
      <c r="FT252" s="75"/>
      <c r="FU252" s="75"/>
      <c r="FV252" s="75"/>
      <c r="FW252" s="75"/>
      <c r="FX252" s="81"/>
      <c r="FY252" s="74"/>
      <c r="FZ252" s="75"/>
      <c r="GA252" s="75"/>
      <c r="GB252" s="75"/>
      <c r="GC252" s="75"/>
      <c r="GD252" s="75"/>
      <c r="GE252" s="75"/>
      <c r="GF252" s="75"/>
      <c r="GG252" s="75"/>
      <c r="GH252" s="75"/>
      <c r="GI252" s="75"/>
      <c r="GJ252" s="81"/>
      <c r="GK252" s="74"/>
      <c r="GL252" s="75"/>
      <c r="GM252" s="75"/>
      <c r="GN252" s="75"/>
      <c r="GO252" s="75"/>
      <c r="GP252" s="75"/>
      <c r="GQ252" s="75"/>
      <c r="GR252" s="75"/>
      <c r="GS252" s="75"/>
      <c r="GT252" s="75"/>
      <c r="GU252" s="75"/>
      <c r="GV252" s="81"/>
      <c r="GW252" s="74"/>
      <c r="GX252" s="75"/>
      <c r="GY252" s="75"/>
      <c r="GZ252" s="75"/>
      <c r="HA252" s="75"/>
      <c r="HB252" s="75"/>
      <c r="HC252" s="75"/>
      <c r="HD252" s="75"/>
      <c r="HE252" s="75"/>
      <c r="HF252" s="75"/>
      <c r="HG252" s="75"/>
      <c r="HH252" s="81"/>
      <c r="HI252" s="75"/>
    </row>
    <row r="253" ht="15.0" customHeight="1">
      <c r="A253" s="74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81"/>
      <c r="M253" s="74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81"/>
      <c r="Y253" s="74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81"/>
      <c r="AK253" s="74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81"/>
      <c r="AW253" s="74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81"/>
      <c r="BI253" s="74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81"/>
      <c r="BU253" s="74"/>
      <c r="BV253" s="75"/>
      <c r="BW253" s="75"/>
      <c r="BX253" s="75"/>
      <c r="BY253" s="75"/>
      <c r="BZ253" s="75"/>
      <c r="CA253" s="75"/>
      <c r="CB253" s="75"/>
      <c r="CC253" s="75"/>
      <c r="CD253" s="75"/>
      <c r="CE253" s="75"/>
      <c r="CF253" s="81"/>
      <c r="CG253" s="74"/>
      <c r="CH253" s="75"/>
      <c r="CI253" s="75"/>
      <c r="CJ253" s="75"/>
      <c r="CK253" s="75"/>
      <c r="CL253" s="75"/>
      <c r="CM253" s="75"/>
      <c r="CN253" s="75"/>
      <c r="CO253" s="75"/>
      <c r="CP253" s="75"/>
      <c r="CQ253" s="75"/>
      <c r="CR253" s="81"/>
      <c r="CS253" s="74"/>
      <c r="CT253" s="75"/>
      <c r="CU253" s="75"/>
      <c r="CV253" s="75"/>
      <c r="CW253" s="75"/>
      <c r="CX253" s="75"/>
      <c r="CY253" s="75"/>
      <c r="CZ253" s="75"/>
      <c r="DA253" s="75"/>
      <c r="DB253" s="75"/>
      <c r="DC253" s="75"/>
      <c r="DD253" s="81"/>
      <c r="DE253" s="74"/>
      <c r="DF253" s="75"/>
      <c r="DG253" s="75"/>
      <c r="DH253" s="75"/>
      <c r="DI253" s="75"/>
      <c r="DJ253" s="75"/>
      <c r="DK253" s="75"/>
      <c r="DL253" s="75"/>
      <c r="DM253" s="75"/>
      <c r="DN253" s="75"/>
      <c r="DO253" s="75"/>
      <c r="DP253" s="81"/>
      <c r="DQ253" s="74"/>
      <c r="DR253" s="75"/>
      <c r="DS253" s="75"/>
      <c r="DT253" s="75"/>
      <c r="DU253" s="75"/>
      <c r="DV253" s="75"/>
      <c r="DW253" s="75"/>
      <c r="DX253" s="75"/>
      <c r="DY253" s="75"/>
      <c r="DZ253" s="75"/>
      <c r="EA253" s="75"/>
      <c r="EB253" s="81"/>
      <c r="EC253" s="74"/>
      <c r="ED253" s="75"/>
      <c r="EE253" s="75"/>
      <c r="EF253" s="75"/>
      <c r="EG253" s="75"/>
      <c r="EH253" s="75"/>
      <c r="EI253" s="75"/>
      <c r="EJ253" s="75"/>
      <c r="EK253" s="75"/>
      <c r="EL253" s="75"/>
      <c r="EM253" s="75"/>
      <c r="EN253" s="81"/>
      <c r="EO253" s="74"/>
      <c r="EP253" s="75"/>
      <c r="EQ253" s="75"/>
      <c r="ER253" s="75"/>
      <c r="ES253" s="75"/>
      <c r="ET253" s="75"/>
      <c r="EU253" s="75"/>
      <c r="EV253" s="75"/>
      <c r="EW253" s="75"/>
      <c r="EX253" s="75"/>
      <c r="EY253" s="75"/>
      <c r="EZ253" s="81"/>
      <c r="FA253" s="74"/>
      <c r="FB253" s="75"/>
      <c r="FC253" s="75"/>
      <c r="FD253" s="75"/>
      <c r="FE253" s="75"/>
      <c r="FF253" s="75"/>
      <c r="FG253" s="75"/>
      <c r="FH253" s="75"/>
      <c r="FI253" s="75"/>
      <c r="FJ253" s="75"/>
      <c r="FK253" s="75"/>
      <c r="FL253" s="81"/>
      <c r="FM253" s="74"/>
      <c r="FN253" s="75"/>
      <c r="FO253" s="75"/>
      <c r="FP253" s="75"/>
      <c r="FQ253" s="75"/>
      <c r="FR253" s="75"/>
      <c r="FS253" s="75"/>
      <c r="FT253" s="75"/>
      <c r="FU253" s="75"/>
      <c r="FV253" s="75"/>
      <c r="FW253" s="75"/>
      <c r="FX253" s="81"/>
      <c r="FY253" s="74"/>
      <c r="FZ253" s="75"/>
      <c r="GA253" s="75"/>
      <c r="GB253" s="75"/>
      <c r="GC253" s="75"/>
      <c r="GD253" s="75"/>
      <c r="GE253" s="75"/>
      <c r="GF253" s="75"/>
      <c r="GG253" s="75"/>
      <c r="GH253" s="75"/>
      <c r="GI253" s="75"/>
      <c r="GJ253" s="81"/>
      <c r="GK253" s="74"/>
      <c r="GL253" s="75"/>
      <c r="GM253" s="75"/>
      <c r="GN253" s="75"/>
      <c r="GO253" s="75"/>
      <c r="GP253" s="75"/>
      <c r="GQ253" s="75"/>
      <c r="GR253" s="75"/>
      <c r="GS253" s="75"/>
      <c r="GT253" s="75"/>
      <c r="GU253" s="75"/>
      <c r="GV253" s="81"/>
      <c r="GW253" s="74"/>
      <c r="GX253" s="75"/>
      <c r="GY253" s="75"/>
      <c r="GZ253" s="75"/>
      <c r="HA253" s="75"/>
      <c r="HB253" s="75"/>
      <c r="HC253" s="75"/>
      <c r="HD253" s="75"/>
      <c r="HE253" s="75"/>
      <c r="HF253" s="75"/>
      <c r="HG253" s="75"/>
      <c r="HH253" s="81"/>
      <c r="HI253" s="75"/>
    </row>
    <row r="254" ht="15.0" customHeight="1">
      <c r="A254" s="74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81"/>
      <c r="M254" s="74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81"/>
      <c r="Y254" s="74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81"/>
      <c r="AK254" s="74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81"/>
      <c r="AW254" s="74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81"/>
      <c r="BI254" s="74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81"/>
      <c r="BU254" s="74"/>
      <c r="BV254" s="75"/>
      <c r="BW254" s="75"/>
      <c r="BX254" s="75"/>
      <c r="BY254" s="75"/>
      <c r="BZ254" s="75"/>
      <c r="CA254" s="75"/>
      <c r="CB254" s="75"/>
      <c r="CC254" s="75"/>
      <c r="CD254" s="75"/>
      <c r="CE254" s="75"/>
      <c r="CF254" s="81"/>
      <c r="CG254" s="74"/>
      <c r="CH254" s="75"/>
      <c r="CI254" s="75"/>
      <c r="CJ254" s="75"/>
      <c r="CK254" s="75"/>
      <c r="CL254" s="75"/>
      <c r="CM254" s="75"/>
      <c r="CN254" s="75"/>
      <c r="CO254" s="75"/>
      <c r="CP254" s="75"/>
      <c r="CQ254" s="75"/>
      <c r="CR254" s="81"/>
      <c r="CS254" s="74"/>
      <c r="CT254" s="75"/>
      <c r="CU254" s="75"/>
      <c r="CV254" s="75"/>
      <c r="CW254" s="75"/>
      <c r="CX254" s="75"/>
      <c r="CY254" s="75"/>
      <c r="CZ254" s="75"/>
      <c r="DA254" s="75"/>
      <c r="DB254" s="75"/>
      <c r="DC254" s="75"/>
      <c r="DD254" s="81"/>
      <c r="DE254" s="74"/>
      <c r="DF254" s="75"/>
      <c r="DG254" s="75"/>
      <c r="DH254" s="75"/>
      <c r="DI254" s="75"/>
      <c r="DJ254" s="75"/>
      <c r="DK254" s="75"/>
      <c r="DL254" s="75"/>
      <c r="DM254" s="75"/>
      <c r="DN254" s="75"/>
      <c r="DO254" s="75"/>
      <c r="DP254" s="81"/>
      <c r="DQ254" s="74"/>
      <c r="DR254" s="75"/>
      <c r="DS254" s="75"/>
      <c r="DT254" s="75"/>
      <c r="DU254" s="75"/>
      <c r="DV254" s="75"/>
      <c r="DW254" s="75"/>
      <c r="DX254" s="75"/>
      <c r="DY254" s="75"/>
      <c r="DZ254" s="75"/>
      <c r="EA254" s="75"/>
      <c r="EB254" s="81"/>
      <c r="EC254" s="74"/>
      <c r="ED254" s="75"/>
      <c r="EE254" s="75"/>
      <c r="EF254" s="75"/>
      <c r="EG254" s="75"/>
      <c r="EH254" s="75"/>
      <c r="EI254" s="75"/>
      <c r="EJ254" s="75"/>
      <c r="EK254" s="75"/>
      <c r="EL254" s="75"/>
      <c r="EM254" s="75"/>
      <c r="EN254" s="81"/>
      <c r="EO254" s="74"/>
      <c r="EP254" s="75"/>
      <c r="EQ254" s="75"/>
      <c r="ER254" s="75"/>
      <c r="ES254" s="75"/>
      <c r="ET254" s="75"/>
      <c r="EU254" s="75"/>
      <c r="EV254" s="75"/>
      <c r="EW254" s="75"/>
      <c r="EX254" s="75"/>
      <c r="EY254" s="75"/>
      <c r="EZ254" s="81"/>
      <c r="FA254" s="74"/>
      <c r="FB254" s="75"/>
      <c r="FC254" s="75"/>
      <c r="FD254" s="75"/>
      <c r="FE254" s="75"/>
      <c r="FF254" s="75"/>
      <c r="FG254" s="75"/>
      <c r="FH254" s="75"/>
      <c r="FI254" s="75"/>
      <c r="FJ254" s="75"/>
      <c r="FK254" s="75"/>
      <c r="FL254" s="81"/>
      <c r="FM254" s="74"/>
      <c r="FN254" s="75"/>
      <c r="FO254" s="75"/>
      <c r="FP254" s="75"/>
      <c r="FQ254" s="75"/>
      <c r="FR254" s="75"/>
      <c r="FS254" s="75"/>
      <c r="FT254" s="75"/>
      <c r="FU254" s="75"/>
      <c r="FV254" s="75"/>
      <c r="FW254" s="75"/>
      <c r="FX254" s="81"/>
      <c r="FY254" s="74"/>
      <c r="FZ254" s="75"/>
      <c r="GA254" s="75"/>
      <c r="GB254" s="75"/>
      <c r="GC254" s="75"/>
      <c r="GD254" s="75"/>
      <c r="GE254" s="75"/>
      <c r="GF254" s="75"/>
      <c r="GG254" s="75"/>
      <c r="GH254" s="75"/>
      <c r="GI254" s="75"/>
      <c r="GJ254" s="81"/>
      <c r="GK254" s="74"/>
      <c r="GL254" s="75"/>
      <c r="GM254" s="75"/>
      <c r="GN254" s="75"/>
      <c r="GO254" s="75"/>
      <c r="GP254" s="75"/>
      <c r="GQ254" s="75"/>
      <c r="GR254" s="75"/>
      <c r="GS254" s="75"/>
      <c r="GT254" s="75"/>
      <c r="GU254" s="75"/>
      <c r="GV254" s="81"/>
      <c r="GW254" s="74"/>
      <c r="GX254" s="75"/>
      <c r="GY254" s="75"/>
      <c r="GZ254" s="75"/>
      <c r="HA254" s="75"/>
      <c r="HB254" s="75"/>
      <c r="HC254" s="75"/>
      <c r="HD254" s="75"/>
      <c r="HE254" s="75"/>
      <c r="HF254" s="75"/>
      <c r="HG254" s="75"/>
      <c r="HH254" s="81"/>
      <c r="HI254" s="75"/>
    </row>
    <row r="255" ht="15.0" customHeight="1">
      <c r="A255" s="74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81"/>
      <c r="M255" s="74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81"/>
      <c r="Y255" s="74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81"/>
      <c r="AK255" s="74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81"/>
      <c r="AW255" s="74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81"/>
      <c r="BI255" s="74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81"/>
      <c r="BU255" s="74"/>
      <c r="BV255" s="75"/>
      <c r="BW255" s="75"/>
      <c r="BX255" s="75"/>
      <c r="BY255" s="75"/>
      <c r="BZ255" s="75"/>
      <c r="CA255" s="75"/>
      <c r="CB255" s="75"/>
      <c r="CC255" s="75"/>
      <c r="CD255" s="75"/>
      <c r="CE255" s="75"/>
      <c r="CF255" s="81"/>
      <c r="CG255" s="74"/>
      <c r="CH255" s="75"/>
      <c r="CI255" s="75"/>
      <c r="CJ255" s="75"/>
      <c r="CK255" s="75"/>
      <c r="CL255" s="75"/>
      <c r="CM255" s="75"/>
      <c r="CN255" s="75"/>
      <c r="CO255" s="75"/>
      <c r="CP255" s="75"/>
      <c r="CQ255" s="75"/>
      <c r="CR255" s="81"/>
      <c r="CS255" s="74"/>
      <c r="CT255" s="75"/>
      <c r="CU255" s="75"/>
      <c r="CV255" s="75"/>
      <c r="CW255" s="75"/>
      <c r="CX255" s="75"/>
      <c r="CY255" s="75"/>
      <c r="CZ255" s="75"/>
      <c r="DA255" s="75"/>
      <c r="DB255" s="75"/>
      <c r="DC255" s="75"/>
      <c r="DD255" s="81"/>
      <c r="DE255" s="74"/>
      <c r="DF255" s="75"/>
      <c r="DG255" s="75"/>
      <c r="DH255" s="75"/>
      <c r="DI255" s="75"/>
      <c r="DJ255" s="75"/>
      <c r="DK255" s="75"/>
      <c r="DL255" s="75"/>
      <c r="DM255" s="75"/>
      <c r="DN255" s="75"/>
      <c r="DO255" s="75"/>
      <c r="DP255" s="81"/>
      <c r="DQ255" s="74"/>
      <c r="DR255" s="75"/>
      <c r="DS255" s="75"/>
      <c r="DT255" s="75"/>
      <c r="DU255" s="75"/>
      <c r="DV255" s="75"/>
      <c r="DW255" s="75"/>
      <c r="DX255" s="75"/>
      <c r="DY255" s="75"/>
      <c r="DZ255" s="75"/>
      <c r="EA255" s="75"/>
      <c r="EB255" s="81"/>
      <c r="EC255" s="74"/>
      <c r="ED255" s="75"/>
      <c r="EE255" s="75"/>
      <c r="EF255" s="75"/>
      <c r="EG255" s="75"/>
      <c r="EH255" s="75"/>
      <c r="EI255" s="75"/>
      <c r="EJ255" s="75"/>
      <c r="EK255" s="75"/>
      <c r="EL255" s="75"/>
      <c r="EM255" s="75"/>
      <c r="EN255" s="81"/>
      <c r="EO255" s="74"/>
      <c r="EP255" s="75"/>
      <c r="EQ255" s="75"/>
      <c r="ER255" s="75"/>
      <c r="ES255" s="75"/>
      <c r="ET255" s="75"/>
      <c r="EU255" s="75"/>
      <c r="EV255" s="75"/>
      <c r="EW255" s="75"/>
      <c r="EX255" s="75"/>
      <c r="EY255" s="75"/>
      <c r="EZ255" s="81"/>
      <c r="FA255" s="74"/>
      <c r="FB255" s="75"/>
      <c r="FC255" s="75"/>
      <c r="FD255" s="75"/>
      <c r="FE255" s="75"/>
      <c r="FF255" s="75"/>
      <c r="FG255" s="75"/>
      <c r="FH255" s="75"/>
      <c r="FI255" s="75"/>
      <c r="FJ255" s="75"/>
      <c r="FK255" s="75"/>
      <c r="FL255" s="81"/>
      <c r="FM255" s="74"/>
      <c r="FN255" s="75"/>
      <c r="FO255" s="75"/>
      <c r="FP255" s="75"/>
      <c r="FQ255" s="75"/>
      <c r="FR255" s="75"/>
      <c r="FS255" s="75"/>
      <c r="FT255" s="75"/>
      <c r="FU255" s="75"/>
      <c r="FV255" s="75"/>
      <c r="FW255" s="75"/>
      <c r="FX255" s="81"/>
      <c r="FY255" s="74"/>
      <c r="FZ255" s="75"/>
      <c r="GA255" s="75"/>
      <c r="GB255" s="75"/>
      <c r="GC255" s="75"/>
      <c r="GD255" s="75"/>
      <c r="GE255" s="75"/>
      <c r="GF255" s="75"/>
      <c r="GG255" s="75"/>
      <c r="GH255" s="75"/>
      <c r="GI255" s="75"/>
      <c r="GJ255" s="81"/>
      <c r="GK255" s="74"/>
      <c r="GL255" s="75"/>
      <c r="GM255" s="75"/>
      <c r="GN255" s="75"/>
      <c r="GO255" s="75"/>
      <c r="GP255" s="75"/>
      <c r="GQ255" s="75"/>
      <c r="GR255" s="75"/>
      <c r="GS255" s="75"/>
      <c r="GT255" s="75"/>
      <c r="GU255" s="75"/>
      <c r="GV255" s="81"/>
      <c r="GW255" s="74"/>
      <c r="GX255" s="75"/>
      <c r="GY255" s="75"/>
      <c r="GZ255" s="75"/>
      <c r="HA255" s="75"/>
      <c r="HB255" s="75"/>
      <c r="HC255" s="75"/>
      <c r="HD255" s="75"/>
      <c r="HE255" s="75"/>
      <c r="HF255" s="75"/>
      <c r="HG255" s="75"/>
      <c r="HH255" s="81"/>
      <c r="HI255" s="75"/>
    </row>
    <row r="256" ht="15.0" customHeight="1">
      <c r="A256" s="74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81"/>
      <c r="M256" s="74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81"/>
      <c r="Y256" s="74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81"/>
      <c r="AK256" s="74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81"/>
      <c r="AW256" s="74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81"/>
      <c r="BI256" s="74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81"/>
      <c r="BU256" s="74"/>
      <c r="BV256" s="75"/>
      <c r="BW256" s="75"/>
      <c r="BX256" s="75"/>
      <c r="BY256" s="75"/>
      <c r="BZ256" s="75"/>
      <c r="CA256" s="75"/>
      <c r="CB256" s="75"/>
      <c r="CC256" s="75"/>
      <c r="CD256" s="75"/>
      <c r="CE256" s="75"/>
      <c r="CF256" s="81"/>
      <c r="CG256" s="74"/>
      <c r="CH256" s="75"/>
      <c r="CI256" s="75"/>
      <c r="CJ256" s="75"/>
      <c r="CK256" s="75"/>
      <c r="CL256" s="75"/>
      <c r="CM256" s="75"/>
      <c r="CN256" s="75"/>
      <c r="CO256" s="75"/>
      <c r="CP256" s="75"/>
      <c r="CQ256" s="75"/>
      <c r="CR256" s="81"/>
      <c r="CS256" s="74"/>
      <c r="CT256" s="75"/>
      <c r="CU256" s="75"/>
      <c r="CV256" s="75"/>
      <c r="CW256" s="75"/>
      <c r="CX256" s="75"/>
      <c r="CY256" s="75"/>
      <c r="CZ256" s="75"/>
      <c r="DA256" s="75"/>
      <c r="DB256" s="75"/>
      <c r="DC256" s="75"/>
      <c r="DD256" s="81"/>
      <c r="DE256" s="74"/>
      <c r="DF256" s="75"/>
      <c r="DG256" s="75"/>
      <c r="DH256" s="75"/>
      <c r="DI256" s="75"/>
      <c r="DJ256" s="75"/>
      <c r="DK256" s="75"/>
      <c r="DL256" s="75"/>
      <c r="DM256" s="75"/>
      <c r="DN256" s="75"/>
      <c r="DO256" s="75"/>
      <c r="DP256" s="81"/>
      <c r="DQ256" s="74"/>
      <c r="DR256" s="75"/>
      <c r="DS256" s="75"/>
      <c r="DT256" s="75"/>
      <c r="DU256" s="75"/>
      <c r="DV256" s="75"/>
      <c r="DW256" s="75"/>
      <c r="DX256" s="75"/>
      <c r="DY256" s="75"/>
      <c r="DZ256" s="75"/>
      <c r="EA256" s="75"/>
      <c r="EB256" s="81"/>
      <c r="EC256" s="74"/>
      <c r="ED256" s="75"/>
      <c r="EE256" s="75"/>
      <c r="EF256" s="75"/>
      <c r="EG256" s="75"/>
      <c r="EH256" s="75"/>
      <c r="EI256" s="75"/>
      <c r="EJ256" s="75"/>
      <c r="EK256" s="75"/>
      <c r="EL256" s="75"/>
      <c r="EM256" s="75"/>
      <c r="EN256" s="81"/>
      <c r="EO256" s="74"/>
      <c r="EP256" s="75"/>
      <c r="EQ256" s="75"/>
      <c r="ER256" s="75"/>
      <c r="ES256" s="75"/>
      <c r="ET256" s="75"/>
      <c r="EU256" s="75"/>
      <c r="EV256" s="75"/>
      <c r="EW256" s="75"/>
      <c r="EX256" s="75"/>
      <c r="EY256" s="75"/>
      <c r="EZ256" s="81"/>
      <c r="FA256" s="74"/>
      <c r="FB256" s="75"/>
      <c r="FC256" s="75"/>
      <c r="FD256" s="75"/>
      <c r="FE256" s="75"/>
      <c r="FF256" s="75"/>
      <c r="FG256" s="75"/>
      <c r="FH256" s="75"/>
      <c r="FI256" s="75"/>
      <c r="FJ256" s="75"/>
      <c r="FK256" s="75"/>
      <c r="FL256" s="81"/>
      <c r="FM256" s="74"/>
      <c r="FN256" s="75"/>
      <c r="FO256" s="75"/>
      <c r="FP256" s="75"/>
      <c r="FQ256" s="75"/>
      <c r="FR256" s="75"/>
      <c r="FS256" s="75"/>
      <c r="FT256" s="75"/>
      <c r="FU256" s="75"/>
      <c r="FV256" s="75"/>
      <c r="FW256" s="75"/>
      <c r="FX256" s="81"/>
      <c r="FY256" s="74"/>
      <c r="FZ256" s="75"/>
      <c r="GA256" s="75"/>
      <c r="GB256" s="75"/>
      <c r="GC256" s="75"/>
      <c r="GD256" s="75"/>
      <c r="GE256" s="75"/>
      <c r="GF256" s="75"/>
      <c r="GG256" s="75"/>
      <c r="GH256" s="75"/>
      <c r="GI256" s="75"/>
      <c r="GJ256" s="81"/>
      <c r="GK256" s="74"/>
      <c r="GL256" s="75"/>
      <c r="GM256" s="75"/>
      <c r="GN256" s="75"/>
      <c r="GO256" s="75"/>
      <c r="GP256" s="75"/>
      <c r="GQ256" s="75"/>
      <c r="GR256" s="75"/>
      <c r="GS256" s="75"/>
      <c r="GT256" s="75"/>
      <c r="GU256" s="75"/>
      <c r="GV256" s="81"/>
      <c r="GW256" s="74"/>
      <c r="GX256" s="75"/>
      <c r="GY256" s="75"/>
      <c r="GZ256" s="75"/>
      <c r="HA256" s="75"/>
      <c r="HB256" s="75"/>
      <c r="HC256" s="75"/>
      <c r="HD256" s="75"/>
      <c r="HE256" s="75"/>
      <c r="HF256" s="75"/>
      <c r="HG256" s="75"/>
      <c r="HH256" s="81"/>
      <c r="HI256" s="75"/>
    </row>
    <row r="257" ht="15.0" customHeight="1">
      <c r="A257" s="74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81"/>
      <c r="M257" s="74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81"/>
      <c r="Y257" s="74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81"/>
      <c r="AK257" s="74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81"/>
      <c r="AW257" s="74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81"/>
      <c r="BI257" s="74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81"/>
      <c r="BU257" s="74"/>
      <c r="BV257" s="75"/>
      <c r="BW257" s="75"/>
      <c r="BX257" s="75"/>
      <c r="BY257" s="75"/>
      <c r="BZ257" s="75"/>
      <c r="CA257" s="75"/>
      <c r="CB257" s="75"/>
      <c r="CC257" s="75"/>
      <c r="CD257" s="75"/>
      <c r="CE257" s="75"/>
      <c r="CF257" s="81"/>
      <c r="CG257" s="74"/>
      <c r="CH257" s="75"/>
      <c r="CI257" s="75"/>
      <c r="CJ257" s="75"/>
      <c r="CK257" s="75"/>
      <c r="CL257" s="75"/>
      <c r="CM257" s="75"/>
      <c r="CN257" s="75"/>
      <c r="CO257" s="75"/>
      <c r="CP257" s="75"/>
      <c r="CQ257" s="75"/>
      <c r="CR257" s="81"/>
      <c r="CS257" s="74"/>
      <c r="CT257" s="75"/>
      <c r="CU257" s="75"/>
      <c r="CV257" s="75"/>
      <c r="CW257" s="75"/>
      <c r="CX257" s="75"/>
      <c r="CY257" s="75"/>
      <c r="CZ257" s="75"/>
      <c r="DA257" s="75"/>
      <c r="DB257" s="75"/>
      <c r="DC257" s="75"/>
      <c r="DD257" s="81"/>
      <c r="DE257" s="74"/>
      <c r="DF257" s="75"/>
      <c r="DG257" s="75"/>
      <c r="DH257" s="75"/>
      <c r="DI257" s="75"/>
      <c r="DJ257" s="75"/>
      <c r="DK257" s="75"/>
      <c r="DL257" s="75"/>
      <c r="DM257" s="75"/>
      <c r="DN257" s="75"/>
      <c r="DO257" s="75"/>
      <c r="DP257" s="81"/>
      <c r="DQ257" s="74"/>
      <c r="DR257" s="75"/>
      <c r="DS257" s="75"/>
      <c r="DT257" s="75"/>
      <c r="DU257" s="75"/>
      <c r="DV257" s="75"/>
      <c r="DW257" s="75"/>
      <c r="DX257" s="75"/>
      <c r="DY257" s="75"/>
      <c r="DZ257" s="75"/>
      <c r="EA257" s="75"/>
      <c r="EB257" s="81"/>
      <c r="EC257" s="74"/>
      <c r="ED257" s="75"/>
      <c r="EE257" s="75"/>
      <c r="EF257" s="75"/>
      <c r="EG257" s="75"/>
      <c r="EH257" s="75"/>
      <c r="EI257" s="75"/>
      <c r="EJ257" s="75"/>
      <c r="EK257" s="75"/>
      <c r="EL257" s="75"/>
      <c r="EM257" s="75"/>
      <c r="EN257" s="81"/>
      <c r="EO257" s="74"/>
      <c r="EP257" s="75"/>
      <c r="EQ257" s="75"/>
      <c r="ER257" s="75"/>
      <c r="ES257" s="75"/>
      <c r="ET257" s="75"/>
      <c r="EU257" s="75"/>
      <c r="EV257" s="75"/>
      <c r="EW257" s="75"/>
      <c r="EX257" s="75"/>
      <c r="EY257" s="75"/>
      <c r="EZ257" s="81"/>
      <c r="FA257" s="74"/>
      <c r="FB257" s="75"/>
      <c r="FC257" s="75"/>
      <c r="FD257" s="75"/>
      <c r="FE257" s="75"/>
      <c r="FF257" s="75"/>
      <c r="FG257" s="75"/>
      <c r="FH257" s="75"/>
      <c r="FI257" s="75"/>
      <c r="FJ257" s="75"/>
      <c r="FK257" s="75"/>
      <c r="FL257" s="81"/>
      <c r="FM257" s="74"/>
      <c r="FN257" s="75"/>
      <c r="FO257" s="75"/>
      <c r="FP257" s="75"/>
      <c r="FQ257" s="75"/>
      <c r="FR257" s="75"/>
      <c r="FS257" s="75"/>
      <c r="FT257" s="75"/>
      <c r="FU257" s="75"/>
      <c r="FV257" s="75"/>
      <c r="FW257" s="75"/>
      <c r="FX257" s="81"/>
      <c r="FY257" s="74"/>
      <c r="FZ257" s="75"/>
      <c r="GA257" s="75"/>
      <c r="GB257" s="75"/>
      <c r="GC257" s="75"/>
      <c r="GD257" s="75"/>
      <c r="GE257" s="75"/>
      <c r="GF257" s="75"/>
      <c r="GG257" s="75"/>
      <c r="GH257" s="75"/>
      <c r="GI257" s="75"/>
      <c r="GJ257" s="81"/>
      <c r="GK257" s="74"/>
      <c r="GL257" s="75"/>
      <c r="GM257" s="75"/>
      <c r="GN257" s="75"/>
      <c r="GO257" s="75"/>
      <c r="GP257" s="75"/>
      <c r="GQ257" s="75"/>
      <c r="GR257" s="75"/>
      <c r="GS257" s="75"/>
      <c r="GT257" s="75"/>
      <c r="GU257" s="75"/>
      <c r="GV257" s="81"/>
      <c r="GW257" s="74"/>
      <c r="GX257" s="75"/>
      <c r="GY257" s="75"/>
      <c r="GZ257" s="75"/>
      <c r="HA257" s="75"/>
      <c r="HB257" s="75"/>
      <c r="HC257" s="75"/>
      <c r="HD257" s="75"/>
      <c r="HE257" s="75"/>
      <c r="HF257" s="75"/>
      <c r="HG257" s="75"/>
      <c r="HH257" s="81"/>
      <c r="HI257" s="75"/>
    </row>
    <row r="258" ht="15.0" customHeight="1">
      <c r="A258" s="74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81"/>
      <c r="M258" s="74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81"/>
      <c r="Y258" s="74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81"/>
      <c r="AK258" s="74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81"/>
      <c r="AW258" s="74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81"/>
      <c r="BI258" s="74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81"/>
      <c r="BU258" s="74"/>
      <c r="BV258" s="75"/>
      <c r="BW258" s="75"/>
      <c r="BX258" s="75"/>
      <c r="BY258" s="75"/>
      <c r="BZ258" s="75"/>
      <c r="CA258" s="75"/>
      <c r="CB258" s="75"/>
      <c r="CC258" s="75"/>
      <c r="CD258" s="75"/>
      <c r="CE258" s="75"/>
      <c r="CF258" s="81"/>
      <c r="CG258" s="74"/>
      <c r="CH258" s="75"/>
      <c r="CI258" s="75"/>
      <c r="CJ258" s="75"/>
      <c r="CK258" s="75"/>
      <c r="CL258" s="75"/>
      <c r="CM258" s="75"/>
      <c r="CN258" s="75"/>
      <c r="CO258" s="75"/>
      <c r="CP258" s="75"/>
      <c r="CQ258" s="75"/>
      <c r="CR258" s="81"/>
      <c r="CS258" s="74"/>
      <c r="CT258" s="75"/>
      <c r="CU258" s="75"/>
      <c r="CV258" s="75"/>
      <c r="CW258" s="75"/>
      <c r="CX258" s="75"/>
      <c r="CY258" s="75"/>
      <c r="CZ258" s="75"/>
      <c r="DA258" s="75"/>
      <c r="DB258" s="75"/>
      <c r="DC258" s="75"/>
      <c r="DD258" s="81"/>
      <c r="DE258" s="74"/>
      <c r="DF258" s="75"/>
      <c r="DG258" s="75"/>
      <c r="DH258" s="75"/>
      <c r="DI258" s="75"/>
      <c r="DJ258" s="75"/>
      <c r="DK258" s="75"/>
      <c r="DL258" s="75"/>
      <c r="DM258" s="75"/>
      <c r="DN258" s="75"/>
      <c r="DO258" s="75"/>
      <c r="DP258" s="81"/>
      <c r="DQ258" s="74"/>
      <c r="DR258" s="75"/>
      <c r="DS258" s="75"/>
      <c r="DT258" s="75"/>
      <c r="DU258" s="75"/>
      <c r="DV258" s="75"/>
      <c r="DW258" s="75"/>
      <c r="DX258" s="75"/>
      <c r="DY258" s="75"/>
      <c r="DZ258" s="75"/>
      <c r="EA258" s="75"/>
      <c r="EB258" s="81"/>
      <c r="EC258" s="74"/>
      <c r="ED258" s="75"/>
      <c r="EE258" s="75"/>
      <c r="EF258" s="75"/>
      <c r="EG258" s="75"/>
      <c r="EH258" s="75"/>
      <c r="EI258" s="75"/>
      <c r="EJ258" s="75"/>
      <c r="EK258" s="75"/>
      <c r="EL258" s="75"/>
      <c r="EM258" s="75"/>
      <c r="EN258" s="81"/>
      <c r="EO258" s="74"/>
      <c r="EP258" s="75"/>
      <c r="EQ258" s="75"/>
      <c r="ER258" s="75"/>
      <c r="ES258" s="75"/>
      <c r="ET258" s="75"/>
      <c r="EU258" s="75"/>
      <c r="EV258" s="75"/>
      <c r="EW258" s="75"/>
      <c r="EX258" s="75"/>
      <c r="EY258" s="75"/>
      <c r="EZ258" s="81"/>
      <c r="FA258" s="74"/>
      <c r="FB258" s="75"/>
      <c r="FC258" s="75"/>
      <c r="FD258" s="75"/>
      <c r="FE258" s="75"/>
      <c r="FF258" s="75"/>
      <c r="FG258" s="75"/>
      <c r="FH258" s="75"/>
      <c r="FI258" s="75"/>
      <c r="FJ258" s="75"/>
      <c r="FK258" s="75"/>
      <c r="FL258" s="81"/>
      <c r="FM258" s="74"/>
      <c r="FN258" s="75"/>
      <c r="FO258" s="75"/>
      <c r="FP258" s="75"/>
      <c r="FQ258" s="75"/>
      <c r="FR258" s="75"/>
      <c r="FS258" s="75"/>
      <c r="FT258" s="75"/>
      <c r="FU258" s="75"/>
      <c r="FV258" s="75"/>
      <c r="FW258" s="75"/>
      <c r="FX258" s="81"/>
      <c r="FY258" s="74"/>
      <c r="FZ258" s="75"/>
      <c r="GA258" s="75"/>
      <c r="GB258" s="75"/>
      <c r="GC258" s="75"/>
      <c r="GD258" s="75"/>
      <c r="GE258" s="75"/>
      <c r="GF258" s="75"/>
      <c r="GG258" s="75"/>
      <c r="GH258" s="75"/>
      <c r="GI258" s="75"/>
      <c r="GJ258" s="81"/>
      <c r="GK258" s="74"/>
      <c r="GL258" s="75"/>
      <c r="GM258" s="75"/>
      <c r="GN258" s="75"/>
      <c r="GO258" s="75"/>
      <c r="GP258" s="75"/>
      <c r="GQ258" s="75"/>
      <c r="GR258" s="75"/>
      <c r="GS258" s="75"/>
      <c r="GT258" s="75"/>
      <c r="GU258" s="75"/>
      <c r="GV258" s="81"/>
      <c r="GW258" s="74"/>
      <c r="GX258" s="75"/>
      <c r="GY258" s="75"/>
      <c r="GZ258" s="75"/>
      <c r="HA258" s="75"/>
      <c r="HB258" s="75"/>
      <c r="HC258" s="75"/>
      <c r="HD258" s="75"/>
      <c r="HE258" s="75"/>
      <c r="HF258" s="75"/>
      <c r="HG258" s="75"/>
      <c r="HH258" s="81"/>
      <c r="HI258" s="75"/>
    </row>
    <row r="259" ht="15.0" customHeight="1">
      <c r="A259" s="74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81"/>
      <c r="M259" s="74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81"/>
      <c r="Y259" s="74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81"/>
      <c r="AK259" s="74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81"/>
      <c r="AW259" s="74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81"/>
      <c r="BI259" s="74"/>
      <c r="BJ259" s="75"/>
      <c r="BK259" s="75"/>
      <c r="BL259" s="75"/>
      <c r="BM259" s="75"/>
      <c r="BN259" s="75"/>
      <c r="BO259" s="75"/>
      <c r="BP259" s="75"/>
      <c r="BQ259" s="75"/>
      <c r="BR259" s="75"/>
      <c r="BS259" s="75"/>
      <c r="BT259" s="81"/>
      <c r="BU259" s="74"/>
      <c r="BV259" s="75"/>
      <c r="BW259" s="75"/>
      <c r="BX259" s="75"/>
      <c r="BY259" s="75"/>
      <c r="BZ259" s="75"/>
      <c r="CA259" s="75"/>
      <c r="CB259" s="75"/>
      <c r="CC259" s="75"/>
      <c r="CD259" s="75"/>
      <c r="CE259" s="75"/>
      <c r="CF259" s="81"/>
      <c r="CG259" s="74"/>
      <c r="CH259" s="75"/>
      <c r="CI259" s="75"/>
      <c r="CJ259" s="75"/>
      <c r="CK259" s="75"/>
      <c r="CL259" s="75"/>
      <c r="CM259" s="75"/>
      <c r="CN259" s="75"/>
      <c r="CO259" s="75"/>
      <c r="CP259" s="75"/>
      <c r="CQ259" s="75"/>
      <c r="CR259" s="81"/>
      <c r="CS259" s="74"/>
      <c r="CT259" s="75"/>
      <c r="CU259" s="75"/>
      <c r="CV259" s="75"/>
      <c r="CW259" s="75"/>
      <c r="CX259" s="75"/>
      <c r="CY259" s="75"/>
      <c r="CZ259" s="75"/>
      <c r="DA259" s="75"/>
      <c r="DB259" s="75"/>
      <c r="DC259" s="75"/>
      <c r="DD259" s="81"/>
      <c r="DE259" s="74"/>
      <c r="DF259" s="75"/>
      <c r="DG259" s="75"/>
      <c r="DH259" s="75"/>
      <c r="DI259" s="75"/>
      <c r="DJ259" s="75"/>
      <c r="DK259" s="75"/>
      <c r="DL259" s="75"/>
      <c r="DM259" s="75"/>
      <c r="DN259" s="75"/>
      <c r="DO259" s="75"/>
      <c r="DP259" s="81"/>
      <c r="DQ259" s="74"/>
      <c r="DR259" s="75"/>
      <c r="DS259" s="75"/>
      <c r="DT259" s="75"/>
      <c r="DU259" s="75"/>
      <c r="DV259" s="75"/>
      <c r="DW259" s="75"/>
      <c r="DX259" s="75"/>
      <c r="DY259" s="75"/>
      <c r="DZ259" s="75"/>
      <c r="EA259" s="75"/>
      <c r="EB259" s="81"/>
      <c r="EC259" s="74"/>
      <c r="ED259" s="75"/>
      <c r="EE259" s="75"/>
      <c r="EF259" s="75"/>
      <c r="EG259" s="75"/>
      <c r="EH259" s="75"/>
      <c r="EI259" s="75"/>
      <c r="EJ259" s="75"/>
      <c r="EK259" s="75"/>
      <c r="EL259" s="75"/>
      <c r="EM259" s="75"/>
      <c r="EN259" s="81"/>
      <c r="EO259" s="74"/>
      <c r="EP259" s="75"/>
      <c r="EQ259" s="75"/>
      <c r="ER259" s="75"/>
      <c r="ES259" s="75"/>
      <c r="ET259" s="75"/>
      <c r="EU259" s="75"/>
      <c r="EV259" s="75"/>
      <c r="EW259" s="75"/>
      <c r="EX259" s="75"/>
      <c r="EY259" s="75"/>
      <c r="EZ259" s="81"/>
      <c r="FA259" s="74"/>
      <c r="FB259" s="75"/>
      <c r="FC259" s="75"/>
      <c r="FD259" s="75"/>
      <c r="FE259" s="75"/>
      <c r="FF259" s="75"/>
      <c r="FG259" s="75"/>
      <c r="FH259" s="75"/>
      <c r="FI259" s="75"/>
      <c r="FJ259" s="75"/>
      <c r="FK259" s="75"/>
      <c r="FL259" s="81"/>
      <c r="FM259" s="74"/>
      <c r="FN259" s="75"/>
      <c r="FO259" s="75"/>
      <c r="FP259" s="75"/>
      <c r="FQ259" s="75"/>
      <c r="FR259" s="75"/>
      <c r="FS259" s="75"/>
      <c r="FT259" s="75"/>
      <c r="FU259" s="75"/>
      <c r="FV259" s="75"/>
      <c r="FW259" s="75"/>
      <c r="FX259" s="81"/>
      <c r="FY259" s="74"/>
      <c r="FZ259" s="75"/>
      <c r="GA259" s="75"/>
      <c r="GB259" s="75"/>
      <c r="GC259" s="75"/>
      <c r="GD259" s="75"/>
      <c r="GE259" s="75"/>
      <c r="GF259" s="75"/>
      <c r="GG259" s="75"/>
      <c r="GH259" s="75"/>
      <c r="GI259" s="75"/>
      <c r="GJ259" s="81"/>
      <c r="GK259" s="74"/>
      <c r="GL259" s="75"/>
      <c r="GM259" s="75"/>
      <c r="GN259" s="75"/>
      <c r="GO259" s="75"/>
      <c r="GP259" s="75"/>
      <c r="GQ259" s="75"/>
      <c r="GR259" s="75"/>
      <c r="GS259" s="75"/>
      <c r="GT259" s="75"/>
      <c r="GU259" s="75"/>
      <c r="GV259" s="81"/>
      <c r="GW259" s="74"/>
      <c r="GX259" s="75"/>
      <c r="GY259" s="75"/>
      <c r="GZ259" s="75"/>
      <c r="HA259" s="75"/>
      <c r="HB259" s="75"/>
      <c r="HC259" s="75"/>
      <c r="HD259" s="75"/>
      <c r="HE259" s="75"/>
      <c r="HF259" s="75"/>
      <c r="HG259" s="75"/>
      <c r="HH259" s="81"/>
      <c r="HI259" s="75"/>
    </row>
    <row r="260" ht="15.0" customHeight="1">
      <c r="A260" s="74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81"/>
      <c r="M260" s="74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81"/>
      <c r="Y260" s="74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81"/>
      <c r="AK260" s="74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81"/>
      <c r="AW260" s="74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81"/>
      <c r="BI260" s="74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81"/>
      <c r="BU260" s="74"/>
      <c r="BV260" s="75"/>
      <c r="BW260" s="75"/>
      <c r="BX260" s="75"/>
      <c r="BY260" s="75"/>
      <c r="BZ260" s="75"/>
      <c r="CA260" s="75"/>
      <c r="CB260" s="75"/>
      <c r="CC260" s="75"/>
      <c r="CD260" s="75"/>
      <c r="CE260" s="75"/>
      <c r="CF260" s="81"/>
      <c r="CG260" s="74"/>
      <c r="CH260" s="75"/>
      <c r="CI260" s="75"/>
      <c r="CJ260" s="75"/>
      <c r="CK260" s="75"/>
      <c r="CL260" s="75"/>
      <c r="CM260" s="75"/>
      <c r="CN260" s="75"/>
      <c r="CO260" s="75"/>
      <c r="CP260" s="75"/>
      <c r="CQ260" s="75"/>
      <c r="CR260" s="81"/>
      <c r="CS260" s="74"/>
      <c r="CT260" s="75"/>
      <c r="CU260" s="75"/>
      <c r="CV260" s="75"/>
      <c r="CW260" s="75"/>
      <c r="CX260" s="75"/>
      <c r="CY260" s="75"/>
      <c r="CZ260" s="75"/>
      <c r="DA260" s="75"/>
      <c r="DB260" s="75"/>
      <c r="DC260" s="75"/>
      <c r="DD260" s="81"/>
      <c r="DE260" s="74"/>
      <c r="DF260" s="75"/>
      <c r="DG260" s="75"/>
      <c r="DH260" s="75"/>
      <c r="DI260" s="75"/>
      <c r="DJ260" s="75"/>
      <c r="DK260" s="75"/>
      <c r="DL260" s="75"/>
      <c r="DM260" s="75"/>
      <c r="DN260" s="75"/>
      <c r="DO260" s="75"/>
      <c r="DP260" s="81"/>
      <c r="DQ260" s="74"/>
      <c r="DR260" s="75"/>
      <c r="DS260" s="75"/>
      <c r="DT260" s="75"/>
      <c r="DU260" s="75"/>
      <c r="DV260" s="75"/>
      <c r="DW260" s="75"/>
      <c r="DX260" s="75"/>
      <c r="DY260" s="75"/>
      <c r="DZ260" s="75"/>
      <c r="EA260" s="75"/>
      <c r="EB260" s="81"/>
      <c r="EC260" s="74"/>
      <c r="ED260" s="75"/>
      <c r="EE260" s="75"/>
      <c r="EF260" s="75"/>
      <c r="EG260" s="75"/>
      <c r="EH260" s="75"/>
      <c r="EI260" s="75"/>
      <c r="EJ260" s="75"/>
      <c r="EK260" s="75"/>
      <c r="EL260" s="75"/>
      <c r="EM260" s="75"/>
      <c r="EN260" s="81"/>
      <c r="EO260" s="74"/>
      <c r="EP260" s="75"/>
      <c r="EQ260" s="75"/>
      <c r="ER260" s="75"/>
      <c r="ES260" s="75"/>
      <c r="ET260" s="75"/>
      <c r="EU260" s="75"/>
      <c r="EV260" s="75"/>
      <c r="EW260" s="75"/>
      <c r="EX260" s="75"/>
      <c r="EY260" s="75"/>
      <c r="EZ260" s="81"/>
      <c r="FA260" s="74"/>
      <c r="FB260" s="75"/>
      <c r="FC260" s="75"/>
      <c r="FD260" s="75"/>
      <c r="FE260" s="75"/>
      <c r="FF260" s="75"/>
      <c r="FG260" s="75"/>
      <c r="FH260" s="75"/>
      <c r="FI260" s="75"/>
      <c r="FJ260" s="75"/>
      <c r="FK260" s="75"/>
      <c r="FL260" s="81"/>
      <c r="FM260" s="74"/>
      <c r="FN260" s="75"/>
      <c r="FO260" s="75"/>
      <c r="FP260" s="75"/>
      <c r="FQ260" s="75"/>
      <c r="FR260" s="75"/>
      <c r="FS260" s="75"/>
      <c r="FT260" s="75"/>
      <c r="FU260" s="75"/>
      <c r="FV260" s="75"/>
      <c r="FW260" s="75"/>
      <c r="FX260" s="81"/>
      <c r="FY260" s="74"/>
      <c r="FZ260" s="75"/>
      <c r="GA260" s="75"/>
      <c r="GB260" s="75"/>
      <c r="GC260" s="75"/>
      <c r="GD260" s="75"/>
      <c r="GE260" s="75"/>
      <c r="GF260" s="75"/>
      <c r="GG260" s="75"/>
      <c r="GH260" s="75"/>
      <c r="GI260" s="75"/>
      <c r="GJ260" s="81"/>
      <c r="GK260" s="74"/>
      <c r="GL260" s="75"/>
      <c r="GM260" s="75"/>
      <c r="GN260" s="75"/>
      <c r="GO260" s="75"/>
      <c r="GP260" s="75"/>
      <c r="GQ260" s="75"/>
      <c r="GR260" s="75"/>
      <c r="GS260" s="75"/>
      <c r="GT260" s="75"/>
      <c r="GU260" s="75"/>
      <c r="GV260" s="81"/>
      <c r="GW260" s="74"/>
      <c r="GX260" s="75"/>
      <c r="GY260" s="75"/>
      <c r="GZ260" s="75"/>
      <c r="HA260" s="75"/>
      <c r="HB260" s="75"/>
      <c r="HC260" s="75"/>
      <c r="HD260" s="75"/>
      <c r="HE260" s="75"/>
      <c r="HF260" s="75"/>
      <c r="HG260" s="75"/>
      <c r="HH260" s="81"/>
      <c r="HI260" s="75"/>
    </row>
    <row r="261" ht="15.0" customHeight="1">
      <c r="A261" s="74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81"/>
      <c r="M261" s="74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81"/>
      <c r="Y261" s="74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81"/>
      <c r="AK261" s="74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81"/>
      <c r="AW261" s="74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81"/>
      <c r="BI261" s="74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81"/>
      <c r="BU261" s="74"/>
      <c r="BV261" s="75"/>
      <c r="BW261" s="75"/>
      <c r="BX261" s="75"/>
      <c r="BY261" s="75"/>
      <c r="BZ261" s="75"/>
      <c r="CA261" s="75"/>
      <c r="CB261" s="75"/>
      <c r="CC261" s="75"/>
      <c r="CD261" s="75"/>
      <c r="CE261" s="75"/>
      <c r="CF261" s="81"/>
      <c r="CG261" s="74"/>
      <c r="CH261" s="75"/>
      <c r="CI261" s="75"/>
      <c r="CJ261" s="75"/>
      <c r="CK261" s="75"/>
      <c r="CL261" s="75"/>
      <c r="CM261" s="75"/>
      <c r="CN261" s="75"/>
      <c r="CO261" s="75"/>
      <c r="CP261" s="75"/>
      <c r="CQ261" s="75"/>
      <c r="CR261" s="81"/>
      <c r="CS261" s="74"/>
      <c r="CT261" s="75"/>
      <c r="CU261" s="75"/>
      <c r="CV261" s="75"/>
      <c r="CW261" s="75"/>
      <c r="CX261" s="75"/>
      <c r="CY261" s="75"/>
      <c r="CZ261" s="75"/>
      <c r="DA261" s="75"/>
      <c r="DB261" s="75"/>
      <c r="DC261" s="75"/>
      <c r="DD261" s="81"/>
      <c r="DE261" s="74"/>
      <c r="DF261" s="75"/>
      <c r="DG261" s="75"/>
      <c r="DH261" s="75"/>
      <c r="DI261" s="75"/>
      <c r="DJ261" s="75"/>
      <c r="DK261" s="75"/>
      <c r="DL261" s="75"/>
      <c r="DM261" s="75"/>
      <c r="DN261" s="75"/>
      <c r="DO261" s="75"/>
      <c r="DP261" s="81"/>
      <c r="DQ261" s="74"/>
      <c r="DR261" s="75"/>
      <c r="DS261" s="75"/>
      <c r="DT261" s="75"/>
      <c r="DU261" s="75"/>
      <c r="DV261" s="75"/>
      <c r="DW261" s="75"/>
      <c r="DX261" s="75"/>
      <c r="DY261" s="75"/>
      <c r="DZ261" s="75"/>
      <c r="EA261" s="75"/>
      <c r="EB261" s="81"/>
      <c r="EC261" s="74"/>
      <c r="ED261" s="75"/>
      <c r="EE261" s="75"/>
      <c r="EF261" s="75"/>
      <c r="EG261" s="75"/>
      <c r="EH261" s="75"/>
      <c r="EI261" s="75"/>
      <c r="EJ261" s="75"/>
      <c r="EK261" s="75"/>
      <c r="EL261" s="75"/>
      <c r="EM261" s="75"/>
      <c r="EN261" s="81"/>
      <c r="EO261" s="74"/>
      <c r="EP261" s="75"/>
      <c r="EQ261" s="75"/>
      <c r="ER261" s="75"/>
      <c r="ES261" s="75"/>
      <c r="ET261" s="75"/>
      <c r="EU261" s="75"/>
      <c r="EV261" s="75"/>
      <c r="EW261" s="75"/>
      <c r="EX261" s="75"/>
      <c r="EY261" s="75"/>
      <c r="EZ261" s="81"/>
      <c r="FA261" s="74"/>
      <c r="FB261" s="75"/>
      <c r="FC261" s="75"/>
      <c r="FD261" s="75"/>
      <c r="FE261" s="75"/>
      <c r="FF261" s="75"/>
      <c r="FG261" s="75"/>
      <c r="FH261" s="75"/>
      <c r="FI261" s="75"/>
      <c r="FJ261" s="75"/>
      <c r="FK261" s="75"/>
      <c r="FL261" s="81"/>
      <c r="FM261" s="74"/>
      <c r="FN261" s="75"/>
      <c r="FO261" s="75"/>
      <c r="FP261" s="75"/>
      <c r="FQ261" s="75"/>
      <c r="FR261" s="75"/>
      <c r="FS261" s="75"/>
      <c r="FT261" s="75"/>
      <c r="FU261" s="75"/>
      <c r="FV261" s="75"/>
      <c r="FW261" s="75"/>
      <c r="FX261" s="81"/>
      <c r="FY261" s="74"/>
      <c r="FZ261" s="75"/>
      <c r="GA261" s="75"/>
      <c r="GB261" s="75"/>
      <c r="GC261" s="75"/>
      <c r="GD261" s="75"/>
      <c r="GE261" s="75"/>
      <c r="GF261" s="75"/>
      <c r="GG261" s="75"/>
      <c r="GH261" s="75"/>
      <c r="GI261" s="75"/>
      <c r="GJ261" s="81"/>
      <c r="GK261" s="74"/>
      <c r="GL261" s="75"/>
      <c r="GM261" s="75"/>
      <c r="GN261" s="75"/>
      <c r="GO261" s="75"/>
      <c r="GP261" s="75"/>
      <c r="GQ261" s="75"/>
      <c r="GR261" s="75"/>
      <c r="GS261" s="75"/>
      <c r="GT261" s="75"/>
      <c r="GU261" s="75"/>
      <c r="GV261" s="81"/>
      <c r="GW261" s="74"/>
      <c r="GX261" s="75"/>
      <c r="GY261" s="75"/>
      <c r="GZ261" s="75"/>
      <c r="HA261" s="75"/>
      <c r="HB261" s="75"/>
      <c r="HC261" s="75"/>
      <c r="HD261" s="75"/>
      <c r="HE261" s="75"/>
      <c r="HF261" s="75"/>
      <c r="HG261" s="75"/>
      <c r="HH261" s="81"/>
      <c r="HI261" s="75"/>
    </row>
    <row r="262" ht="15.0" customHeight="1">
      <c r="A262" s="74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81"/>
      <c r="M262" s="74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81"/>
      <c r="Y262" s="74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81"/>
      <c r="AK262" s="74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81"/>
      <c r="AW262" s="74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81"/>
      <c r="BI262" s="74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81"/>
      <c r="BU262" s="74"/>
      <c r="BV262" s="75"/>
      <c r="BW262" s="75"/>
      <c r="BX262" s="75"/>
      <c r="BY262" s="75"/>
      <c r="BZ262" s="75"/>
      <c r="CA262" s="75"/>
      <c r="CB262" s="75"/>
      <c r="CC262" s="75"/>
      <c r="CD262" s="75"/>
      <c r="CE262" s="75"/>
      <c r="CF262" s="81"/>
      <c r="CG262" s="74"/>
      <c r="CH262" s="75"/>
      <c r="CI262" s="75"/>
      <c r="CJ262" s="75"/>
      <c r="CK262" s="75"/>
      <c r="CL262" s="75"/>
      <c r="CM262" s="75"/>
      <c r="CN262" s="75"/>
      <c r="CO262" s="75"/>
      <c r="CP262" s="75"/>
      <c r="CQ262" s="75"/>
      <c r="CR262" s="81"/>
      <c r="CS262" s="74"/>
      <c r="CT262" s="75"/>
      <c r="CU262" s="75"/>
      <c r="CV262" s="75"/>
      <c r="CW262" s="75"/>
      <c r="CX262" s="75"/>
      <c r="CY262" s="75"/>
      <c r="CZ262" s="75"/>
      <c r="DA262" s="75"/>
      <c r="DB262" s="75"/>
      <c r="DC262" s="75"/>
      <c r="DD262" s="81"/>
      <c r="DE262" s="74"/>
      <c r="DF262" s="75"/>
      <c r="DG262" s="75"/>
      <c r="DH262" s="75"/>
      <c r="DI262" s="75"/>
      <c r="DJ262" s="75"/>
      <c r="DK262" s="75"/>
      <c r="DL262" s="75"/>
      <c r="DM262" s="75"/>
      <c r="DN262" s="75"/>
      <c r="DO262" s="75"/>
      <c r="DP262" s="81"/>
      <c r="DQ262" s="74"/>
      <c r="DR262" s="75"/>
      <c r="DS262" s="75"/>
      <c r="DT262" s="75"/>
      <c r="DU262" s="75"/>
      <c r="DV262" s="75"/>
      <c r="DW262" s="75"/>
      <c r="DX262" s="75"/>
      <c r="DY262" s="75"/>
      <c r="DZ262" s="75"/>
      <c r="EA262" s="75"/>
      <c r="EB262" s="81"/>
      <c r="EC262" s="74"/>
      <c r="ED262" s="75"/>
      <c r="EE262" s="75"/>
      <c r="EF262" s="75"/>
      <c r="EG262" s="75"/>
      <c r="EH262" s="75"/>
      <c r="EI262" s="75"/>
      <c r="EJ262" s="75"/>
      <c r="EK262" s="75"/>
      <c r="EL262" s="75"/>
      <c r="EM262" s="75"/>
      <c r="EN262" s="81"/>
      <c r="EO262" s="74"/>
      <c r="EP262" s="75"/>
      <c r="EQ262" s="75"/>
      <c r="ER262" s="75"/>
      <c r="ES262" s="75"/>
      <c r="ET262" s="75"/>
      <c r="EU262" s="75"/>
      <c r="EV262" s="75"/>
      <c r="EW262" s="75"/>
      <c r="EX262" s="75"/>
      <c r="EY262" s="75"/>
      <c r="EZ262" s="81"/>
      <c r="FA262" s="74"/>
      <c r="FB262" s="75"/>
      <c r="FC262" s="75"/>
      <c r="FD262" s="75"/>
      <c r="FE262" s="75"/>
      <c r="FF262" s="75"/>
      <c r="FG262" s="75"/>
      <c r="FH262" s="75"/>
      <c r="FI262" s="75"/>
      <c r="FJ262" s="75"/>
      <c r="FK262" s="75"/>
      <c r="FL262" s="81"/>
      <c r="FM262" s="74"/>
      <c r="FN262" s="75"/>
      <c r="FO262" s="75"/>
      <c r="FP262" s="75"/>
      <c r="FQ262" s="75"/>
      <c r="FR262" s="75"/>
      <c r="FS262" s="75"/>
      <c r="FT262" s="75"/>
      <c r="FU262" s="75"/>
      <c r="FV262" s="75"/>
      <c r="FW262" s="75"/>
      <c r="FX262" s="81"/>
      <c r="FY262" s="74"/>
      <c r="FZ262" s="75"/>
      <c r="GA262" s="75"/>
      <c r="GB262" s="75"/>
      <c r="GC262" s="75"/>
      <c r="GD262" s="75"/>
      <c r="GE262" s="75"/>
      <c r="GF262" s="75"/>
      <c r="GG262" s="75"/>
      <c r="GH262" s="75"/>
      <c r="GI262" s="75"/>
      <c r="GJ262" s="81"/>
      <c r="GK262" s="74"/>
      <c r="GL262" s="75"/>
      <c r="GM262" s="75"/>
      <c r="GN262" s="75"/>
      <c r="GO262" s="75"/>
      <c r="GP262" s="75"/>
      <c r="GQ262" s="75"/>
      <c r="GR262" s="75"/>
      <c r="GS262" s="75"/>
      <c r="GT262" s="75"/>
      <c r="GU262" s="75"/>
      <c r="GV262" s="81"/>
      <c r="GW262" s="74"/>
      <c r="GX262" s="75"/>
      <c r="GY262" s="75"/>
      <c r="GZ262" s="75"/>
      <c r="HA262" s="75"/>
      <c r="HB262" s="75"/>
      <c r="HC262" s="75"/>
      <c r="HD262" s="75"/>
      <c r="HE262" s="75"/>
      <c r="HF262" s="75"/>
      <c r="HG262" s="75"/>
      <c r="HH262" s="81"/>
      <c r="HI262" s="75"/>
    </row>
    <row r="263" ht="15.0" customHeight="1">
      <c r="A263" s="74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81"/>
      <c r="M263" s="74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81"/>
      <c r="Y263" s="74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81"/>
      <c r="AK263" s="74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81"/>
      <c r="AW263" s="74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81"/>
      <c r="BI263" s="74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81"/>
      <c r="BU263" s="74"/>
      <c r="BV263" s="75"/>
      <c r="BW263" s="75"/>
      <c r="BX263" s="75"/>
      <c r="BY263" s="75"/>
      <c r="BZ263" s="75"/>
      <c r="CA263" s="75"/>
      <c r="CB263" s="75"/>
      <c r="CC263" s="75"/>
      <c r="CD263" s="75"/>
      <c r="CE263" s="75"/>
      <c r="CF263" s="81"/>
      <c r="CG263" s="74"/>
      <c r="CH263" s="75"/>
      <c r="CI263" s="75"/>
      <c r="CJ263" s="75"/>
      <c r="CK263" s="75"/>
      <c r="CL263" s="75"/>
      <c r="CM263" s="75"/>
      <c r="CN263" s="75"/>
      <c r="CO263" s="75"/>
      <c r="CP263" s="75"/>
      <c r="CQ263" s="75"/>
      <c r="CR263" s="81"/>
      <c r="CS263" s="74"/>
      <c r="CT263" s="75"/>
      <c r="CU263" s="75"/>
      <c r="CV263" s="75"/>
      <c r="CW263" s="75"/>
      <c r="CX263" s="75"/>
      <c r="CY263" s="75"/>
      <c r="CZ263" s="75"/>
      <c r="DA263" s="75"/>
      <c r="DB263" s="75"/>
      <c r="DC263" s="75"/>
      <c r="DD263" s="81"/>
      <c r="DE263" s="74"/>
      <c r="DF263" s="75"/>
      <c r="DG263" s="75"/>
      <c r="DH263" s="75"/>
      <c r="DI263" s="75"/>
      <c r="DJ263" s="75"/>
      <c r="DK263" s="75"/>
      <c r="DL263" s="75"/>
      <c r="DM263" s="75"/>
      <c r="DN263" s="75"/>
      <c r="DO263" s="75"/>
      <c r="DP263" s="81"/>
      <c r="DQ263" s="74"/>
      <c r="DR263" s="75"/>
      <c r="DS263" s="75"/>
      <c r="DT263" s="75"/>
      <c r="DU263" s="75"/>
      <c r="DV263" s="75"/>
      <c r="DW263" s="75"/>
      <c r="DX263" s="75"/>
      <c r="DY263" s="75"/>
      <c r="DZ263" s="75"/>
      <c r="EA263" s="75"/>
      <c r="EB263" s="81"/>
      <c r="EC263" s="74"/>
      <c r="ED263" s="75"/>
      <c r="EE263" s="75"/>
      <c r="EF263" s="75"/>
      <c r="EG263" s="75"/>
      <c r="EH263" s="75"/>
      <c r="EI263" s="75"/>
      <c r="EJ263" s="75"/>
      <c r="EK263" s="75"/>
      <c r="EL263" s="75"/>
      <c r="EM263" s="75"/>
      <c r="EN263" s="81"/>
      <c r="EO263" s="74"/>
      <c r="EP263" s="75"/>
      <c r="EQ263" s="75"/>
      <c r="ER263" s="75"/>
      <c r="ES263" s="75"/>
      <c r="ET263" s="75"/>
      <c r="EU263" s="75"/>
      <c r="EV263" s="75"/>
      <c r="EW263" s="75"/>
      <c r="EX263" s="75"/>
      <c r="EY263" s="75"/>
      <c r="EZ263" s="81"/>
      <c r="FA263" s="74"/>
      <c r="FB263" s="75"/>
      <c r="FC263" s="75"/>
      <c r="FD263" s="75"/>
      <c r="FE263" s="75"/>
      <c r="FF263" s="75"/>
      <c r="FG263" s="75"/>
      <c r="FH263" s="75"/>
      <c r="FI263" s="75"/>
      <c r="FJ263" s="75"/>
      <c r="FK263" s="75"/>
      <c r="FL263" s="81"/>
      <c r="FM263" s="74"/>
      <c r="FN263" s="75"/>
      <c r="FO263" s="75"/>
      <c r="FP263" s="75"/>
      <c r="FQ263" s="75"/>
      <c r="FR263" s="75"/>
      <c r="FS263" s="75"/>
      <c r="FT263" s="75"/>
      <c r="FU263" s="75"/>
      <c r="FV263" s="75"/>
      <c r="FW263" s="75"/>
      <c r="FX263" s="81"/>
      <c r="FY263" s="74"/>
      <c r="FZ263" s="75"/>
      <c r="GA263" s="75"/>
      <c r="GB263" s="75"/>
      <c r="GC263" s="75"/>
      <c r="GD263" s="75"/>
      <c r="GE263" s="75"/>
      <c r="GF263" s="75"/>
      <c r="GG263" s="75"/>
      <c r="GH263" s="75"/>
      <c r="GI263" s="75"/>
      <c r="GJ263" s="81"/>
      <c r="GK263" s="74"/>
      <c r="GL263" s="75"/>
      <c r="GM263" s="75"/>
      <c r="GN263" s="75"/>
      <c r="GO263" s="75"/>
      <c r="GP263" s="75"/>
      <c r="GQ263" s="75"/>
      <c r="GR263" s="75"/>
      <c r="GS263" s="75"/>
      <c r="GT263" s="75"/>
      <c r="GU263" s="75"/>
      <c r="GV263" s="81"/>
      <c r="GW263" s="74"/>
      <c r="GX263" s="75"/>
      <c r="GY263" s="75"/>
      <c r="GZ263" s="75"/>
      <c r="HA263" s="75"/>
      <c r="HB263" s="75"/>
      <c r="HC263" s="75"/>
      <c r="HD263" s="75"/>
      <c r="HE263" s="75"/>
      <c r="HF263" s="75"/>
      <c r="HG263" s="75"/>
      <c r="HH263" s="81"/>
      <c r="HI263" s="75"/>
    </row>
    <row r="264" ht="15.0" customHeight="1">
      <c r="A264" s="74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81"/>
      <c r="M264" s="74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81"/>
      <c r="Y264" s="74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81"/>
      <c r="AK264" s="74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81"/>
      <c r="AW264" s="74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81"/>
      <c r="BI264" s="74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81"/>
      <c r="BU264" s="74"/>
      <c r="BV264" s="75"/>
      <c r="BW264" s="75"/>
      <c r="BX264" s="75"/>
      <c r="BY264" s="75"/>
      <c r="BZ264" s="75"/>
      <c r="CA264" s="75"/>
      <c r="CB264" s="75"/>
      <c r="CC264" s="75"/>
      <c r="CD264" s="75"/>
      <c r="CE264" s="75"/>
      <c r="CF264" s="81"/>
      <c r="CG264" s="74"/>
      <c r="CH264" s="75"/>
      <c r="CI264" s="75"/>
      <c r="CJ264" s="75"/>
      <c r="CK264" s="75"/>
      <c r="CL264" s="75"/>
      <c r="CM264" s="75"/>
      <c r="CN264" s="75"/>
      <c r="CO264" s="75"/>
      <c r="CP264" s="75"/>
      <c r="CQ264" s="75"/>
      <c r="CR264" s="81"/>
      <c r="CS264" s="74"/>
      <c r="CT264" s="75"/>
      <c r="CU264" s="75"/>
      <c r="CV264" s="75"/>
      <c r="CW264" s="75"/>
      <c r="CX264" s="75"/>
      <c r="CY264" s="75"/>
      <c r="CZ264" s="75"/>
      <c r="DA264" s="75"/>
      <c r="DB264" s="75"/>
      <c r="DC264" s="75"/>
      <c r="DD264" s="81"/>
      <c r="DE264" s="74"/>
      <c r="DF264" s="75"/>
      <c r="DG264" s="75"/>
      <c r="DH264" s="75"/>
      <c r="DI264" s="75"/>
      <c r="DJ264" s="75"/>
      <c r="DK264" s="75"/>
      <c r="DL264" s="75"/>
      <c r="DM264" s="75"/>
      <c r="DN264" s="75"/>
      <c r="DO264" s="75"/>
      <c r="DP264" s="81"/>
      <c r="DQ264" s="74"/>
      <c r="DR264" s="75"/>
      <c r="DS264" s="75"/>
      <c r="DT264" s="75"/>
      <c r="DU264" s="75"/>
      <c r="DV264" s="75"/>
      <c r="DW264" s="75"/>
      <c r="DX264" s="75"/>
      <c r="DY264" s="75"/>
      <c r="DZ264" s="75"/>
      <c r="EA264" s="75"/>
      <c r="EB264" s="81"/>
      <c r="EC264" s="74"/>
      <c r="ED264" s="75"/>
      <c r="EE264" s="75"/>
      <c r="EF264" s="75"/>
      <c r="EG264" s="75"/>
      <c r="EH264" s="75"/>
      <c r="EI264" s="75"/>
      <c r="EJ264" s="75"/>
      <c r="EK264" s="75"/>
      <c r="EL264" s="75"/>
      <c r="EM264" s="75"/>
      <c r="EN264" s="81"/>
      <c r="EO264" s="74"/>
      <c r="EP264" s="75"/>
      <c r="EQ264" s="75"/>
      <c r="ER264" s="75"/>
      <c r="ES264" s="75"/>
      <c r="ET264" s="75"/>
      <c r="EU264" s="75"/>
      <c r="EV264" s="75"/>
      <c r="EW264" s="75"/>
      <c r="EX264" s="75"/>
      <c r="EY264" s="75"/>
      <c r="EZ264" s="81"/>
      <c r="FA264" s="74"/>
      <c r="FB264" s="75"/>
      <c r="FC264" s="75"/>
      <c r="FD264" s="75"/>
      <c r="FE264" s="75"/>
      <c r="FF264" s="75"/>
      <c r="FG264" s="75"/>
      <c r="FH264" s="75"/>
      <c r="FI264" s="75"/>
      <c r="FJ264" s="75"/>
      <c r="FK264" s="75"/>
      <c r="FL264" s="81"/>
      <c r="FM264" s="74"/>
      <c r="FN264" s="75"/>
      <c r="FO264" s="75"/>
      <c r="FP264" s="75"/>
      <c r="FQ264" s="75"/>
      <c r="FR264" s="75"/>
      <c r="FS264" s="75"/>
      <c r="FT264" s="75"/>
      <c r="FU264" s="75"/>
      <c r="FV264" s="75"/>
      <c r="FW264" s="75"/>
      <c r="FX264" s="81"/>
      <c r="FY264" s="74"/>
      <c r="FZ264" s="75"/>
      <c r="GA264" s="75"/>
      <c r="GB264" s="75"/>
      <c r="GC264" s="75"/>
      <c r="GD264" s="75"/>
      <c r="GE264" s="75"/>
      <c r="GF264" s="75"/>
      <c r="GG264" s="75"/>
      <c r="GH264" s="75"/>
      <c r="GI264" s="75"/>
      <c r="GJ264" s="81"/>
      <c r="GK264" s="74"/>
      <c r="GL264" s="75"/>
      <c r="GM264" s="75"/>
      <c r="GN264" s="75"/>
      <c r="GO264" s="75"/>
      <c r="GP264" s="75"/>
      <c r="GQ264" s="75"/>
      <c r="GR264" s="75"/>
      <c r="GS264" s="75"/>
      <c r="GT264" s="75"/>
      <c r="GU264" s="75"/>
      <c r="GV264" s="81"/>
      <c r="GW264" s="74"/>
      <c r="GX264" s="75"/>
      <c r="GY264" s="75"/>
      <c r="GZ264" s="75"/>
      <c r="HA264" s="75"/>
      <c r="HB264" s="75"/>
      <c r="HC264" s="75"/>
      <c r="HD264" s="75"/>
      <c r="HE264" s="75"/>
      <c r="HF264" s="75"/>
      <c r="HG264" s="75"/>
      <c r="HH264" s="81"/>
      <c r="HI264" s="75"/>
    </row>
    <row r="265" ht="15.0" customHeight="1">
      <c r="A265" s="74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81"/>
      <c r="M265" s="74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81"/>
      <c r="Y265" s="74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81"/>
      <c r="AK265" s="74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81"/>
      <c r="AW265" s="74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81"/>
      <c r="BI265" s="74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81"/>
      <c r="BU265" s="74"/>
      <c r="BV265" s="75"/>
      <c r="BW265" s="75"/>
      <c r="BX265" s="75"/>
      <c r="BY265" s="75"/>
      <c r="BZ265" s="75"/>
      <c r="CA265" s="75"/>
      <c r="CB265" s="75"/>
      <c r="CC265" s="75"/>
      <c r="CD265" s="75"/>
      <c r="CE265" s="75"/>
      <c r="CF265" s="81"/>
      <c r="CG265" s="74"/>
      <c r="CH265" s="75"/>
      <c r="CI265" s="75"/>
      <c r="CJ265" s="75"/>
      <c r="CK265" s="75"/>
      <c r="CL265" s="75"/>
      <c r="CM265" s="75"/>
      <c r="CN265" s="75"/>
      <c r="CO265" s="75"/>
      <c r="CP265" s="75"/>
      <c r="CQ265" s="75"/>
      <c r="CR265" s="81"/>
      <c r="CS265" s="74"/>
      <c r="CT265" s="75"/>
      <c r="CU265" s="75"/>
      <c r="CV265" s="75"/>
      <c r="CW265" s="75"/>
      <c r="CX265" s="75"/>
      <c r="CY265" s="75"/>
      <c r="CZ265" s="75"/>
      <c r="DA265" s="75"/>
      <c r="DB265" s="75"/>
      <c r="DC265" s="75"/>
      <c r="DD265" s="81"/>
      <c r="DE265" s="74"/>
      <c r="DF265" s="75"/>
      <c r="DG265" s="75"/>
      <c r="DH265" s="75"/>
      <c r="DI265" s="75"/>
      <c r="DJ265" s="75"/>
      <c r="DK265" s="75"/>
      <c r="DL265" s="75"/>
      <c r="DM265" s="75"/>
      <c r="DN265" s="75"/>
      <c r="DO265" s="75"/>
      <c r="DP265" s="81"/>
      <c r="DQ265" s="74"/>
      <c r="DR265" s="75"/>
      <c r="DS265" s="75"/>
      <c r="DT265" s="75"/>
      <c r="DU265" s="75"/>
      <c r="DV265" s="75"/>
      <c r="DW265" s="75"/>
      <c r="DX265" s="75"/>
      <c r="DY265" s="75"/>
      <c r="DZ265" s="75"/>
      <c r="EA265" s="75"/>
      <c r="EB265" s="81"/>
      <c r="EC265" s="74"/>
      <c r="ED265" s="75"/>
      <c r="EE265" s="75"/>
      <c r="EF265" s="75"/>
      <c r="EG265" s="75"/>
      <c r="EH265" s="75"/>
      <c r="EI265" s="75"/>
      <c r="EJ265" s="75"/>
      <c r="EK265" s="75"/>
      <c r="EL265" s="75"/>
      <c r="EM265" s="75"/>
      <c r="EN265" s="81"/>
      <c r="EO265" s="74"/>
      <c r="EP265" s="75"/>
      <c r="EQ265" s="75"/>
      <c r="ER265" s="75"/>
      <c r="ES265" s="75"/>
      <c r="ET265" s="75"/>
      <c r="EU265" s="75"/>
      <c r="EV265" s="75"/>
      <c r="EW265" s="75"/>
      <c r="EX265" s="75"/>
      <c r="EY265" s="75"/>
      <c r="EZ265" s="81"/>
      <c r="FA265" s="74"/>
      <c r="FB265" s="75"/>
      <c r="FC265" s="75"/>
      <c r="FD265" s="75"/>
      <c r="FE265" s="75"/>
      <c r="FF265" s="75"/>
      <c r="FG265" s="75"/>
      <c r="FH265" s="75"/>
      <c r="FI265" s="75"/>
      <c r="FJ265" s="75"/>
      <c r="FK265" s="75"/>
      <c r="FL265" s="81"/>
      <c r="FM265" s="74"/>
      <c r="FN265" s="75"/>
      <c r="FO265" s="75"/>
      <c r="FP265" s="75"/>
      <c r="FQ265" s="75"/>
      <c r="FR265" s="75"/>
      <c r="FS265" s="75"/>
      <c r="FT265" s="75"/>
      <c r="FU265" s="75"/>
      <c r="FV265" s="75"/>
      <c r="FW265" s="75"/>
      <c r="FX265" s="81"/>
      <c r="FY265" s="74"/>
      <c r="FZ265" s="75"/>
      <c r="GA265" s="75"/>
      <c r="GB265" s="75"/>
      <c r="GC265" s="75"/>
      <c r="GD265" s="75"/>
      <c r="GE265" s="75"/>
      <c r="GF265" s="75"/>
      <c r="GG265" s="75"/>
      <c r="GH265" s="75"/>
      <c r="GI265" s="75"/>
      <c r="GJ265" s="81"/>
      <c r="GK265" s="74"/>
      <c r="GL265" s="75"/>
      <c r="GM265" s="75"/>
      <c r="GN265" s="75"/>
      <c r="GO265" s="75"/>
      <c r="GP265" s="75"/>
      <c r="GQ265" s="75"/>
      <c r="GR265" s="75"/>
      <c r="GS265" s="75"/>
      <c r="GT265" s="75"/>
      <c r="GU265" s="75"/>
      <c r="GV265" s="81"/>
      <c r="GW265" s="74"/>
      <c r="GX265" s="75"/>
      <c r="GY265" s="75"/>
      <c r="GZ265" s="75"/>
      <c r="HA265" s="75"/>
      <c r="HB265" s="75"/>
      <c r="HC265" s="75"/>
      <c r="HD265" s="75"/>
      <c r="HE265" s="75"/>
      <c r="HF265" s="75"/>
      <c r="HG265" s="75"/>
      <c r="HH265" s="81"/>
      <c r="HI265" s="75"/>
    </row>
    <row r="266" ht="15.0" customHeight="1">
      <c r="A266" s="74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81"/>
      <c r="M266" s="74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81"/>
      <c r="Y266" s="74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81"/>
      <c r="AK266" s="74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81"/>
      <c r="AW266" s="74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81"/>
      <c r="BI266" s="74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81"/>
      <c r="BU266" s="74"/>
      <c r="BV266" s="75"/>
      <c r="BW266" s="75"/>
      <c r="BX266" s="75"/>
      <c r="BY266" s="75"/>
      <c r="BZ266" s="75"/>
      <c r="CA266" s="75"/>
      <c r="CB266" s="75"/>
      <c r="CC266" s="75"/>
      <c r="CD266" s="75"/>
      <c r="CE266" s="75"/>
      <c r="CF266" s="81"/>
      <c r="CG266" s="74"/>
      <c r="CH266" s="75"/>
      <c r="CI266" s="75"/>
      <c r="CJ266" s="75"/>
      <c r="CK266" s="75"/>
      <c r="CL266" s="75"/>
      <c r="CM266" s="75"/>
      <c r="CN266" s="75"/>
      <c r="CO266" s="75"/>
      <c r="CP266" s="75"/>
      <c r="CQ266" s="75"/>
      <c r="CR266" s="81"/>
      <c r="CS266" s="74"/>
      <c r="CT266" s="75"/>
      <c r="CU266" s="75"/>
      <c r="CV266" s="75"/>
      <c r="CW266" s="75"/>
      <c r="CX266" s="75"/>
      <c r="CY266" s="75"/>
      <c r="CZ266" s="75"/>
      <c r="DA266" s="75"/>
      <c r="DB266" s="75"/>
      <c r="DC266" s="75"/>
      <c r="DD266" s="81"/>
      <c r="DE266" s="74"/>
      <c r="DF266" s="75"/>
      <c r="DG266" s="75"/>
      <c r="DH266" s="75"/>
      <c r="DI266" s="75"/>
      <c r="DJ266" s="75"/>
      <c r="DK266" s="75"/>
      <c r="DL266" s="75"/>
      <c r="DM266" s="75"/>
      <c r="DN266" s="75"/>
      <c r="DO266" s="75"/>
      <c r="DP266" s="81"/>
      <c r="DQ266" s="74"/>
      <c r="DR266" s="75"/>
      <c r="DS266" s="75"/>
      <c r="DT266" s="75"/>
      <c r="DU266" s="75"/>
      <c r="DV266" s="75"/>
      <c r="DW266" s="75"/>
      <c r="DX266" s="75"/>
      <c r="DY266" s="75"/>
      <c r="DZ266" s="75"/>
      <c r="EA266" s="75"/>
      <c r="EB266" s="81"/>
      <c r="EC266" s="74"/>
      <c r="ED266" s="75"/>
      <c r="EE266" s="75"/>
      <c r="EF266" s="75"/>
      <c r="EG266" s="75"/>
      <c r="EH266" s="75"/>
      <c r="EI266" s="75"/>
      <c r="EJ266" s="75"/>
      <c r="EK266" s="75"/>
      <c r="EL266" s="75"/>
      <c r="EM266" s="75"/>
      <c r="EN266" s="81"/>
      <c r="EO266" s="74"/>
      <c r="EP266" s="75"/>
      <c r="EQ266" s="75"/>
      <c r="ER266" s="75"/>
      <c r="ES266" s="75"/>
      <c r="ET266" s="75"/>
      <c r="EU266" s="75"/>
      <c r="EV266" s="75"/>
      <c r="EW266" s="75"/>
      <c r="EX266" s="75"/>
      <c r="EY266" s="75"/>
      <c r="EZ266" s="81"/>
      <c r="FA266" s="74"/>
      <c r="FB266" s="75"/>
      <c r="FC266" s="75"/>
      <c r="FD266" s="75"/>
      <c r="FE266" s="75"/>
      <c r="FF266" s="75"/>
      <c r="FG266" s="75"/>
      <c r="FH266" s="75"/>
      <c r="FI266" s="75"/>
      <c r="FJ266" s="75"/>
      <c r="FK266" s="75"/>
      <c r="FL266" s="81"/>
      <c r="FM266" s="74"/>
      <c r="FN266" s="75"/>
      <c r="FO266" s="75"/>
      <c r="FP266" s="75"/>
      <c r="FQ266" s="75"/>
      <c r="FR266" s="75"/>
      <c r="FS266" s="75"/>
      <c r="FT266" s="75"/>
      <c r="FU266" s="75"/>
      <c r="FV266" s="75"/>
      <c r="FW266" s="75"/>
      <c r="FX266" s="81"/>
      <c r="FY266" s="74"/>
      <c r="FZ266" s="75"/>
      <c r="GA266" s="75"/>
      <c r="GB266" s="75"/>
      <c r="GC266" s="75"/>
      <c r="GD266" s="75"/>
      <c r="GE266" s="75"/>
      <c r="GF266" s="75"/>
      <c r="GG266" s="75"/>
      <c r="GH266" s="75"/>
      <c r="GI266" s="75"/>
      <c r="GJ266" s="81"/>
      <c r="GK266" s="74"/>
      <c r="GL266" s="75"/>
      <c r="GM266" s="75"/>
      <c r="GN266" s="75"/>
      <c r="GO266" s="75"/>
      <c r="GP266" s="75"/>
      <c r="GQ266" s="75"/>
      <c r="GR266" s="75"/>
      <c r="GS266" s="75"/>
      <c r="GT266" s="75"/>
      <c r="GU266" s="75"/>
      <c r="GV266" s="81"/>
      <c r="GW266" s="74"/>
      <c r="GX266" s="75"/>
      <c r="GY266" s="75"/>
      <c r="GZ266" s="75"/>
      <c r="HA266" s="75"/>
      <c r="HB266" s="75"/>
      <c r="HC266" s="75"/>
      <c r="HD266" s="75"/>
      <c r="HE266" s="75"/>
      <c r="HF266" s="75"/>
      <c r="HG266" s="75"/>
      <c r="HH266" s="81"/>
      <c r="HI266" s="75"/>
    </row>
    <row r="267" ht="15.0" customHeight="1">
      <c r="A267" s="74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81"/>
      <c r="M267" s="74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81"/>
      <c r="Y267" s="74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81"/>
      <c r="AK267" s="74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81"/>
      <c r="AW267" s="74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81"/>
      <c r="BI267" s="74"/>
      <c r="BJ267" s="75"/>
      <c r="BK267" s="75"/>
      <c r="BL267" s="75"/>
      <c r="BM267" s="75"/>
      <c r="BN267" s="75"/>
      <c r="BO267" s="75"/>
      <c r="BP267" s="75"/>
      <c r="BQ267" s="75"/>
      <c r="BR267" s="75"/>
      <c r="BS267" s="75"/>
      <c r="BT267" s="81"/>
      <c r="BU267" s="74"/>
      <c r="BV267" s="75"/>
      <c r="BW267" s="75"/>
      <c r="BX267" s="75"/>
      <c r="BY267" s="75"/>
      <c r="BZ267" s="75"/>
      <c r="CA267" s="75"/>
      <c r="CB267" s="75"/>
      <c r="CC267" s="75"/>
      <c r="CD267" s="75"/>
      <c r="CE267" s="75"/>
      <c r="CF267" s="81"/>
      <c r="CG267" s="74"/>
      <c r="CH267" s="75"/>
      <c r="CI267" s="75"/>
      <c r="CJ267" s="75"/>
      <c r="CK267" s="75"/>
      <c r="CL267" s="75"/>
      <c r="CM267" s="75"/>
      <c r="CN267" s="75"/>
      <c r="CO267" s="75"/>
      <c r="CP267" s="75"/>
      <c r="CQ267" s="75"/>
      <c r="CR267" s="81"/>
      <c r="CS267" s="74"/>
      <c r="CT267" s="75"/>
      <c r="CU267" s="75"/>
      <c r="CV267" s="75"/>
      <c r="CW267" s="75"/>
      <c r="CX267" s="75"/>
      <c r="CY267" s="75"/>
      <c r="CZ267" s="75"/>
      <c r="DA267" s="75"/>
      <c r="DB267" s="75"/>
      <c r="DC267" s="75"/>
      <c r="DD267" s="81"/>
      <c r="DE267" s="74"/>
      <c r="DF267" s="75"/>
      <c r="DG267" s="75"/>
      <c r="DH267" s="75"/>
      <c r="DI267" s="75"/>
      <c r="DJ267" s="75"/>
      <c r="DK267" s="75"/>
      <c r="DL267" s="75"/>
      <c r="DM267" s="75"/>
      <c r="DN267" s="75"/>
      <c r="DO267" s="75"/>
      <c r="DP267" s="81"/>
      <c r="DQ267" s="74"/>
      <c r="DR267" s="75"/>
      <c r="DS267" s="75"/>
      <c r="DT267" s="75"/>
      <c r="DU267" s="75"/>
      <c r="DV267" s="75"/>
      <c r="DW267" s="75"/>
      <c r="DX267" s="75"/>
      <c r="DY267" s="75"/>
      <c r="DZ267" s="75"/>
      <c r="EA267" s="75"/>
      <c r="EB267" s="81"/>
      <c r="EC267" s="74"/>
      <c r="ED267" s="75"/>
      <c r="EE267" s="75"/>
      <c r="EF267" s="75"/>
      <c r="EG267" s="75"/>
      <c r="EH267" s="75"/>
      <c r="EI267" s="75"/>
      <c r="EJ267" s="75"/>
      <c r="EK267" s="75"/>
      <c r="EL267" s="75"/>
      <c r="EM267" s="75"/>
      <c r="EN267" s="81"/>
      <c r="EO267" s="74"/>
      <c r="EP267" s="75"/>
      <c r="EQ267" s="75"/>
      <c r="ER267" s="75"/>
      <c r="ES267" s="75"/>
      <c r="ET267" s="75"/>
      <c r="EU267" s="75"/>
      <c r="EV267" s="75"/>
      <c r="EW267" s="75"/>
      <c r="EX267" s="75"/>
      <c r="EY267" s="75"/>
      <c r="EZ267" s="81"/>
      <c r="FA267" s="74"/>
      <c r="FB267" s="75"/>
      <c r="FC267" s="75"/>
      <c r="FD267" s="75"/>
      <c r="FE267" s="75"/>
      <c r="FF267" s="75"/>
      <c r="FG267" s="75"/>
      <c r="FH267" s="75"/>
      <c r="FI267" s="75"/>
      <c r="FJ267" s="75"/>
      <c r="FK267" s="75"/>
      <c r="FL267" s="81"/>
      <c r="FM267" s="74"/>
      <c r="FN267" s="75"/>
      <c r="FO267" s="75"/>
      <c r="FP267" s="75"/>
      <c r="FQ267" s="75"/>
      <c r="FR267" s="75"/>
      <c r="FS267" s="75"/>
      <c r="FT267" s="75"/>
      <c r="FU267" s="75"/>
      <c r="FV267" s="75"/>
      <c r="FW267" s="75"/>
      <c r="FX267" s="81"/>
      <c r="FY267" s="74"/>
      <c r="FZ267" s="75"/>
      <c r="GA267" s="75"/>
      <c r="GB267" s="75"/>
      <c r="GC267" s="75"/>
      <c r="GD267" s="75"/>
      <c r="GE267" s="75"/>
      <c r="GF267" s="75"/>
      <c r="GG267" s="75"/>
      <c r="GH267" s="75"/>
      <c r="GI267" s="75"/>
      <c r="GJ267" s="81"/>
      <c r="GK267" s="74"/>
      <c r="GL267" s="75"/>
      <c r="GM267" s="75"/>
      <c r="GN267" s="75"/>
      <c r="GO267" s="75"/>
      <c r="GP267" s="75"/>
      <c r="GQ267" s="75"/>
      <c r="GR267" s="75"/>
      <c r="GS267" s="75"/>
      <c r="GT267" s="75"/>
      <c r="GU267" s="75"/>
      <c r="GV267" s="81"/>
      <c r="GW267" s="74"/>
      <c r="GX267" s="75"/>
      <c r="GY267" s="75"/>
      <c r="GZ267" s="75"/>
      <c r="HA267" s="75"/>
      <c r="HB267" s="75"/>
      <c r="HC267" s="75"/>
      <c r="HD267" s="75"/>
      <c r="HE267" s="75"/>
      <c r="HF267" s="75"/>
      <c r="HG267" s="75"/>
      <c r="HH267" s="81"/>
      <c r="HI267" s="75"/>
    </row>
    <row r="268" ht="15.0" customHeight="1">
      <c r="A268" s="74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81"/>
      <c r="M268" s="74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81"/>
      <c r="Y268" s="74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81"/>
      <c r="AK268" s="74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81"/>
      <c r="AW268" s="74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81"/>
      <c r="BI268" s="74"/>
      <c r="BJ268" s="75"/>
      <c r="BK268" s="75"/>
      <c r="BL268" s="75"/>
      <c r="BM268" s="75"/>
      <c r="BN268" s="75"/>
      <c r="BO268" s="75"/>
      <c r="BP268" s="75"/>
      <c r="BQ268" s="75"/>
      <c r="BR268" s="75"/>
      <c r="BS268" s="75"/>
      <c r="BT268" s="81"/>
      <c r="BU268" s="74"/>
      <c r="BV268" s="75"/>
      <c r="BW268" s="75"/>
      <c r="BX268" s="75"/>
      <c r="BY268" s="75"/>
      <c r="BZ268" s="75"/>
      <c r="CA268" s="75"/>
      <c r="CB268" s="75"/>
      <c r="CC268" s="75"/>
      <c r="CD268" s="75"/>
      <c r="CE268" s="75"/>
      <c r="CF268" s="81"/>
      <c r="CG268" s="74"/>
      <c r="CH268" s="75"/>
      <c r="CI268" s="75"/>
      <c r="CJ268" s="75"/>
      <c r="CK268" s="75"/>
      <c r="CL268" s="75"/>
      <c r="CM268" s="75"/>
      <c r="CN268" s="75"/>
      <c r="CO268" s="75"/>
      <c r="CP268" s="75"/>
      <c r="CQ268" s="75"/>
      <c r="CR268" s="81"/>
      <c r="CS268" s="74"/>
      <c r="CT268" s="75"/>
      <c r="CU268" s="75"/>
      <c r="CV268" s="75"/>
      <c r="CW268" s="75"/>
      <c r="CX268" s="75"/>
      <c r="CY268" s="75"/>
      <c r="CZ268" s="75"/>
      <c r="DA268" s="75"/>
      <c r="DB268" s="75"/>
      <c r="DC268" s="75"/>
      <c r="DD268" s="81"/>
      <c r="DE268" s="74"/>
      <c r="DF268" s="75"/>
      <c r="DG268" s="75"/>
      <c r="DH268" s="75"/>
      <c r="DI268" s="75"/>
      <c r="DJ268" s="75"/>
      <c r="DK268" s="75"/>
      <c r="DL268" s="75"/>
      <c r="DM268" s="75"/>
      <c r="DN268" s="75"/>
      <c r="DO268" s="75"/>
      <c r="DP268" s="81"/>
      <c r="DQ268" s="74"/>
      <c r="DR268" s="75"/>
      <c r="DS268" s="75"/>
      <c r="DT268" s="75"/>
      <c r="DU268" s="75"/>
      <c r="DV268" s="75"/>
      <c r="DW268" s="75"/>
      <c r="DX268" s="75"/>
      <c r="DY268" s="75"/>
      <c r="DZ268" s="75"/>
      <c r="EA268" s="75"/>
      <c r="EB268" s="81"/>
      <c r="EC268" s="74"/>
      <c r="ED268" s="75"/>
      <c r="EE268" s="75"/>
      <c r="EF268" s="75"/>
      <c r="EG268" s="75"/>
      <c r="EH268" s="75"/>
      <c r="EI268" s="75"/>
      <c r="EJ268" s="75"/>
      <c r="EK268" s="75"/>
      <c r="EL268" s="75"/>
      <c r="EM268" s="75"/>
      <c r="EN268" s="81"/>
      <c r="EO268" s="74"/>
      <c r="EP268" s="75"/>
      <c r="EQ268" s="75"/>
      <c r="ER268" s="75"/>
      <c r="ES268" s="75"/>
      <c r="ET268" s="75"/>
      <c r="EU268" s="75"/>
      <c r="EV268" s="75"/>
      <c r="EW268" s="75"/>
      <c r="EX268" s="75"/>
      <c r="EY268" s="75"/>
      <c r="EZ268" s="81"/>
      <c r="FA268" s="74"/>
      <c r="FB268" s="75"/>
      <c r="FC268" s="75"/>
      <c r="FD268" s="75"/>
      <c r="FE268" s="75"/>
      <c r="FF268" s="75"/>
      <c r="FG268" s="75"/>
      <c r="FH268" s="75"/>
      <c r="FI268" s="75"/>
      <c r="FJ268" s="75"/>
      <c r="FK268" s="75"/>
      <c r="FL268" s="81"/>
      <c r="FM268" s="74"/>
      <c r="FN268" s="75"/>
      <c r="FO268" s="75"/>
      <c r="FP268" s="75"/>
      <c r="FQ268" s="75"/>
      <c r="FR268" s="75"/>
      <c r="FS268" s="75"/>
      <c r="FT268" s="75"/>
      <c r="FU268" s="75"/>
      <c r="FV268" s="75"/>
      <c r="FW268" s="75"/>
      <c r="FX268" s="81"/>
      <c r="FY268" s="74"/>
      <c r="FZ268" s="75"/>
      <c r="GA268" s="75"/>
      <c r="GB268" s="75"/>
      <c r="GC268" s="75"/>
      <c r="GD268" s="75"/>
      <c r="GE268" s="75"/>
      <c r="GF268" s="75"/>
      <c r="GG268" s="75"/>
      <c r="GH268" s="75"/>
      <c r="GI268" s="75"/>
      <c r="GJ268" s="81"/>
      <c r="GK268" s="74"/>
      <c r="GL268" s="75"/>
      <c r="GM268" s="75"/>
      <c r="GN268" s="75"/>
      <c r="GO268" s="75"/>
      <c r="GP268" s="75"/>
      <c r="GQ268" s="75"/>
      <c r="GR268" s="75"/>
      <c r="GS268" s="75"/>
      <c r="GT268" s="75"/>
      <c r="GU268" s="75"/>
      <c r="GV268" s="81"/>
      <c r="GW268" s="74"/>
      <c r="GX268" s="75"/>
      <c r="GY268" s="75"/>
      <c r="GZ268" s="75"/>
      <c r="HA268" s="75"/>
      <c r="HB268" s="75"/>
      <c r="HC268" s="75"/>
      <c r="HD268" s="75"/>
      <c r="HE268" s="75"/>
      <c r="HF268" s="75"/>
      <c r="HG268" s="75"/>
      <c r="HH268" s="81"/>
      <c r="HI268" s="75"/>
    </row>
    <row r="269" ht="15.0" customHeight="1">
      <c r="A269" s="74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81"/>
      <c r="M269" s="74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81"/>
      <c r="Y269" s="74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81"/>
      <c r="AK269" s="74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81"/>
      <c r="AW269" s="74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81"/>
      <c r="BI269" s="74"/>
      <c r="BJ269" s="75"/>
      <c r="BK269" s="75"/>
      <c r="BL269" s="75"/>
      <c r="BM269" s="75"/>
      <c r="BN269" s="75"/>
      <c r="BO269" s="75"/>
      <c r="BP269" s="75"/>
      <c r="BQ269" s="75"/>
      <c r="BR269" s="75"/>
      <c r="BS269" s="75"/>
      <c r="BT269" s="81"/>
      <c r="BU269" s="74"/>
      <c r="BV269" s="75"/>
      <c r="BW269" s="75"/>
      <c r="BX269" s="75"/>
      <c r="BY269" s="75"/>
      <c r="BZ269" s="75"/>
      <c r="CA269" s="75"/>
      <c r="CB269" s="75"/>
      <c r="CC269" s="75"/>
      <c r="CD269" s="75"/>
      <c r="CE269" s="75"/>
      <c r="CF269" s="81"/>
      <c r="CG269" s="74"/>
      <c r="CH269" s="75"/>
      <c r="CI269" s="75"/>
      <c r="CJ269" s="75"/>
      <c r="CK269" s="75"/>
      <c r="CL269" s="75"/>
      <c r="CM269" s="75"/>
      <c r="CN269" s="75"/>
      <c r="CO269" s="75"/>
      <c r="CP269" s="75"/>
      <c r="CQ269" s="75"/>
      <c r="CR269" s="81"/>
      <c r="CS269" s="74"/>
      <c r="CT269" s="75"/>
      <c r="CU269" s="75"/>
      <c r="CV269" s="75"/>
      <c r="CW269" s="75"/>
      <c r="CX269" s="75"/>
      <c r="CY269" s="75"/>
      <c r="CZ269" s="75"/>
      <c r="DA269" s="75"/>
      <c r="DB269" s="75"/>
      <c r="DC269" s="75"/>
      <c r="DD269" s="81"/>
      <c r="DE269" s="74"/>
      <c r="DF269" s="75"/>
      <c r="DG269" s="75"/>
      <c r="DH269" s="75"/>
      <c r="DI269" s="75"/>
      <c r="DJ269" s="75"/>
      <c r="DK269" s="75"/>
      <c r="DL269" s="75"/>
      <c r="DM269" s="75"/>
      <c r="DN269" s="75"/>
      <c r="DO269" s="75"/>
      <c r="DP269" s="81"/>
      <c r="DQ269" s="74"/>
      <c r="DR269" s="75"/>
      <c r="DS269" s="75"/>
      <c r="DT269" s="75"/>
      <c r="DU269" s="75"/>
      <c r="DV269" s="75"/>
      <c r="DW269" s="75"/>
      <c r="DX269" s="75"/>
      <c r="DY269" s="75"/>
      <c r="DZ269" s="75"/>
      <c r="EA269" s="75"/>
      <c r="EB269" s="81"/>
      <c r="EC269" s="74"/>
      <c r="ED269" s="75"/>
      <c r="EE269" s="75"/>
      <c r="EF269" s="75"/>
      <c r="EG269" s="75"/>
      <c r="EH269" s="75"/>
      <c r="EI269" s="75"/>
      <c r="EJ269" s="75"/>
      <c r="EK269" s="75"/>
      <c r="EL269" s="75"/>
      <c r="EM269" s="75"/>
      <c r="EN269" s="81"/>
      <c r="EO269" s="74"/>
      <c r="EP269" s="75"/>
      <c r="EQ269" s="75"/>
      <c r="ER269" s="75"/>
      <c r="ES269" s="75"/>
      <c r="ET269" s="75"/>
      <c r="EU269" s="75"/>
      <c r="EV269" s="75"/>
      <c r="EW269" s="75"/>
      <c r="EX269" s="75"/>
      <c r="EY269" s="75"/>
      <c r="EZ269" s="81"/>
      <c r="FA269" s="74"/>
      <c r="FB269" s="75"/>
      <c r="FC269" s="75"/>
      <c r="FD269" s="75"/>
      <c r="FE269" s="75"/>
      <c r="FF269" s="75"/>
      <c r="FG269" s="75"/>
      <c r="FH269" s="75"/>
      <c r="FI269" s="75"/>
      <c r="FJ269" s="75"/>
      <c r="FK269" s="75"/>
      <c r="FL269" s="81"/>
      <c r="FM269" s="74"/>
      <c r="FN269" s="75"/>
      <c r="FO269" s="75"/>
      <c r="FP269" s="75"/>
      <c r="FQ269" s="75"/>
      <c r="FR269" s="75"/>
      <c r="FS269" s="75"/>
      <c r="FT269" s="75"/>
      <c r="FU269" s="75"/>
      <c r="FV269" s="75"/>
      <c r="FW269" s="75"/>
      <c r="FX269" s="81"/>
      <c r="FY269" s="74"/>
      <c r="FZ269" s="75"/>
      <c r="GA269" s="75"/>
      <c r="GB269" s="75"/>
      <c r="GC269" s="75"/>
      <c r="GD269" s="75"/>
      <c r="GE269" s="75"/>
      <c r="GF269" s="75"/>
      <c r="GG269" s="75"/>
      <c r="GH269" s="75"/>
      <c r="GI269" s="75"/>
      <c r="GJ269" s="81"/>
      <c r="GK269" s="74"/>
      <c r="GL269" s="75"/>
      <c r="GM269" s="75"/>
      <c r="GN269" s="75"/>
      <c r="GO269" s="75"/>
      <c r="GP269" s="75"/>
      <c r="GQ269" s="75"/>
      <c r="GR269" s="75"/>
      <c r="GS269" s="75"/>
      <c r="GT269" s="75"/>
      <c r="GU269" s="75"/>
      <c r="GV269" s="81"/>
      <c r="GW269" s="74"/>
      <c r="GX269" s="75"/>
      <c r="GY269" s="75"/>
      <c r="GZ269" s="75"/>
      <c r="HA269" s="75"/>
      <c r="HB269" s="75"/>
      <c r="HC269" s="75"/>
      <c r="HD269" s="75"/>
      <c r="HE269" s="75"/>
      <c r="HF269" s="75"/>
      <c r="HG269" s="75"/>
      <c r="HH269" s="81"/>
      <c r="HI269" s="75"/>
    </row>
    <row r="270" ht="15.0" customHeight="1">
      <c r="A270" s="74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81"/>
      <c r="M270" s="74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81"/>
      <c r="Y270" s="74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81"/>
      <c r="AK270" s="74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81"/>
      <c r="AW270" s="74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81"/>
      <c r="BI270" s="74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81"/>
      <c r="BU270" s="74"/>
      <c r="BV270" s="75"/>
      <c r="BW270" s="75"/>
      <c r="BX270" s="75"/>
      <c r="BY270" s="75"/>
      <c r="BZ270" s="75"/>
      <c r="CA270" s="75"/>
      <c r="CB270" s="75"/>
      <c r="CC270" s="75"/>
      <c r="CD270" s="75"/>
      <c r="CE270" s="75"/>
      <c r="CF270" s="81"/>
      <c r="CG270" s="74"/>
      <c r="CH270" s="75"/>
      <c r="CI270" s="75"/>
      <c r="CJ270" s="75"/>
      <c r="CK270" s="75"/>
      <c r="CL270" s="75"/>
      <c r="CM270" s="75"/>
      <c r="CN270" s="75"/>
      <c r="CO270" s="75"/>
      <c r="CP270" s="75"/>
      <c r="CQ270" s="75"/>
      <c r="CR270" s="81"/>
      <c r="CS270" s="74"/>
      <c r="CT270" s="75"/>
      <c r="CU270" s="75"/>
      <c r="CV270" s="75"/>
      <c r="CW270" s="75"/>
      <c r="CX270" s="75"/>
      <c r="CY270" s="75"/>
      <c r="CZ270" s="75"/>
      <c r="DA270" s="75"/>
      <c r="DB270" s="75"/>
      <c r="DC270" s="75"/>
      <c r="DD270" s="81"/>
      <c r="DE270" s="74"/>
      <c r="DF270" s="75"/>
      <c r="DG270" s="75"/>
      <c r="DH270" s="75"/>
      <c r="DI270" s="75"/>
      <c r="DJ270" s="75"/>
      <c r="DK270" s="75"/>
      <c r="DL270" s="75"/>
      <c r="DM270" s="75"/>
      <c r="DN270" s="75"/>
      <c r="DO270" s="75"/>
      <c r="DP270" s="81"/>
      <c r="DQ270" s="74"/>
      <c r="DR270" s="75"/>
      <c r="DS270" s="75"/>
      <c r="DT270" s="75"/>
      <c r="DU270" s="75"/>
      <c r="DV270" s="75"/>
      <c r="DW270" s="75"/>
      <c r="DX270" s="75"/>
      <c r="DY270" s="75"/>
      <c r="DZ270" s="75"/>
      <c r="EA270" s="75"/>
      <c r="EB270" s="81"/>
      <c r="EC270" s="74"/>
      <c r="ED270" s="75"/>
      <c r="EE270" s="75"/>
      <c r="EF270" s="75"/>
      <c r="EG270" s="75"/>
      <c r="EH270" s="75"/>
      <c r="EI270" s="75"/>
      <c r="EJ270" s="75"/>
      <c r="EK270" s="75"/>
      <c r="EL270" s="75"/>
      <c r="EM270" s="75"/>
      <c r="EN270" s="81"/>
      <c r="EO270" s="74"/>
      <c r="EP270" s="75"/>
      <c r="EQ270" s="75"/>
      <c r="ER270" s="75"/>
      <c r="ES270" s="75"/>
      <c r="ET270" s="75"/>
      <c r="EU270" s="75"/>
      <c r="EV270" s="75"/>
      <c r="EW270" s="75"/>
      <c r="EX270" s="75"/>
      <c r="EY270" s="75"/>
      <c r="EZ270" s="81"/>
      <c r="FA270" s="74"/>
      <c r="FB270" s="75"/>
      <c r="FC270" s="75"/>
      <c r="FD270" s="75"/>
      <c r="FE270" s="75"/>
      <c r="FF270" s="75"/>
      <c r="FG270" s="75"/>
      <c r="FH270" s="75"/>
      <c r="FI270" s="75"/>
      <c r="FJ270" s="75"/>
      <c r="FK270" s="75"/>
      <c r="FL270" s="81"/>
      <c r="FM270" s="74"/>
      <c r="FN270" s="75"/>
      <c r="FO270" s="75"/>
      <c r="FP270" s="75"/>
      <c r="FQ270" s="75"/>
      <c r="FR270" s="75"/>
      <c r="FS270" s="75"/>
      <c r="FT270" s="75"/>
      <c r="FU270" s="75"/>
      <c r="FV270" s="75"/>
      <c r="FW270" s="75"/>
      <c r="FX270" s="81"/>
      <c r="FY270" s="74"/>
      <c r="FZ270" s="75"/>
      <c r="GA270" s="75"/>
      <c r="GB270" s="75"/>
      <c r="GC270" s="75"/>
      <c r="GD270" s="75"/>
      <c r="GE270" s="75"/>
      <c r="GF270" s="75"/>
      <c r="GG270" s="75"/>
      <c r="GH270" s="75"/>
      <c r="GI270" s="75"/>
      <c r="GJ270" s="81"/>
      <c r="GK270" s="74"/>
      <c r="GL270" s="75"/>
      <c r="GM270" s="75"/>
      <c r="GN270" s="75"/>
      <c r="GO270" s="75"/>
      <c r="GP270" s="75"/>
      <c r="GQ270" s="75"/>
      <c r="GR270" s="75"/>
      <c r="GS270" s="75"/>
      <c r="GT270" s="75"/>
      <c r="GU270" s="75"/>
      <c r="GV270" s="81"/>
      <c r="GW270" s="74"/>
      <c r="GX270" s="75"/>
      <c r="GY270" s="75"/>
      <c r="GZ270" s="75"/>
      <c r="HA270" s="75"/>
      <c r="HB270" s="75"/>
      <c r="HC270" s="75"/>
      <c r="HD270" s="75"/>
      <c r="HE270" s="75"/>
      <c r="HF270" s="75"/>
      <c r="HG270" s="75"/>
      <c r="HH270" s="81"/>
      <c r="HI270" s="75"/>
    </row>
    <row r="271" ht="15.0" customHeight="1">
      <c r="A271" s="74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81"/>
      <c r="M271" s="74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81"/>
      <c r="Y271" s="74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81"/>
      <c r="AK271" s="74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81"/>
      <c r="AW271" s="74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81"/>
      <c r="BI271" s="74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81"/>
      <c r="BU271" s="74"/>
      <c r="BV271" s="75"/>
      <c r="BW271" s="75"/>
      <c r="BX271" s="75"/>
      <c r="BY271" s="75"/>
      <c r="BZ271" s="75"/>
      <c r="CA271" s="75"/>
      <c r="CB271" s="75"/>
      <c r="CC271" s="75"/>
      <c r="CD271" s="75"/>
      <c r="CE271" s="75"/>
      <c r="CF271" s="81"/>
      <c r="CG271" s="74"/>
      <c r="CH271" s="75"/>
      <c r="CI271" s="75"/>
      <c r="CJ271" s="75"/>
      <c r="CK271" s="75"/>
      <c r="CL271" s="75"/>
      <c r="CM271" s="75"/>
      <c r="CN271" s="75"/>
      <c r="CO271" s="75"/>
      <c r="CP271" s="75"/>
      <c r="CQ271" s="75"/>
      <c r="CR271" s="81"/>
      <c r="CS271" s="74"/>
      <c r="CT271" s="75"/>
      <c r="CU271" s="75"/>
      <c r="CV271" s="75"/>
      <c r="CW271" s="75"/>
      <c r="CX271" s="75"/>
      <c r="CY271" s="75"/>
      <c r="CZ271" s="75"/>
      <c r="DA271" s="75"/>
      <c r="DB271" s="75"/>
      <c r="DC271" s="75"/>
      <c r="DD271" s="81"/>
      <c r="DE271" s="74"/>
      <c r="DF271" s="75"/>
      <c r="DG271" s="75"/>
      <c r="DH271" s="75"/>
      <c r="DI271" s="75"/>
      <c r="DJ271" s="75"/>
      <c r="DK271" s="75"/>
      <c r="DL271" s="75"/>
      <c r="DM271" s="75"/>
      <c r="DN271" s="75"/>
      <c r="DO271" s="75"/>
      <c r="DP271" s="81"/>
      <c r="DQ271" s="74"/>
      <c r="DR271" s="75"/>
      <c r="DS271" s="75"/>
      <c r="DT271" s="75"/>
      <c r="DU271" s="75"/>
      <c r="DV271" s="75"/>
      <c r="DW271" s="75"/>
      <c r="DX271" s="75"/>
      <c r="DY271" s="75"/>
      <c r="DZ271" s="75"/>
      <c r="EA271" s="75"/>
      <c r="EB271" s="81"/>
      <c r="EC271" s="74"/>
      <c r="ED271" s="75"/>
      <c r="EE271" s="75"/>
      <c r="EF271" s="75"/>
      <c r="EG271" s="75"/>
      <c r="EH271" s="75"/>
      <c r="EI271" s="75"/>
      <c r="EJ271" s="75"/>
      <c r="EK271" s="75"/>
      <c r="EL271" s="75"/>
      <c r="EM271" s="75"/>
      <c r="EN271" s="81"/>
      <c r="EO271" s="74"/>
      <c r="EP271" s="75"/>
      <c r="EQ271" s="75"/>
      <c r="ER271" s="75"/>
      <c r="ES271" s="75"/>
      <c r="ET271" s="75"/>
      <c r="EU271" s="75"/>
      <c r="EV271" s="75"/>
      <c r="EW271" s="75"/>
      <c r="EX271" s="75"/>
      <c r="EY271" s="75"/>
      <c r="EZ271" s="81"/>
      <c r="FA271" s="74"/>
      <c r="FB271" s="75"/>
      <c r="FC271" s="75"/>
      <c r="FD271" s="75"/>
      <c r="FE271" s="75"/>
      <c r="FF271" s="75"/>
      <c r="FG271" s="75"/>
      <c r="FH271" s="75"/>
      <c r="FI271" s="75"/>
      <c r="FJ271" s="75"/>
      <c r="FK271" s="75"/>
      <c r="FL271" s="81"/>
      <c r="FM271" s="74"/>
      <c r="FN271" s="75"/>
      <c r="FO271" s="75"/>
      <c r="FP271" s="75"/>
      <c r="FQ271" s="75"/>
      <c r="FR271" s="75"/>
      <c r="FS271" s="75"/>
      <c r="FT271" s="75"/>
      <c r="FU271" s="75"/>
      <c r="FV271" s="75"/>
      <c r="FW271" s="75"/>
      <c r="FX271" s="81"/>
      <c r="FY271" s="74"/>
      <c r="FZ271" s="75"/>
      <c r="GA271" s="75"/>
      <c r="GB271" s="75"/>
      <c r="GC271" s="75"/>
      <c r="GD271" s="75"/>
      <c r="GE271" s="75"/>
      <c r="GF271" s="75"/>
      <c r="GG271" s="75"/>
      <c r="GH271" s="75"/>
      <c r="GI271" s="75"/>
      <c r="GJ271" s="81"/>
      <c r="GK271" s="74"/>
      <c r="GL271" s="75"/>
      <c r="GM271" s="75"/>
      <c r="GN271" s="75"/>
      <c r="GO271" s="75"/>
      <c r="GP271" s="75"/>
      <c r="GQ271" s="75"/>
      <c r="GR271" s="75"/>
      <c r="GS271" s="75"/>
      <c r="GT271" s="75"/>
      <c r="GU271" s="75"/>
      <c r="GV271" s="81"/>
      <c r="GW271" s="74"/>
      <c r="GX271" s="75"/>
      <c r="GY271" s="75"/>
      <c r="GZ271" s="75"/>
      <c r="HA271" s="75"/>
      <c r="HB271" s="75"/>
      <c r="HC271" s="75"/>
      <c r="HD271" s="75"/>
      <c r="HE271" s="75"/>
      <c r="HF271" s="75"/>
      <c r="HG271" s="75"/>
      <c r="HH271" s="81"/>
      <c r="HI271" s="75"/>
    </row>
    <row r="272" ht="15.0" customHeight="1">
      <c r="A272" s="74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81"/>
      <c r="M272" s="74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81"/>
      <c r="Y272" s="74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81"/>
      <c r="AK272" s="74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81"/>
      <c r="AW272" s="74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81"/>
      <c r="BI272" s="74"/>
      <c r="BJ272" s="75"/>
      <c r="BK272" s="75"/>
      <c r="BL272" s="75"/>
      <c r="BM272" s="75"/>
      <c r="BN272" s="75"/>
      <c r="BO272" s="75"/>
      <c r="BP272" s="75"/>
      <c r="BQ272" s="75"/>
      <c r="BR272" s="75"/>
      <c r="BS272" s="75"/>
      <c r="BT272" s="81"/>
      <c r="BU272" s="74"/>
      <c r="BV272" s="75"/>
      <c r="BW272" s="75"/>
      <c r="BX272" s="75"/>
      <c r="BY272" s="75"/>
      <c r="BZ272" s="75"/>
      <c r="CA272" s="75"/>
      <c r="CB272" s="75"/>
      <c r="CC272" s="75"/>
      <c r="CD272" s="75"/>
      <c r="CE272" s="75"/>
      <c r="CF272" s="81"/>
      <c r="CG272" s="74"/>
      <c r="CH272" s="75"/>
      <c r="CI272" s="75"/>
      <c r="CJ272" s="75"/>
      <c r="CK272" s="75"/>
      <c r="CL272" s="75"/>
      <c r="CM272" s="75"/>
      <c r="CN272" s="75"/>
      <c r="CO272" s="75"/>
      <c r="CP272" s="75"/>
      <c r="CQ272" s="75"/>
      <c r="CR272" s="81"/>
      <c r="CS272" s="74"/>
      <c r="CT272" s="75"/>
      <c r="CU272" s="75"/>
      <c r="CV272" s="75"/>
      <c r="CW272" s="75"/>
      <c r="CX272" s="75"/>
      <c r="CY272" s="75"/>
      <c r="CZ272" s="75"/>
      <c r="DA272" s="75"/>
      <c r="DB272" s="75"/>
      <c r="DC272" s="75"/>
      <c r="DD272" s="81"/>
      <c r="DE272" s="74"/>
      <c r="DF272" s="75"/>
      <c r="DG272" s="75"/>
      <c r="DH272" s="75"/>
      <c r="DI272" s="75"/>
      <c r="DJ272" s="75"/>
      <c r="DK272" s="75"/>
      <c r="DL272" s="75"/>
      <c r="DM272" s="75"/>
      <c r="DN272" s="75"/>
      <c r="DO272" s="75"/>
      <c r="DP272" s="81"/>
      <c r="DQ272" s="74"/>
      <c r="DR272" s="75"/>
      <c r="DS272" s="75"/>
      <c r="DT272" s="75"/>
      <c r="DU272" s="75"/>
      <c r="DV272" s="75"/>
      <c r="DW272" s="75"/>
      <c r="DX272" s="75"/>
      <c r="DY272" s="75"/>
      <c r="DZ272" s="75"/>
      <c r="EA272" s="75"/>
      <c r="EB272" s="81"/>
      <c r="EC272" s="74"/>
      <c r="ED272" s="75"/>
      <c r="EE272" s="75"/>
      <c r="EF272" s="75"/>
      <c r="EG272" s="75"/>
      <c r="EH272" s="75"/>
      <c r="EI272" s="75"/>
      <c r="EJ272" s="75"/>
      <c r="EK272" s="75"/>
      <c r="EL272" s="75"/>
      <c r="EM272" s="75"/>
      <c r="EN272" s="81"/>
      <c r="EO272" s="74"/>
      <c r="EP272" s="75"/>
      <c r="EQ272" s="75"/>
      <c r="ER272" s="75"/>
      <c r="ES272" s="75"/>
      <c r="ET272" s="75"/>
      <c r="EU272" s="75"/>
      <c r="EV272" s="75"/>
      <c r="EW272" s="75"/>
      <c r="EX272" s="75"/>
      <c r="EY272" s="75"/>
      <c r="EZ272" s="81"/>
      <c r="FA272" s="74"/>
      <c r="FB272" s="75"/>
      <c r="FC272" s="75"/>
      <c r="FD272" s="75"/>
      <c r="FE272" s="75"/>
      <c r="FF272" s="75"/>
      <c r="FG272" s="75"/>
      <c r="FH272" s="75"/>
      <c r="FI272" s="75"/>
      <c r="FJ272" s="75"/>
      <c r="FK272" s="75"/>
      <c r="FL272" s="81"/>
      <c r="FM272" s="74"/>
      <c r="FN272" s="75"/>
      <c r="FO272" s="75"/>
      <c r="FP272" s="75"/>
      <c r="FQ272" s="75"/>
      <c r="FR272" s="75"/>
      <c r="FS272" s="75"/>
      <c r="FT272" s="75"/>
      <c r="FU272" s="75"/>
      <c r="FV272" s="75"/>
      <c r="FW272" s="75"/>
      <c r="FX272" s="81"/>
      <c r="FY272" s="74"/>
      <c r="FZ272" s="75"/>
      <c r="GA272" s="75"/>
      <c r="GB272" s="75"/>
      <c r="GC272" s="75"/>
      <c r="GD272" s="75"/>
      <c r="GE272" s="75"/>
      <c r="GF272" s="75"/>
      <c r="GG272" s="75"/>
      <c r="GH272" s="75"/>
      <c r="GI272" s="75"/>
      <c r="GJ272" s="81"/>
      <c r="GK272" s="74"/>
      <c r="GL272" s="75"/>
      <c r="GM272" s="75"/>
      <c r="GN272" s="75"/>
      <c r="GO272" s="75"/>
      <c r="GP272" s="75"/>
      <c r="GQ272" s="75"/>
      <c r="GR272" s="75"/>
      <c r="GS272" s="75"/>
      <c r="GT272" s="75"/>
      <c r="GU272" s="75"/>
      <c r="GV272" s="81"/>
      <c r="GW272" s="74"/>
      <c r="GX272" s="75"/>
      <c r="GY272" s="75"/>
      <c r="GZ272" s="75"/>
      <c r="HA272" s="75"/>
      <c r="HB272" s="75"/>
      <c r="HC272" s="75"/>
      <c r="HD272" s="75"/>
      <c r="HE272" s="75"/>
      <c r="HF272" s="75"/>
      <c r="HG272" s="75"/>
      <c r="HH272" s="81"/>
      <c r="HI272" s="75"/>
    </row>
    <row r="273" ht="15.0" customHeight="1">
      <c r="A273" s="74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81"/>
      <c r="M273" s="74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81"/>
      <c r="Y273" s="74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81"/>
      <c r="AK273" s="74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81"/>
      <c r="AW273" s="74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81"/>
      <c r="BI273" s="74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81"/>
      <c r="BU273" s="74"/>
      <c r="BV273" s="75"/>
      <c r="BW273" s="75"/>
      <c r="BX273" s="75"/>
      <c r="BY273" s="75"/>
      <c r="BZ273" s="75"/>
      <c r="CA273" s="75"/>
      <c r="CB273" s="75"/>
      <c r="CC273" s="75"/>
      <c r="CD273" s="75"/>
      <c r="CE273" s="75"/>
      <c r="CF273" s="81"/>
      <c r="CG273" s="74"/>
      <c r="CH273" s="75"/>
      <c r="CI273" s="75"/>
      <c r="CJ273" s="75"/>
      <c r="CK273" s="75"/>
      <c r="CL273" s="75"/>
      <c r="CM273" s="75"/>
      <c r="CN273" s="75"/>
      <c r="CO273" s="75"/>
      <c r="CP273" s="75"/>
      <c r="CQ273" s="75"/>
      <c r="CR273" s="81"/>
      <c r="CS273" s="74"/>
      <c r="CT273" s="75"/>
      <c r="CU273" s="75"/>
      <c r="CV273" s="75"/>
      <c r="CW273" s="75"/>
      <c r="CX273" s="75"/>
      <c r="CY273" s="75"/>
      <c r="CZ273" s="75"/>
      <c r="DA273" s="75"/>
      <c r="DB273" s="75"/>
      <c r="DC273" s="75"/>
      <c r="DD273" s="81"/>
      <c r="DE273" s="74"/>
      <c r="DF273" s="75"/>
      <c r="DG273" s="75"/>
      <c r="DH273" s="75"/>
      <c r="DI273" s="75"/>
      <c r="DJ273" s="75"/>
      <c r="DK273" s="75"/>
      <c r="DL273" s="75"/>
      <c r="DM273" s="75"/>
      <c r="DN273" s="75"/>
      <c r="DO273" s="75"/>
      <c r="DP273" s="81"/>
      <c r="DQ273" s="74"/>
      <c r="DR273" s="75"/>
      <c r="DS273" s="75"/>
      <c r="DT273" s="75"/>
      <c r="DU273" s="75"/>
      <c r="DV273" s="75"/>
      <c r="DW273" s="75"/>
      <c r="DX273" s="75"/>
      <c r="DY273" s="75"/>
      <c r="DZ273" s="75"/>
      <c r="EA273" s="75"/>
      <c r="EB273" s="81"/>
      <c r="EC273" s="74"/>
      <c r="ED273" s="75"/>
      <c r="EE273" s="75"/>
      <c r="EF273" s="75"/>
      <c r="EG273" s="75"/>
      <c r="EH273" s="75"/>
      <c r="EI273" s="75"/>
      <c r="EJ273" s="75"/>
      <c r="EK273" s="75"/>
      <c r="EL273" s="75"/>
      <c r="EM273" s="75"/>
      <c r="EN273" s="81"/>
      <c r="EO273" s="74"/>
      <c r="EP273" s="75"/>
      <c r="EQ273" s="75"/>
      <c r="ER273" s="75"/>
      <c r="ES273" s="75"/>
      <c r="ET273" s="75"/>
      <c r="EU273" s="75"/>
      <c r="EV273" s="75"/>
      <c r="EW273" s="75"/>
      <c r="EX273" s="75"/>
      <c r="EY273" s="75"/>
      <c r="EZ273" s="81"/>
      <c r="FA273" s="74"/>
      <c r="FB273" s="75"/>
      <c r="FC273" s="75"/>
      <c r="FD273" s="75"/>
      <c r="FE273" s="75"/>
      <c r="FF273" s="75"/>
      <c r="FG273" s="75"/>
      <c r="FH273" s="75"/>
      <c r="FI273" s="75"/>
      <c r="FJ273" s="75"/>
      <c r="FK273" s="75"/>
      <c r="FL273" s="81"/>
      <c r="FM273" s="74"/>
      <c r="FN273" s="75"/>
      <c r="FO273" s="75"/>
      <c r="FP273" s="75"/>
      <c r="FQ273" s="75"/>
      <c r="FR273" s="75"/>
      <c r="FS273" s="75"/>
      <c r="FT273" s="75"/>
      <c r="FU273" s="75"/>
      <c r="FV273" s="75"/>
      <c r="FW273" s="75"/>
      <c r="FX273" s="81"/>
      <c r="FY273" s="74"/>
      <c r="FZ273" s="75"/>
      <c r="GA273" s="75"/>
      <c r="GB273" s="75"/>
      <c r="GC273" s="75"/>
      <c r="GD273" s="75"/>
      <c r="GE273" s="75"/>
      <c r="GF273" s="75"/>
      <c r="GG273" s="75"/>
      <c r="GH273" s="75"/>
      <c r="GI273" s="75"/>
      <c r="GJ273" s="81"/>
      <c r="GK273" s="74"/>
      <c r="GL273" s="75"/>
      <c r="GM273" s="75"/>
      <c r="GN273" s="75"/>
      <c r="GO273" s="75"/>
      <c r="GP273" s="75"/>
      <c r="GQ273" s="75"/>
      <c r="GR273" s="75"/>
      <c r="GS273" s="75"/>
      <c r="GT273" s="75"/>
      <c r="GU273" s="75"/>
      <c r="GV273" s="81"/>
      <c r="GW273" s="74"/>
      <c r="GX273" s="75"/>
      <c r="GY273" s="75"/>
      <c r="GZ273" s="75"/>
      <c r="HA273" s="75"/>
      <c r="HB273" s="75"/>
      <c r="HC273" s="75"/>
      <c r="HD273" s="75"/>
      <c r="HE273" s="75"/>
      <c r="HF273" s="75"/>
      <c r="HG273" s="75"/>
      <c r="HH273" s="81"/>
      <c r="HI273" s="75"/>
    </row>
    <row r="274" ht="15.0" customHeight="1">
      <c r="A274" s="74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81"/>
      <c r="M274" s="74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81"/>
      <c r="Y274" s="74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81"/>
      <c r="AK274" s="74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81"/>
      <c r="AW274" s="74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81"/>
      <c r="BI274" s="74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81"/>
      <c r="BU274" s="74"/>
      <c r="BV274" s="75"/>
      <c r="BW274" s="75"/>
      <c r="BX274" s="75"/>
      <c r="BY274" s="75"/>
      <c r="BZ274" s="75"/>
      <c r="CA274" s="75"/>
      <c r="CB274" s="75"/>
      <c r="CC274" s="75"/>
      <c r="CD274" s="75"/>
      <c r="CE274" s="75"/>
      <c r="CF274" s="81"/>
      <c r="CG274" s="74"/>
      <c r="CH274" s="75"/>
      <c r="CI274" s="75"/>
      <c r="CJ274" s="75"/>
      <c r="CK274" s="75"/>
      <c r="CL274" s="75"/>
      <c r="CM274" s="75"/>
      <c r="CN274" s="75"/>
      <c r="CO274" s="75"/>
      <c r="CP274" s="75"/>
      <c r="CQ274" s="75"/>
      <c r="CR274" s="81"/>
      <c r="CS274" s="74"/>
      <c r="CT274" s="75"/>
      <c r="CU274" s="75"/>
      <c r="CV274" s="75"/>
      <c r="CW274" s="75"/>
      <c r="CX274" s="75"/>
      <c r="CY274" s="75"/>
      <c r="CZ274" s="75"/>
      <c r="DA274" s="75"/>
      <c r="DB274" s="75"/>
      <c r="DC274" s="75"/>
      <c r="DD274" s="81"/>
      <c r="DE274" s="74"/>
      <c r="DF274" s="75"/>
      <c r="DG274" s="75"/>
      <c r="DH274" s="75"/>
      <c r="DI274" s="75"/>
      <c r="DJ274" s="75"/>
      <c r="DK274" s="75"/>
      <c r="DL274" s="75"/>
      <c r="DM274" s="75"/>
      <c r="DN274" s="75"/>
      <c r="DO274" s="75"/>
      <c r="DP274" s="81"/>
      <c r="DQ274" s="74"/>
      <c r="DR274" s="75"/>
      <c r="DS274" s="75"/>
      <c r="DT274" s="75"/>
      <c r="DU274" s="75"/>
      <c r="DV274" s="75"/>
      <c r="DW274" s="75"/>
      <c r="DX274" s="75"/>
      <c r="DY274" s="75"/>
      <c r="DZ274" s="75"/>
      <c r="EA274" s="75"/>
      <c r="EB274" s="81"/>
      <c r="EC274" s="74"/>
      <c r="ED274" s="75"/>
      <c r="EE274" s="75"/>
      <c r="EF274" s="75"/>
      <c r="EG274" s="75"/>
      <c r="EH274" s="75"/>
      <c r="EI274" s="75"/>
      <c r="EJ274" s="75"/>
      <c r="EK274" s="75"/>
      <c r="EL274" s="75"/>
      <c r="EM274" s="75"/>
      <c r="EN274" s="81"/>
      <c r="EO274" s="74"/>
      <c r="EP274" s="75"/>
      <c r="EQ274" s="75"/>
      <c r="ER274" s="75"/>
      <c r="ES274" s="75"/>
      <c r="ET274" s="75"/>
      <c r="EU274" s="75"/>
      <c r="EV274" s="75"/>
      <c r="EW274" s="75"/>
      <c r="EX274" s="75"/>
      <c r="EY274" s="75"/>
      <c r="EZ274" s="81"/>
      <c r="FA274" s="74"/>
      <c r="FB274" s="75"/>
      <c r="FC274" s="75"/>
      <c r="FD274" s="75"/>
      <c r="FE274" s="75"/>
      <c r="FF274" s="75"/>
      <c r="FG274" s="75"/>
      <c r="FH274" s="75"/>
      <c r="FI274" s="75"/>
      <c r="FJ274" s="75"/>
      <c r="FK274" s="75"/>
      <c r="FL274" s="81"/>
      <c r="FM274" s="74"/>
      <c r="FN274" s="75"/>
      <c r="FO274" s="75"/>
      <c r="FP274" s="75"/>
      <c r="FQ274" s="75"/>
      <c r="FR274" s="75"/>
      <c r="FS274" s="75"/>
      <c r="FT274" s="75"/>
      <c r="FU274" s="75"/>
      <c r="FV274" s="75"/>
      <c r="FW274" s="75"/>
      <c r="FX274" s="81"/>
      <c r="FY274" s="74"/>
      <c r="FZ274" s="75"/>
      <c r="GA274" s="75"/>
      <c r="GB274" s="75"/>
      <c r="GC274" s="75"/>
      <c r="GD274" s="75"/>
      <c r="GE274" s="75"/>
      <c r="GF274" s="75"/>
      <c r="GG274" s="75"/>
      <c r="GH274" s="75"/>
      <c r="GI274" s="75"/>
      <c r="GJ274" s="81"/>
      <c r="GK274" s="74"/>
      <c r="GL274" s="75"/>
      <c r="GM274" s="75"/>
      <c r="GN274" s="75"/>
      <c r="GO274" s="75"/>
      <c r="GP274" s="75"/>
      <c r="GQ274" s="75"/>
      <c r="GR274" s="75"/>
      <c r="GS274" s="75"/>
      <c r="GT274" s="75"/>
      <c r="GU274" s="75"/>
      <c r="GV274" s="81"/>
      <c r="GW274" s="74"/>
      <c r="GX274" s="75"/>
      <c r="GY274" s="75"/>
      <c r="GZ274" s="75"/>
      <c r="HA274" s="75"/>
      <c r="HB274" s="75"/>
      <c r="HC274" s="75"/>
      <c r="HD274" s="75"/>
      <c r="HE274" s="75"/>
      <c r="HF274" s="75"/>
      <c r="HG274" s="75"/>
      <c r="HH274" s="81"/>
      <c r="HI274" s="75"/>
    </row>
    <row r="275" ht="15.0" customHeight="1">
      <c r="A275" s="74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81"/>
      <c r="M275" s="74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81"/>
      <c r="Y275" s="74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81"/>
      <c r="AK275" s="74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81"/>
      <c r="AW275" s="74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81"/>
      <c r="BI275" s="74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81"/>
      <c r="BU275" s="74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81"/>
      <c r="CG275" s="74"/>
      <c r="CH275" s="75"/>
      <c r="CI275" s="75"/>
      <c r="CJ275" s="75"/>
      <c r="CK275" s="75"/>
      <c r="CL275" s="75"/>
      <c r="CM275" s="75"/>
      <c r="CN275" s="75"/>
      <c r="CO275" s="75"/>
      <c r="CP275" s="75"/>
      <c r="CQ275" s="75"/>
      <c r="CR275" s="81"/>
      <c r="CS275" s="74"/>
      <c r="CT275" s="75"/>
      <c r="CU275" s="75"/>
      <c r="CV275" s="75"/>
      <c r="CW275" s="75"/>
      <c r="CX275" s="75"/>
      <c r="CY275" s="75"/>
      <c r="CZ275" s="75"/>
      <c r="DA275" s="75"/>
      <c r="DB275" s="75"/>
      <c r="DC275" s="75"/>
      <c r="DD275" s="81"/>
      <c r="DE275" s="74"/>
      <c r="DF275" s="75"/>
      <c r="DG275" s="75"/>
      <c r="DH275" s="75"/>
      <c r="DI275" s="75"/>
      <c r="DJ275" s="75"/>
      <c r="DK275" s="75"/>
      <c r="DL275" s="75"/>
      <c r="DM275" s="75"/>
      <c r="DN275" s="75"/>
      <c r="DO275" s="75"/>
      <c r="DP275" s="81"/>
      <c r="DQ275" s="74"/>
      <c r="DR275" s="75"/>
      <c r="DS275" s="75"/>
      <c r="DT275" s="75"/>
      <c r="DU275" s="75"/>
      <c r="DV275" s="75"/>
      <c r="DW275" s="75"/>
      <c r="DX275" s="75"/>
      <c r="DY275" s="75"/>
      <c r="DZ275" s="75"/>
      <c r="EA275" s="75"/>
      <c r="EB275" s="81"/>
      <c r="EC275" s="74"/>
      <c r="ED275" s="75"/>
      <c r="EE275" s="75"/>
      <c r="EF275" s="75"/>
      <c r="EG275" s="75"/>
      <c r="EH275" s="75"/>
      <c r="EI275" s="75"/>
      <c r="EJ275" s="75"/>
      <c r="EK275" s="75"/>
      <c r="EL275" s="75"/>
      <c r="EM275" s="75"/>
      <c r="EN275" s="81"/>
      <c r="EO275" s="74"/>
      <c r="EP275" s="75"/>
      <c r="EQ275" s="75"/>
      <c r="ER275" s="75"/>
      <c r="ES275" s="75"/>
      <c r="ET275" s="75"/>
      <c r="EU275" s="75"/>
      <c r="EV275" s="75"/>
      <c r="EW275" s="75"/>
      <c r="EX275" s="75"/>
      <c r="EY275" s="75"/>
      <c r="EZ275" s="81"/>
      <c r="FA275" s="74"/>
      <c r="FB275" s="75"/>
      <c r="FC275" s="75"/>
      <c r="FD275" s="75"/>
      <c r="FE275" s="75"/>
      <c r="FF275" s="75"/>
      <c r="FG275" s="75"/>
      <c r="FH275" s="75"/>
      <c r="FI275" s="75"/>
      <c r="FJ275" s="75"/>
      <c r="FK275" s="75"/>
      <c r="FL275" s="81"/>
      <c r="FM275" s="74"/>
      <c r="FN275" s="75"/>
      <c r="FO275" s="75"/>
      <c r="FP275" s="75"/>
      <c r="FQ275" s="75"/>
      <c r="FR275" s="75"/>
      <c r="FS275" s="75"/>
      <c r="FT275" s="75"/>
      <c r="FU275" s="75"/>
      <c r="FV275" s="75"/>
      <c r="FW275" s="75"/>
      <c r="FX275" s="81"/>
      <c r="FY275" s="74"/>
      <c r="FZ275" s="75"/>
      <c r="GA275" s="75"/>
      <c r="GB275" s="75"/>
      <c r="GC275" s="75"/>
      <c r="GD275" s="75"/>
      <c r="GE275" s="75"/>
      <c r="GF275" s="75"/>
      <c r="GG275" s="75"/>
      <c r="GH275" s="75"/>
      <c r="GI275" s="75"/>
      <c r="GJ275" s="81"/>
      <c r="GK275" s="74"/>
      <c r="GL275" s="75"/>
      <c r="GM275" s="75"/>
      <c r="GN275" s="75"/>
      <c r="GO275" s="75"/>
      <c r="GP275" s="75"/>
      <c r="GQ275" s="75"/>
      <c r="GR275" s="75"/>
      <c r="GS275" s="75"/>
      <c r="GT275" s="75"/>
      <c r="GU275" s="75"/>
      <c r="GV275" s="81"/>
      <c r="GW275" s="74"/>
      <c r="GX275" s="75"/>
      <c r="GY275" s="75"/>
      <c r="GZ275" s="75"/>
      <c r="HA275" s="75"/>
      <c r="HB275" s="75"/>
      <c r="HC275" s="75"/>
      <c r="HD275" s="75"/>
      <c r="HE275" s="75"/>
      <c r="HF275" s="75"/>
      <c r="HG275" s="75"/>
      <c r="HH275" s="81"/>
      <c r="HI275" s="75"/>
    </row>
    <row r="276" ht="15.0" customHeight="1">
      <c r="A276" s="74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81"/>
      <c r="M276" s="74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81"/>
      <c r="Y276" s="74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81"/>
      <c r="AK276" s="74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81"/>
      <c r="AW276" s="74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81"/>
      <c r="BI276" s="74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81"/>
      <c r="BU276" s="74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81"/>
      <c r="CG276" s="74"/>
      <c r="CH276" s="75"/>
      <c r="CI276" s="75"/>
      <c r="CJ276" s="75"/>
      <c r="CK276" s="75"/>
      <c r="CL276" s="75"/>
      <c r="CM276" s="75"/>
      <c r="CN276" s="75"/>
      <c r="CO276" s="75"/>
      <c r="CP276" s="75"/>
      <c r="CQ276" s="75"/>
      <c r="CR276" s="81"/>
      <c r="CS276" s="74"/>
      <c r="CT276" s="75"/>
      <c r="CU276" s="75"/>
      <c r="CV276" s="75"/>
      <c r="CW276" s="75"/>
      <c r="CX276" s="75"/>
      <c r="CY276" s="75"/>
      <c r="CZ276" s="75"/>
      <c r="DA276" s="75"/>
      <c r="DB276" s="75"/>
      <c r="DC276" s="75"/>
      <c r="DD276" s="81"/>
      <c r="DE276" s="74"/>
      <c r="DF276" s="75"/>
      <c r="DG276" s="75"/>
      <c r="DH276" s="75"/>
      <c r="DI276" s="75"/>
      <c r="DJ276" s="75"/>
      <c r="DK276" s="75"/>
      <c r="DL276" s="75"/>
      <c r="DM276" s="75"/>
      <c r="DN276" s="75"/>
      <c r="DO276" s="75"/>
      <c r="DP276" s="81"/>
      <c r="DQ276" s="74"/>
      <c r="DR276" s="75"/>
      <c r="DS276" s="75"/>
      <c r="DT276" s="75"/>
      <c r="DU276" s="75"/>
      <c r="DV276" s="75"/>
      <c r="DW276" s="75"/>
      <c r="DX276" s="75"/>
      <c r="DY276" s="75"/>
      <c r="DZ276" s="75"/>
      <c r="EA276" s="75"/>
      <c r="EB276" s="81"/>
      <c r="EC276" s="74"/>
      <c r="ED276" s="75"/>
      <c r="EE276" s="75"/>
      <c r="EF276" s="75"/>
      <c r="EG276" s="75"/>
      <c r="EH276" s="75"/>
      <c r="EI276" s="75"/>
      <c r="EJ276" s="75"/>
      <c r="EK276" s="75"/>
      <c r="EL276" s="75"/>
      <c r="EM276" s="75"/>
      <c r="EN276" s="81"/>
      <c r="EO276" s="74"/>
      <c r="EP276" s="75"/>
      <c r="EQ276" s="75"/>
      <c r="ER276" s="75"/>
      <c r="ES276" s="75"/>
      <c r="ET276" s="75"/>
      <c r="EU276" s="75"/>
      <c r="EV276" s="75"/>
      <c r="EW276" s="75"/>
      <c r="EX276" s="75"/>
      <c r="EY276" s="75"/>
      <c r="EZ276" s="81"/>
      <c r="FA276" s="74"/>
      <c r="FB276" s="75"/>
      <c r="FC276" s="75"/>
      <c r="FD276" s="75"/>
      <c r="FE276" s="75"/>
      <c r="FF276" s="75"/>
      <c r="FG276" s="75"/>
      <c r="FH276" s="75"/>
      <c r="FI276" s="75"/>
      <c r="FJ276" s="75"/>
      <c r="FK276" s="75"/>
      <c r="FL276" s="81"/>
      <c r="FM276" s="74"/>
      <c r="FN276" s="75"/>
      <c r="FO276" s="75"/>
      <c r="FP276" s="75"/>
      <c r="FQ276" s="75"/>
      <c r="FR276" s="75"/>
      <c r="FS276" s="75"/>
      <c r="FT276" s="75"/>
      <c r="FU276" s="75"/>
      <c r="FV276" s="75"/>
      <c r="FW276" s="75"/>
      <c r="FX276" s="81"/>
      <c r="FY276" s="74"/>
      <c r="FZ276" s="75"/>
      <c r="GA276" s="75"/>
      <c r="GB276" s="75"/>
      <c r="GC276" s="75"/>
      <c r="GD276" s="75"/>
      <c r="GE276" s="75"/>
      <c r="GF276" s="75"/>
      <c r="GG276" s="75"/>
      <c r="GH276" s="75"/>
      <c r="GI276" s="75"/>
      <c r="GJ276" s="81"/>
      <c r="GK276" s="74"/>
      <c r="GL276" s="75"/>
      <c r="GM276" s="75"/>
      <c r="GN276" s="75"/>
      <c r="GO276" s="75"/>
      <c r="GP276" s="75"/>
      <c r="GQ276" s="75"/>
      <c r="GR276" s="75"/>
      <c r="GS276" s="75"/>
      <c r="GT276" s="75"/>
      <c r="GU276" s="75"/>
      <c r="GV276" s="81"/>
      <c r="GW276" s="74"/>
      <c r="GX276" s="75"/>
      <c r="GY276" s="75"/>
      <c r="GZ276" s="75"/>
      <c r="HA276" s="75"/>
      <c r="HB276" s="75"/>
      <c r="HC276" s="75"/>
      <c r="HD276" s="75"/>
      <c r="HE276" s="75"/>
      <c r="HF276" s="75"/>
      <c r="HG276" s="75"/>
      <c r="HH276" s="81"/>
      <c r="HI276" s="75"/>
    </row>
    <row r="277" ht="15.0" customHeight="1">
      <c r="A277" s="74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81"/>
      <c r="M277" s="74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81"/>
      <c r="Y277" s="74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81"/>
      <c r="AK277" s="74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81"/>
      <c r="AW277" s="74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81"/>
      <c r="BI277" s="74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81"/>
      <c r="BU277" s="74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81"/>
      <c r="CG277" s="74"/>
      <c r="CH277" s="75"/>
      <c r="CI277" s="75"/>
      <c r="CJ277" s="75"/>
      <c r="CK277" s="75"/>
      <c r="CL277" s="75"/>
      <c r="CM277" s="75"/>
      <c r="CN277" s="75"/>
      <c r="CO277" s="75"/>
      <c r="CP277" s="75"/>
      <c r="CQ277" s="75"/>
      <c r="CR277" s="81"/>
      <c r="CS277" s="74"/>
      <c r="CT277" s="75"/>
      <c r="CU277" s="75"/>
      <c r="CV277" s="75"/>
      <c r="CW277" s="75"/>
      <c r="CX277" s="75"/>
      <c r="CY277" s="75"/>
      <c r="CZ277" s="75"/>
      <c r="DA277" s="75"/>
      <c r="DB277" s="75"/>
      <c r="DC277" s="75"/>
      <c r="DD277" s="81"/>
      <c r="DE277" s="74"/>
      <c r="DF277" s="75"/>
      <c r="DG277" s="75"/>
      <c r="DH277" s="75"/>
      <c r="DI277" s="75"/>
      <c r="DJ277" s="75"/>
      <c r="DK277" s="75"/>
      <c r="DL277" s="75"/>
      <c r="DM277" s="75"/>
      <c r="DN277" s="75"/>
      <c r="DO277" s="75"/>
      <c r="DP277" s="81"/>
      <c r="DQ277" s="74"/>
      <c r="DR277" s="75"/>
      <c r="DS277" s="75"/>
      <c r="DT277" s="75"/>
      <c r="DU277" s="75"/>
      <c r="DV277" s="75"/>
      <c r="DW277" s="75"/>
      <c r="DX277" s="75"/>
      <c r="DY277" s="75"/>
      <c r="DZ277" s="75"/>
      <c r="EA277" s="75"/>
      <c r="EB277" s="81"/>
      <c r="EC277" s="74"/>
      <c r="ED277" s="75"/>
      <c r="EE277" s="75"/>
      <c r="EF277" s="75"/>
      <c r="EG277" s="75"/>
      <c r="EH277" s="75"/>
      <c r="EI277" s="75"/>
      <c r="EJ277" s="75"/>
      <c r="EK277" s="75"/>
      <c r="EL277" s="75"/>
      <c r="EM277" s="75"/>
      <c r="EN277" s="81"/>
      <c r="EO277" s="74"/>
      <c r="EP277" s="75"/>
      <c r="EQ277" s="75"/>
      <c r="ER277" s="75"/>
      <c r="ES277" s="75"/>
      <c r="ET277" s="75"/>
      <c r="EU277" s="75"/>
      <c r="EV277" s="75"/>
      <c r="EW277" s="75"/>
      <c r="EX277" s="75"/>
      <c r="EY277" s="75"/>
      <c r="EZ277" s="81"/>
      <c r="FA277" s="74"/>
      <c r="FB277" s="75"/>
      <c r="FC277" s="75"/>
      <c r="FD277" s="75"/>
      <c r="FE277" s="75"/>
      <c r="FF277" s="75"/>
      <c r="FG277" s="75"/>
      <c r="FH277" s="75"/>
      <c r="FI277" s="75"/>
      <c r="FJ277" s="75"/>
      <c r="FK277" s="75"/>
      <c r="FL277" s="81"/>
      <c r="FM277" s="74"/>
      <c r="FN277" s="75"/>
      <c r="FO277" s="75"/>
      <c r="FP277" s="75"/>
      <c r="FQ277" s="75"/>
      <c r="FR277" s="75"/>
      <c r="FS277" s="75"/>
      <c r="FT277" s="75"/>
      <c r="FU277" s="75"/>
      <c r="FV277" s="75"/>
      <c r="FW277" s="75"/>
      <c r="FX277" s="81"/>
      <c r="FY277" s="74"/>
      <c r="FZ277" s="75"/>
      <c r="GA277" s="75"/>
      <c r="GB277" s="75"/>
      <c r="GC277" s="75"/>
      <c r="GD277" s="75"/>
      <c r="GE277" s="75"/>
      <c r="GF277" s="75"/>
      <c r="GG277" s="75"/>
      <c r="GH277" s="75"/>
      <c r="GI277" s="75"/>
      <c r="GJ277" s="81"/>
      <c r="GK277" s="74"/>
      <c r="GL277" s="75"/>
      <c r="GM277" s="75"/>
      <c r="GN277" s="75"/>
      <c r="GO277" s="75"/>
      <c r="GP277" s="75"/>
      <c r="GQ277" s="75"/>
      <c r="GR277" s="75"/>
      <c r="GS277" s="75"/>
      <c r="GT277" s="75"/>
      <c r="GU277" s="75"/>
      <c r="GV277" s="81"/>
      <c r="GW277" s="74"/>
      <c r="GX277" s="75"/>
      <c r="GY277" s="75"/>
      <c r="GZ277" s="75"/>
      <c r="HA277" s="75"/>
      <c r="HB277" s="75"/>
      <c r="HC277" s="75"/>
      <c r="HD277" s="75"/>
      <c r="HE277" s="75"/>
      <c r="HF277" s="75"/>
      <c r="HG277" s="75"/>
      <c r="HH277" s="81"/>
      <c r="HI277" s="75"/>
    </row>
    <row r="278" ht="15.0" customHeight="1">
      <c r="A278" s="74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81"/>
      <c r="M278" s="74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81"/>
      <c r="Y278" s="74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81"/>
      <c r="AK278" s="74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81"/>
      <c r="AW278" s="74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81"/>
      <c r="BI278" s="74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81"/>
      <c r="BU278" s="74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81"/>
      <c r="CG278" s="74"/>
      <c r="CH278" s="75"/>
      <c r="CI278" s="75"/>
      <c r="CJ278" s="75"/>
      <c r="CK278" s="75"/>
      <c r="CL278" s="75"/>
      <c r="CM278" s="75"/>
      <c r="CN278" s="75"/>
      <c r="CO278" s="75"/>
      <c r="CP278" s="75"/>
      <c r="CQ278" s="75"/>
      <c r="CR278" s="81"/>
      <c r="CS278" s="74"/>
      <c r="CT278" s="75"/>
      <c r="CU278" s="75"/>
      <c r="CV278" s="75"/>
      <c r="CW278" s="75"/>
      <c r="CX278" s="75"/>
      <c r="CY278" s="75"/>
      <c r="CZ278" s="75"/>
      <c r="DA278" s="75"/>
      <c r="DB278" s="75"/>
      <c r="DC278" s="75"/>
      <c r="DD278" s="81"/>
      <c r="DE278" s="74"/>
      <c r="DF278" s="75"/>
      <c r="DG278" s="75"/>
      <c r="DH278" s="75"/>
      <c r="DI278" s="75"/>
      <c r="DJ278" s="75"/>
      <c r="DK278" s="75"/>
      <c r="DL278" s="75"/>
      <c r="DM278" s="75"/>
      <c r="DN278" s="75"/>
      <c r="DO278" s="75"/>
      <c r="DP278" s="81"/>
      <c r="DQ278" s="74"/>
      <c r="DR278" s="75"/>
      <c r="DS278" s="75"/>
      <c r="DT278" s="75"/>
      <c r="DU278" s="75"/>
      <c r="DV278" s="75"/>
      <c r="DW278" s="75"/>
      <c r="DX278" s="75"/>
      <c r="DY278" s="75"/>
      <c r="DZ278" s="75"/>
      <c r="EA278" s="75"/>
      <c r="EB278" s="81"/>
      <c r="EC278" s="74"/>
      <c r="ED278" s="75"/>
      <c r="EE278" s="75"/>
      <c r="EF278" s="75"/>
      <c r="EG278" s="75"/>
      <c r="EH278" s="75"/>
      <c r="EI278" s="75"/>
      <c r="EJ278" s="75"/>
      <c r="EK278" s="75"/>
      <c r="EL278" s="75"/>
      <c r="EM278" s="75"/>
      <c r="EN278" s="81"/>
      <c r="EO278" s="74"/>
      <c r="EP278" s="75"/>
      <c r="EQ278" s="75"/>
      <c r="ER278" s="75"/>
      <c r="ES278" s="75"/>
      <c r="ET278" s="75"/>
      <c r="EU278" s="75"/>
      <c r="EV278" s="75"/>
      <c r="EW278" s="75"/>
      <c r="EX278" s="75"/>
      <c r="EY278" s="75"/>
      <c r="EZ278" s="81"/>
      <c r="FA278" s="74"/>
      <c r="FB278" s="75"/>
      <c r="FC278" s="75"/>
      <c r="FD278" s="75"/>
      <c r="FE278" s="75"/>
      <c r="FF278" s="75"/>
      <c r="FG278" s="75"/>
      <c r="FH278" s="75"/>
      <c r="FI278" s="75"/>
      <c r="FJ278" s="75"/>
      <c r="FK278" s="75"/>
      <c r="FL278" s="81"/>
      <c r="FM278" s="74"/>
      <c r="FN278" s="75"/>
      <c r="FO278" s="75"/>
      <c r="FP278" s="75"/>
      <c r="FQ278" s="75"/>
      <c r="FR278" s="75"/>
      <c r="FS278" s="75"/>
      <c r="FT278" s="75"/>
      <c r="FU278" s="75"/>
      <c r="FV278" s="75"/>
      <c r="FW278" s="75"/>
      <c r="FX278" s="81"/>
      <c r="FY278" s="74"/>
      <c r="FZ278" s="75"/>
      <c r="GA278" s="75"/>
      <c r="GB278" s="75"/>
      <c r="GC278" s="75"/>
      <c r="GD278" s="75"/>
      <c r="GE278" s="75"/>
      <c r="GF278" s="75"/>
      <c r="GG278" s="75"/>
      <c r="GH278" s="75"/>
      <c r="GI278" s="75"/>
      <c r="GJ278" s="81"/>
      <c r="GK278" s="74"/>
      <c r="GL278" s="75"/>
      <c r="GM278" s="75"/>
      <c r="GN278" s="75"/>
      <c r="GO278" s="75"/>
      <c r="GP278" s="75"/>
      <c r="GQ278" s="75"/>
      <c r="GR278" s="75"/>
      <c r="GS278" s="75"/>
      <c r="GT278" s="75"/>
      <c r="GU278" s="75"/>
      <c r="GV278" s="81"/>
      <c r="GW278" s="74"/>
      <c r="GX278" s="75"/>
      <c r="GY278" s="75"/>
      <c r="GZ278" s="75"/>
      <c r="HA278" s="75"/>
      <c r="HB278" s="75"/>
      <c r="HC278" s="75"/>
      <c r="HD278" s="75"/>
      <c r="HE278" s="75"/>
      <c r="HF278" s="75"/>
      <c r="HG278" s="75"/>
      <c r="HH278" s="81"/>
      <c r="HI278" s="75"/>
    </row>
    <row r="279" ht="15.0" customHeight="1">
      <c r="A279" s="74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81"/>
      <c r="M279" s="74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81"/>
      <c r="Y279" s="74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81"/>
      <c r="AK279" s="74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81"/>
      <c r="AW279" s="74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81"/>
      <c r="BI279" s="74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81"/>
      <c r="BU279" s="74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81"/>
      <c r="CG279" s="74"/>
      <c r="CH279" s="75"/>
      <c r="CI279" s="75"/>
      <c r="CJ279" s="75"/>
      <c r="CK279" s="75"/>
      <c r="CL279" s="75"/>
      <c r="CM279" s="75"/>
      <c r="CN279" s="75"/>
      <c r="CO279" s="75"/>
      <c r="CP279" s="75"/>
      <c r="CQ279" s="75"/>
      <c r="CR279" s="81"/>
      <c r="CS279" s="74"/>
      <c r="CT279" s="75"/>
      <c r="CU279" s="75"/>
      <c r="CV279" s="75"/>
      <c r="CW279" s="75"/>
      <c r="CX279" s="75"/>
      <c r="CY279" s="75"/>
      <c r="CZ279" s="75"/>
      <c r="DA279" s="75"/>
      <c r="DB279" s="75"/>
      <c r="DC279" s="75"/>
      <c r="DD279" s="81"/>
      <c r="DE279" s="74"/>
      <c r="DF279" s="75"/>
      <c r="DG279" s="75"/>
      <c r="DH279" s="75"/>
      <c r="DI279" s="75"/>
      <c r="DJ279" s="75"/>
      <c r="DK279" s="75"/>
      <c r="DL279" s="75"/>
      <c r="DM279" s="75"/>
      <c r="DN279" s="75"/>
      <c r="DO279" s="75"/>
      <c r="DP279" s="81"/>
      <c r="DQ279" s="74"/>
      <c r="DR279" s="75"/>
      <c r="DS279" s="75"/>
      <c r="DT279" s="75"/>
      <c r="DU279" s="75"/>
      <c r="DV279" s="75"/>
      <c r="DW279" s="75"/>
      <c r="DX279" s="75"/>
      <c r="DY279" s="75"/>
      <c r="DZ279" s="75"/>
      <c r="EA279" s="75"/>
      <c r="EB279" s="81"/>
      <c r="EC279" s="74"/>
      <c r="ED279" s="75"/>
      <c r="EE279" s="75"/>
      <c r="EF279" s="75"/>
      <c r="EG279" s="75"/>
      <c r="EH279" s="75"/>
      <c r="EI279" s="75"/>
      <c r="EJ279" s="75"/>
      <c r="EK279" s="75"/>
      <c r="EL279" s="75"/>
      <c r="EM279" s="75"/>
      <c r="EN279" s="81"/>
      <c r="EO279" s="74"/>
      <c r="EP279" s="75"/>
      <c r="EQ279" s="75"/>
      <c r="ER279" s="75"/>
      <c r="ES279" s="75"/>
      <c r="ET279" s="75"/>
      <c r="EU279" s="75"/>
      <c r="EV279" s="75"/>
      <c r="EW279" s="75"/>
      <c r="EX279" s="75"/>
      <c r="EY279" s="75"/>
      <c r="EZ279" s="81"/>
      <c r="FA279" s="74"/>
      <c r="FB279" s="75"/>
      <c r="FC279" s="75"/>
      <c r="FD279" s="75"/>
      <c r="FE279" s="75"/>
      <c r="FF279" s="75"/>
      <c r="FG279" s="75"/>
      <c r="FH279" s="75"/>
      <c r="FI279" s="75"/>
      <c r="FJ279" s="75"/>
      <c r="FK279" s="75"/>
      <c r="FL279" s="81"/>
      <c r="FM279" s="74"/>
      <c r="FN279" s="75"/>
      <c r="FO279" s="75"/>
      <c r="FP279" s="75"/>
      <c r="FQ279" s="75"/>
      <c r="FR279" s="75"/>
      <c r="FS279" s="75"/>
      <c r="FT279" s="75"/>
      <c r="FU279" s="75"/>
      <c r="FV279" s="75"/>
      <c r="FW279" s="75"/>
      <c r="FX279" s="81"/>
      <c r="FY279" s="74"/>
      <c r="FZ279" s="75"/>
      <c r="GA279" s="75"/>
      <c r="GB279" s="75"/>
      <c r="GC279" s="75"/>
      <c r="GD279" s="75"/>
      <c r="GE279" s="75"/>
      <c r="GF279" s="75"/>
      <c r="GG279" s="75"/>
      <c r="GH279" s="75"/>
      <c r="GI279" s="75"/>
      <c r="GJ279" s="81"/>
      <c r="GK279" s="74"/>
      <c r="GL279" s="75"/>
      <c r="GM279" s="75"/>
      <c r="GN279" s="75"/>
      <c r="GO279" s="75"/>
      <c r="GP279" s="75"/>
      <c r="GQ279" s="75"/>
      <c r="GR279" s="75"/>
      <c r="GS279" s="75"/>
      <c r="GT279" s="75"/>
      <c r="GU279" s="75"/>
      <c r="GV279" s="81"/>
      <c r="GW279" s="74"/>
      <c r="GX279" s="75"/>
      <c r="GY279" s="75"/>
      <c r="GZ279" s="75"/>
      <c r="HA279" s="75"/>
      <c r="HB279" s="75"/>
      <c r="HC279" s="75"/>
      <c r="HD279" s="75"/>
      <c r="HE279" s="75"/>
      <c r="HF279" s="75"/>
      <c r="HG279" s="75"/>
      <c r="HH279" s="81"/>
      <c r="HI279" s="75"/>
    </row>
    <row r="280" ht="15.0" customHeight="1">
      <c r="A280" s="74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81"/>
      <c r="M280" s="74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81"/>
      <c r="Y280" s="74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81"/>
      <c r="AK280" s="74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81"/>
      <c r="AW280" s="74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81"/>
      <c r="BI280" s="74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81"/>
      <c r="BU280" s="74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81"/>
      <c r="CG280" s="74"/>
      <c r="CH280" s="75"/>
      <c r="CI280" s="75"/>
      <c r="CJ280" s="75"/>
      <c r="CK280" s="75"/>
      <c r="CL280" s="75"/>
      <c r="CM280" s="75"/>
      <c r="CN280" s="75"/>
      <c r="CO280" s="75"/>
      <c r="CP280" s="75"/>
      <c r="CQ280" s="75"/>
      <c r="CR280" s="81"/>
      <c r="CS280" s="74"/>
      <c r="CT280" s="75"/>
      <c r="CU280" s="75"/>
      <c r="CV280" s="75"/>
      <c r="CW280" s="75"/>
      <c r="CX280" s="75"/>
      <c r="CY280" s="75"/>
      <c r="CZ280" s="75"/>
      <c r="DA280" s="75"/>
      <c r="DB280" s="75"/>
      <c r="DC280" s="75"/>
      <c r="DD280" s="81"/>
      <c r="DE280" s="74"/>
      <c r="DF280" s="75"/>
      <c r="DG280" s="75"/>
      <c r="DH280" s="75"/>
      <c r="DI280" s="75"/>
      <c r="DJ280" s="75"/>
      <c r="DK280" s="75"/>
      <c r="DL280" s="75"/>
      <c r="DM280" s="75"/>
      <c r="DN280" s="75"/>
      <c r="DO280" s="75"/>
      <c r="DP280" s="81"/>
      <c r="DQ280" s="74"/>
      <c r="DR280" s="75"/>
      <c r="DS280" s="75"/>
      <c r="DT280" s="75"/>
      <c r="DU280" s="75"/>
      <c r="DV280" s="75"/>
      <c r="DW280" s="75"/>
      <c r="DX280" s="75"/>
      <c r="DY280" s="75"/>
      <c r="DZ280" s="75"/>
      <c r="EA280" s="75"/>
      <c r="EB280" s="81"/>
      <c r="EC280" s="74"/>
      <c r="ED280" s="75"/>
      <c r="EE280" s="75"/>
      <c r="EF280" s="75"/>
      <c r="EG280" s="75"/>
      <c r="EH280" s="75"/>
      <c r="EI280" s="75"/>
      <c r="EJ280" s="75"/>
      <c r="EK280" s="75"/>
      <c r="EL280" s="75"/>
      <c r="EM280" s="75"/>
      <c r="EN280" s="81"/>
      <c r="EO280" s="74"/>
      <c r="EP280" s="75"/>
      <c r="EQ280" s="75"/>
      <c r="ER280" s="75"/>
      <c r="ES280" s="75"/>
      <c r="ET280" s="75"/>
      <c r="EU280" s="75"/>
      <c r="EV280" s="75"/>
      <c r="EW280" s="75"/>
      <c r="EX280" s="75"/>
      <c r="EY280" s="75"/>
      <c r="EZ280" s="81"/>
      <c r="FA280" s="74"/>
      <c r="FB280" s="75"/>
      <c r="FC280" s="75"/>
      <c r="FD280" s="75"/>
      <c r="FE280" s="75"/>
      <c r="FF280" s="75"/>
      <c r="FG280" s="75"/>
      <c r="FH280" s="75"/>
      <c r="FI280" s="75"/>
      <c r="FJ280" s="75"/>
      <c r="FK280" s="75"/>
      <c r="FL280" s="81"/>
      <c r="FM280" s="74"/>
      <c r="FN280" s="75"/>
      <c r="FO280" s="75"/>
      <c r="FP280" s="75"/>
      <c r="FQ280" s="75"/>
      <c r="FR280" s="75"/>
      <c r="FS280" s="75"/>
      <c r="FT280" s="75"/>
      <c r="FU280" s="75"/>
      <c r="FV280" s="75"/>
      <c r="FW280" s="75"/>
      <c r="FX280" s="81"/>
      <c r="FY280" s="74"/>
      <c r="FZ280" s="75"/>
      <c r="GA280" s="75"/>
      <c r="GB280" s="75"/>
      <c r="GC280" s="75"/>
      <c r="GD280" s="75"/>
      <c r="GE280" s="75"/>
      <c r="GF280" s="75"/>
      <c r="GG280" s="75"/>
      <c r="GH280" s="75"/>
      <c r="GI280" s="75"/>
      <c r="GJ280" s="81"/>
      <c r="GK280" s="74"/>
      <c r="GL280" s="75"/>
      <c r="GM280" s="75"/>
      <c r="GN280" s="75"/>
      <c r="GO280" s="75"/>
      <c r="GP280" s="75"/>
      <c r="GQ280" s="75"/>
      <c r="GR280" s="75"/>
      <c r="GS280" s="75"/>
      <c r="GT280" s="75"/>
      <c r="GU280" s="75"/>
      <c r="GV280" s="81"/>
      <c r="GW280" s="74"/>
      <c r="GX280" s="75"/>
      <c r="GY280" s="75"/>
      <c r="GZ280" s="75"/>
      <c r="HA280" s="75"/>
      <c r="HB280" s="75"/>
      <c r="HC280" s="75"/>
      <c r="HD280" s="75"/>
      <c r="HE280" s="75"/>
      <c r="HF280" s="75"/>
      <c r="HG280" s="75"/>
      <c r="HH280" s="81"/>
      <c r="HI280" s="75"/>
    </row>
    <row r="281" ht="15.0" customHeight="1">
      <c r="A281" s="74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81"/>
      <c r="M281" s="74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81"/>
      <c r="Y281" s="74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81"/>
      <c r="AK281" s="74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81"/>
      <c r="AW281" s="74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81"/>
      <c r="BI281" s="74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81"/>
      <c r="BU281" s="74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81"/>
      <c r="CG281" s="74"/>
      <c r="CH281" s="75"/>
      <c r="CI281" s="75"/>
      <c r="CJ281" s="75"/>
      <c r="CK281" s="75"/>
      <c r="CL281" s="75"/>
      <c r="CM281" s="75"/>
      <c r="CN281" s="75"/>
      <c r="CO281" s="75"/>
      <c r="CP281" s="75"/>
      <c r="CQ281" s="75"/>
      <c r="CR281" s="81"/>
      <c r="CS281" s="74"/>
      <c r="CT281" s="75"/>
      <c r="CU281" s="75"/>
      <c r="CV281" s="75"/>
      <c r="CW281" s="75"/>
      <c r="CX281" s="75"/>
      <c r="CY281" s="75"/>
      <c r="CZ281" s="75"/>
      <c r="DA281" s="75"/>
      <c r="DB281" s="75"/>
      <c r="DC281" s="75"/>
      <c r="DD281" s="81"/>
      <c r="DE281" s="74"/>
      <c r="DF281" s="75"/>
      <c r="DG281" s="75"/>
      <c r="DH281" s="75"/>
      <c r="DI281" s="75"/>
      <c r="DJ281" s="75"/>
      <c r="DK281" s="75"/>
      <c r="DL281" s="75"/>
      <c r="DM281" s="75"/>
      <c r="DN281" s="75"/>
      <c r="DO281" s="75"/>
      <c r="DP281" s="81"/>
      <c r="DQ281" s="74"/>
      <c r="DR281" s="75"/>
      <c r="DS281" s="75"/>
      <c r="DT281" s="75"/>
      <c r="DU281" s="75"/>
      <c r="DV281" s="75"/>
      <c r="DW281" s="75"/>
      <c r="DX281" s="75"/>
      <c r="DY281" s="75"/>
      <c r="DZ281" s="75"/>
      <c r="EA281" s="75"/>
      <c r="EB281" s="81"/>
      <c r="EC281" s="74"/>
      <c r="ED281" s="75"/>
      <c r="EE281" s="75"/>
      <c r="EF281" s="75"/>
      <c r="EG281" s="75"/>
      <c r="EH281" s="75"/>
      <c r="EI281" s="75"/>
      <c r="EJ281" s="75"/>
      <c r="EK281" s="75"/>
      <c r="EL281" s="75"/>
      <c r="EM281" s="75"/>
      <c r="EN281" s="81"/>
      <c r="EO281" s="74"/>
      <c r="EP281" s="75"/>
      <c r="EQ281" s="75"/>
      <c r="ER281" s="75"/>
      <c r="ES281" s="75"/>
      <c r="ET281" s="75"/>
      <c r="EU281" s="75"/>
      <c r="EV281" s="75"/>
      <c r="EW281" s="75"/>
      <c r="EX281" s="75"/>
      <c r="EY281" s="75"/>
      <c r="EZ281" s="81"/>
      <c r="FA281" s="74"/>
      <c r="FB281" s="75"/>
      <c r="FC281" s="75"/>
      <c r="FD281" s="75"/>
      <c r="FE281" s="75"/>
      <c r="FF281" s="75"/>
      <c r="FG281" s="75"/>
      <c r="FH281" s="75"/>
      <c r="FI281" s="75"/>
      <c r="FJ281" s="75"/>
      <c r="FK281" s="75"/>
      <c r="FL281" s="81"/>
      <c r="FM281" s="74"/>
      <c r="FN281" s="75"/>
      <c r="FO281" s="75"/>
      <c r="FP281" s="75"/>
      <c r="FQ281" s="75"/>
      <c r="FR281" s="75"/>
      <c r="FS281" s="75"/>
      <c r="FT281" s="75"/>
      <c r="FU281" s="75"/>
      <c r="FV281" s="75"/>
      <c r="FW281" s="75"/>
      <c r="FX281" s="81"/>
      <c r="FY281" s="74"/>
      <c r="FZ281" s="75"/>
      <c r="GA281" s="75"/>
      <c r="GB281" s="75"/>
      <c r="GC281" s="75"/>
      <c r="GD281" s="75"/>
      <c r="GE281" s="75"/>
      <c r="GF281" s="75"/>
      <c r="GG281" s="75"/>
      <c r="GH281" s="75"/>
      <c r="GI281" s="75"/>
      <c r="GJ281" s="81"/>
      <c r="GK281" s="74"/>
      <c r="GL281" s="75"/>
      <c r="GM281" s="75"/>
      <c r="GN281" s="75"/>
      <c r="GO281" s="75"/>
      <c r="GP281" s="75"/>
      <c r="GQ281" s="75"/>
      <c r="GR281" s="75"/>
      <c r="GS281" s="75"/>
      <c r="GT281" s="75"/>
      <c r="GU281" s="75"/>
      <c r="GV281" s="81"/>
      <c r="GW281" s="74"/>
      <c r="GX281" s="75"/>
      <c r="GY281" s="75"/>
      <c r="GZ281" s="75"/>
      <c r="HA281" s="75"/>
      <c r="HB281" s="75"/>
      <c r="HC281" s="75"/>
      <c r="HD281" s="75"/>
      <c r="HE281" s="75"/>
      <c r="HF281" s="75"/>
      <c r="HG281" s="75"/>
      <c r="HH281" s="81"/>
      <c r="HI281" s="75"/>
    </row>
    <row r="282" ht="15.0" customHeight="1">
      <c r="A282" s="74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81"/>
      <c r="M282" s="74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81"/>
      <c r="Y282" s="74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81"/>
      <c r="AK282" s="74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81"/>
      <c r="AW282" s="74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81"/>
      <c r="BI282" s="74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81"/>
      <c r="BU282" s="74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81"/>
      <c r="CG282" s="74"/>
      <c r="CH282" s="75"/>
      <c r="CI282" s="75"/>
      <c r="CJ282" s="75"/>
      <c r="CK282" s="75"/>
      <c r="CL282" s="75"/>
      <c r="CM282" s="75"/>
      <c r="CN282" s="75"/>
      <c r="CO282" s="75"/>
      <c r="CP282" s="75"/>
      <c r="CQ282" s="75"/>
      <c r="CR282" s="81"/>
      <c r="CS282" s="74"/>
      <c r="CT282" s="75"/>
      <c r="CU282" s="75"/>
      <c r="CV282" s="75"/>
      <c r="CW282" s="75"/>
      <c r="CX282" s="75"/>
      <c r="CY282" s="75"/>
      <c r="CZ282" s="75"/>
      <c r="DA282" s="75"/>
      <c r="DB282" s="75"/>
      <c r="DC282" s="75"/>
      <c r="DD282" s="81"/>
      <c r="DE282" s="74"/>
      <c r="DF282" s="75"/>
      <c r="DG282" s="75"/>
      <c r="DH282" s="75"/>
      <c r="DI282" s="75"/>
      <c r="DJ282" s="75"/>
      <c r="DK282" s="75"/>
      <c r="DL282" s="75"/>
      <c r="DM282" s="75"/>
      <c r="DN282" s="75"/>
      <c r="DO282" s="75"/>
      <c r="DP282" s="81"/>
      <c r="DQ282" s="74"/>
      <c r="DR282" s="75"/>
      <c r="DS282" s="75"/>
      <c r="DT282" s="75"/>
      <c r="DU282" s="75"/>
      <c r="DV282" s="75"/>
      <c r="DW282" s="75"/>
      <c r="DX282" s="75"/>
      <c r="DY282" s="75"/>
      <c r="DZ282" s="75"/>
      <c r="EA282" s="75"/>
      <c r="EB282" s="81"/>
      <c r="EC282" s="74"/>
      <c r="ED282" s="75"/>
      <c r="EE282" s="75"/>
      <c r="EF282" s="75"/>
      <c r="EG282" s="75"/>
      <c r="EH282" s="75"/>
      <c r="EI282" s="75"/>
      <c r="EJ282" s="75"/>
      <c r="EK282" s="75"/>
      <c r="EL282" s="75"/>
      <c r="EM282" s="75"/>
      <c r="EN282" s="81"/>
      <c r="EO282" s="74"/>
      <c r="EP282" s="75"/>
      <c r="EQ282" s="75"/>
      <c r="ER282" s="75"/>
      <c r="ES282" s="75"/>
      <c r="ET282" s="75"/>
      <c r="EU282" s="75"/>
      <c r="EV282" s="75"/>
      <c r="EW282" s="75"/>
      <c r="EX282" s="75"/>
      <c r="EY282" s="75"/>
      <c r="EZ282" s="81"/>
      <c r="FA282" s="74"/>
      <c r="FB282" s="75"/>
      <c r="FC282" s="75"/>
      <c r="FD282" s="75"/>
      <c r="FE282" s="75"/>
      <c r="FF282" s="75"/>
      <c r="FG282" s="75"/>
      <c r="FH282" s="75"/>
      <c r="FI282" s="75"/>
      <c r="FJ282" s="75"/>
      <c r="FK282" s="75"/>
      <c r="FL282" s="81"/>
      <c r="FM282" s="74"/>
      <c r="FN282" s="75"/>
      <c r="FO282" s="75"/>
      <c r="FP282" s="75"/>
      <c r="FQ282" s="75"/>
      <c r="FR282" s="75"/>
      <c r="FS282" s="75"/>
      <c r="FT282" s="75"/>
      <c r="FU282" s="75"/>
      <c r="FV282" s="75"/>
      <c r="FW282" s="75"/>
      <c r="FX282" s="81"/>
      <c r="FY282" s="74"/>
      <c r="FZ282" s="75"/>
      <c r="GA282" s="75"/>
      <c r="GB282" s="75"/>
      <c r="GC282" s="75"/>
      <c r="GD282" s="75"/>
      <c r="GE282" s="75"/>
      <c r="GF282" s="75"/>
      <c r="GG282" s="75"/>
      <c r="GH282" s="75"/>
      <c r="GI282" s="75"/>
      <c r="GJ282" s="81"/>
      <c r="GK282" s="74"/>
      <c r="GL282" s="75"/>
      <c r="GM282" s="75"/>
      <c r="GN282" s="75"/>
      <c r="GO282" s="75"/>
      <c r="GP282" s="75"/>
      <c r="GQ282" s="75"/>
      <c r="GR282" s="75"/>
      <c r="GS282" s="75"/>
      <c r="GT282" s="75"/>
      <c r="GU282" s="75"/>
      <c r="GV282" s="81"/>
      <c r="GW282" s="74"/>
      <c r="GX282" s="75"/>
      <c r="GY282" s="75"/>
      <c r="GZ282" s="75"/>
      <c r="HA282" s="75"/>
      <c r="HB282" s="75"/>
      <c r="HC282" s="75"/>
      <c r="HD282" s="75"/>
      <c r="HE282" s="75"/>
      <c r="HF282" s="75"/>
      <c r="HG282" s="75"/>
      <c r="HH282" s="81"/>
      <c r="HI282" s="75"/>
    </row>
    <row r="283" ht="15.0" customHeight="1">
      <c r="A283" s="74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81"/>
      <c r="M283" s="74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81"/>
      <c r="Y283" s="74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81"/>
      <c r="AK283" s="74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81"/>
      <c r="AW283" s="74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81"/>
      <c r="BI283" s="74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81"/>
      <c r="BU283" s="74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81"/>
      <c r="CG283" s="74"/>
      <c r="CH283" s="75"/>
      <c r="CI283" s="75"/>
      <c r="CJ283" s="75"/>
      <c r="CK283" s="75"/>
      <c r="CL283" s="75"/>
      <c r="CM283" s="75"/>
      <c r="CN283" s="75"/>
      <c r="CO283" s="75"/>
      <c r="CP283" s="75"/>
      <c r="CQ283" s="75"/>
      <c r="CR283" s="81"/>
      <c r="CS283" s="74"/>
      <c r="CT283" s="75"/>
      <c r="CU283" s="75"/>
      <c r="CV283" s="75"/>
      <c r="CW283" s="75"/>
      <c r="CX283" s="75"/>
      <c r="CY283" s="75"/>
      <c r="CZ283" s="75"/>
      <c r="DA283" s="75"/>
      <c r="DB283" s="75"/>
      <c r="DC283" s="75"/>
      <c r="DD283" s="81"/>
      <c r="DE283" s="74"/>
      <c r="DF283" s="75"/>
      <c r="DG283" s="75"/>
      <c r="DH283" s="75"/>
      <c r="DI283" s="75"/>
      <c r="DJ283" s="75"/>
      <c r="DK283" s="75"/>
      <c r="DL283" s="75"/>
      <c r="DM283" s="75"/>
      <c r="DN283" s="75"/>
      <c r="DO283" s="75"/>
      <c r="DP283" s="81"/>
      <c r="DQ283" s="74"/>
      <c r="DR283" s="75"/>
      <c r="DS283" s="75"/>
      <c r="DT283" s="75"/>
      <c r="DU283" s="75"/>
      <c r="DV283" s="75"/>
      <c r="DW283" s="75"/>
      <c r="DX283" s="75"/>
      <c r="DY283" s="75"/>
      <c r="DZ283" s="75"/>
      <c r="EA283" s="75"/>
      <c r="EB283" s="81"/>
      <c r="EC283" s="74"/>
      <c r="ED283" s="75"/>
      <c r="EE283" s="75"/>
      <c r="EF283" s="75"/>
      <c r="EG283" s="75"/>
      <c r="EH283" s="75"/>
      <c r="EI283" s="75"/>
      <c r="EJ283" s="75"/>
      <c r="EK283" s="75"/>
      <c r="EL283" s="75"/>
      <c r="EM283" s="75"/>
      <c r="EN283" s="81"/>
      <c r="EO283" s="74"/>
      <c r="EP283" s="75"/>
      <c r="EQ283" s="75"/>
      <c r="ER283" s="75"/>
      <c r="ES283" s="75"/>
      <c r="ET283" s="75"/>
      <c r="EU283" s="75"/>
      <c r="EV283" s="75"/>
      <c r="EW283" s="75"/>
      <c r="EX283" s="75"/>
      <c r="EY283" s="75"/>
      <c r="EZ283" s="81"/>
      <c r="FA283" s="74"/>
      <c r="FB283" s="75"/>
      <c r="FC283" s="75"/>
      <c r="FD283" s="75"/>
      <c r="FE283" s="75"/>
      <c r="FF283" s="75"/>
      <c r="FG283" s="75"/>
      <c r="FH283" s="75"/>
      <c r="FI283" s="75"/>
      <c r="FJ283" s="75"/>
      <c r="FK283" s="75"/>
      <c r="FL283" s="81"/>
      <c r="FM283" s="74"/>
      <c r="FN283" s="75"/>
      <c r="FO283" s="75"/>
      <c r="FP283" s="75"/>
      <c r="FQ283" s="75"/>
      <c r="FR283" s="75"/>
      <c r="FS283" s="75"/>
      <c r="FT283" s="75"/>
      <c r="FU283" s="75"/>
      <c r="FV283" s="75"/>
      <c r="FW283" s="75"/>
      <c r="FX283" s="81"/>
      <c r="FY283" s="74"/>
      <c r="FZ283" s="75"/>
      <c r="GA283" s="75"/>
      <c r="GB283" s="75"/>
      <c r="GC283" s="75"/>
      <c r="GD283" s="75"/>
      <c r="GE283" s="75"/>
      <c r="GF283" s="75"/>
      <c r="GG283" s="75"/>
      <c r="GH283" s="75"/>
      <c r="GI283" s="75"/>
      <c r="GJ283" s="81"/>
      <c r="GK283" s="74"/>
      <c r="GL283" s="75"/>
      <c r="GM283" s="75"/>
      <c r="GN283" s="75"/>
      <c r="GO283" s="75"/>
      <c r="GP283" s="75"/>
      <c r="GQ283" s="75"/>
      <c r="GR283" s="75"/>
      <c r="GS283" s="75"/>
      <c r="GT283" s="75"/>
      <c r="GU283" s="75"/>
      <c r="GV283" s="81"/>
      <c r="GW283" s="74"/>
      <c r="GX283" s="75"/>
      <c r="GY283" s="75"/>
      <c r="GZ283" s="75"/>
      <c r="HA283" s="75"/>
      <c r="HB283" s="75"/>
      <c r="HC283" s="75"/>
      <c r="HD283" s="75"/>
      <c r="HE283" s="75"/>
      <c r="HF283" s="75"/>
      <c r="HG283" s="75"/>
      <c r="HH283" s="81"/>
      <c r="HI283" s="75"/>
    </row>
    <row r="284" ht="15.0" customHeight="1">
      <c r="A284" s="74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81"/>
      <c r="M284" s="74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81"/>
      <c r="Y284" s="74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81"/>
      <c r="AK284" s="74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81"/>
      <c r="AW284" s="74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81"/>
      <c r="BI284" s="74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81"/>
      <c r="BU284" s="74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81"/>
      <c r="CG284" s="74"/>
      <c r="CH284" s="75"/>
      <c r="CI284" s="75"/>
      <c r="CJ284" s="75"/>
      <c r="CK284" s="75"/>
      <c r="CL284" s="75"/>
      <c r="CM284" s="75"/>
      <c r="CN284" s="75"/>
      <c r="CO284" s="75"/>
      <c r="CP284" s="75"/>
      <c r="CQ284" s="75"/>
      <c r="CR284" s="81"/>
      <c r="CS284" s="74"/>
      <c r="CT284" s="75"/>
      <c r="CU284" s="75"/>
      <c r="CV284" s="75"/>
      <c r="CW284" s="75"/>
      <c r="CX284" s="75"/>
      <c r="CY284" s="75"/>
      <c r="CZ284" s="75"/>
      <c r="DA284" s="75"/>
      <c r="DB284" s="75"/>
      <c r="DC284" s="75"/>
      <c r="DD284" s="81"/>
      <c r="DE284" s="74"/>
      <c r="DF284" s="75"/>
      <c r="DG284" s="75"/>
      <c r="DH284" s="75"/>
      <c r="DI284" s="75"/>
      <c r="DJ284" s="75"/>
      <c r="DK284" s="75"/>
      <c r="DL284" s="75"/>
      <c r="DM284" s="75"/>
      <c r="DN284" s="75"/>
      <c r="DO284" s="75"/>
      <c r="DP284" s="81"/>
      <c r="DQ284" s="74"/>
      <c r="DR284" s="75"/>
      <c r="DS284" s="75"/>
      <c r="DT284" s="75"/>
      <c r="DU284" s="75"/>
      <c r="DV284" s="75"/>
      <c r="DW284" s="75"/>
      <c r="DX284" s="75"/>
      <c r="DY284" s="75"/>
      <c r="DZ284" s="75"/>
      <c r="EA284" s="75"/>
      <c r="EB284" s="81"/>
      <c r="EC284" s="74"/>
      <c r="ED284" s="75"/>
      <c r="EE284" s="75"/>
      <c r="EF284" s="75"/>
      <c r="EG284" s="75"/>
      <c r="EH284" s="75"/>
      <c r="EI284" s="75"/>
      <c r="EJ284" s="75"/>
      <c r="EK284" s="75"/>
      <c r="EL284" s="75"/>
      <c r="EM284" s="75"/>
      <c r="EN284" s="81"/>
      <c r="EO284" s="74"/>
      <c r="EP284" s="75"/>
      <c r="EQ284" s="75"/>
      <c r="ER284" s="75"/>
      <c r="ES284" s="75"/>
      <c r="ET284" s="75"/>
      <c r="EU284" s="75"/>
      <c r="EV284" s="75"/>
      <c r="EW284" s="75"/>
      <c r="EX284" s="75"/>
      <c r="EY284" s="75"/>
      <c r="EZ284" s="81"/>
      <c r="FA284" s="74"/>
      <c r="FB284" s="75"/>
      <c r="FC284" s="75"/>
      <c r="FD284" s="75"/>
      <c r="FE284" s="75"/>
      <c r="FF284" s="75"/>
      <c r="FG284" s="75"/>
      <c r="FH284" s="75"/>
      <c r="FI284" s="75"/>
      <c r="FJ284" s="75"/>
      <c r="FK284" s="75"/>
      <c r="FL284" s="81"/>
      <c r="FM284" s="74"/>
      <c r="FN284" s="75"/>
      <c r="FO284" s="75"/>
      <c r="FP284" s="75"/>
      <c r="FQ284" s="75"/>
      <c r="FR284" s="75"/>
      <c r="FS284" s="75"/>
      <c r="FT284" s="75"/>
      <c r="FU284" s="75"/>
      <c r="FV284" s="75"/>
      <c r="FW284" s="75"/>
      <c r="FX284" s="81"/>
      <c r="FY284" s="74"/>
      <c r="FZ284" s="75"/>
      <c r="GA284" s="75"/>
      <c r="GB284" s="75"/>
      <c r="GC284" s="75"/>
      <c r="GD284" s="75"/>
      <c r="GE284" s="75"/>
      <c r="GF284" s="75"/>
      <c r="GG284" s="75"/>
      <c r="GH284" s="75"/>
      <c r="GI284" s="75"/>
      <c r="GJ284" s="81"/>
      <c r="GK284" s="74"/>
      <c r="GL284" s="75"/>
      <c r="GM284" s="75"/>
      <c r="GN284" s="75"/>
      <c r="GO284" s="75"/>
      <c r="GP284" s="75"/>
      <c r="GQ284" s="75"/>
      <c r="GR284" s="75"/>
      <c r="GS284" s="75"/>
      <c r="GT284" s="75"/>
      <c r="GU284" s="75"/>
      <c r="GV284" s="81"/>
      <c r="GW284" s="74"/>
      <c r="GX284" s="75"/>
      <c r="GY284" s="75"/>
      <c r="GZ284" s="75"/>
      <c r="HA284" s="75"/>
      <c r="HB284" s="75"/>
      <c r="HC284" s="75"/>
      <c r="HD284" s="75"/>
      <c r="HE284" s="75"/>
      <c r="HF284" s="75"/>
      <c r="HG284" s="75"/>
      <c r="HH284" s="81"/>
      <c r="HI284" s="75"/>
    </row>
    <row r="285" ht="15.0" customHeight="1">
      <c r="A285" s="74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81"/>
      <c r="M285" s="74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81"/>
      <c r="Y285" s="74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81"/>
      <c r="AK285" s="74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81"/>
      <c r="AW285" s="74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81"/>
      <c r="BI285" s="74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81"/>
      <c r="BU285" s="74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81"/>
      <c r="CG285" s="74"/>
      <c r="CH285" s="75"/>
      <c r="CI285" s="75"/>
      <c r="CJ285" s="75"/>
      <c r="CK285" s="75"/>
      <c r="CL285" s="75"/>
      <c r="CM285" s="75"/>
      <c r="CN285" s="75"/>
      <c r="CO285" s="75"/>
      <c r="CP285" s="75"/>
      <c r="CQ285" s="75"/>
      <c r="CR285" s="81"/>
      <c r="CS285" s="74"/>
      <c r="CT285" s="75"/>
      <c r="CU285" s="75"/>
      <c r="CV285" s="75"/>
      <c r="CW285" s="75"/>
      <c r="CX285" s="75"/>
      <c r="CY285" s="75"/>
      <c r="CZ285" s="75"/>
      <c r="DA285" s="75"/>
      <c r="DB285" s="75"/>
      <c r="DC285" s="75"/>
      <c r="DD285" s="81"/>
      <c r="DE285" s="74"/>
      <c r="DF285" s="75"/>
      <c r="DG285" s="75"/>
      <c r="DH285" s="75"/>
      <c r="DI285" s="75"/>
      <c r="DJ285" s="75"/>
      <c r="DK285" s="75"/>
      <c r="DL285" s="75"/>
      <c r="DM285" s="75"/>
      <c r="DN285" s="75"/>
      <c r="DO285" s="75"/>
      <c r="DP285" s="81"/>
      <c r="DQ285" s="74"/>
      <c r="DR285" s="75"/>
      <c r="DS285" s="75"/>
      <c r="DT285" s="75"/>
      <c r="DU285" s="75"/>
      <c r="DV285" s="75"/>
      <c r="DW285" s="75"/>
      <c r="DX285" s="75"/>
      <c r="DY285" s="75"/>
      <c r="DZ285" s="75"/>
      <c r="EA285" s="75"/>
      <c r="EB285" s="81"/>
      <c r="EC285" s="74"/>
      <c r="ED285" s="75"/>
      <c r="EE285" s="75"/>
      <c r="EF285" s="75"/>
      <c r="EG285" s="75"/>
      <c r="EH285" s="75"/>
      <c r="EI285" s="75"/>
      <c r="EJ285" s="75"/>
      <c r="EK285" s="75"/>
      <c r="EL285" s="75"/>
      <c r="EM285" s="75"/>
      <c r="EN285" s="81"/>
      <c r="EO285" s="74"/>
      <c r="EP285" s="75"/>
      <c r="EQ285" s="75"/>
      <c r="ER285" s="75"/>
      <c r="ES285" s="75"/>
      <c r="ET285" s="75"/>
      <c r="EU285" s="75"/>
      <c r="EV285" s="75"/>
      <c r="EW285" s="75"/>
      <c r="EX285" s="75"/>
      <c r="EY285" s="75"/>
      <c r="EZ285" s="81"/>
      <c r="FA285" s="74"/>
      <c r="FB285" s="75"/>
      <c r="FC285" s="75"/>
      <c r="FD285" s="75"/>
      <c r="FE285" s="75"/>
      <c r="FF285" s="75"/>
      <c r="FG285" s="75"/>
      <c r="FH285" s="75"/>
      <c r="FI285" s="75"/>
      <c r="FJ285" s="75"/>
      <c r="FK285" s="75"/>
      <c r="FL285" s="81"/>
      <c r="FM285" s="74"/>
      <c r="FN285" s="75"/>
      <c r="FO285" s="75"/>
      <c r="FP285" s="75"/>
      <c r="FQ285" s="75"/>
      <c r="FR285" s="75"/>
      <c r="FS285" s="75"/>
      <c r="FT285" s="75"/>
      <c r="FU285" s="75"/>
      <c r="FV285" s="75"/>
      <c r="FW285" s="75"/>
      <c r="FX285" s="81"/>
      <c r="FY285" s="74"/>
      <c r="FZ285" s="75"/>
      <c r="GA285" s="75"/>
      <c r="GB285" s="75"/>
      <c r="GC285" s="75"/>
      <c r="GD285" s="75"/>
      <c r="GE285" s="75"/>
      <c r="GF285" s="75"/>
      <c r="GG285" s="75"/>
      <c r="GH285" s="75"/>
      <c r="GI285" s="75"/>
      <c r="GJ285" s="81"/>
      <c r="GK285" s="74"/>
      <c r="GL285" s="75"/>
      <c r="GM285" s="75"/>
      <c r="GN285" s="75"/>
      <c r="GO285" s="75"/>
      <c r="GP285" s="75"/>
      <c r="GQ285" s="75"/>
      <c r="GR285" s="75"/>
      <c r="GS285" s="75"/>
      <c r="GT285" s="75"/>
      <c r="GU285" s="75"/>
      <c r="GV285" s="81"/>
      <c r="GW285" s="74"/>
      <c r="GX285" s="75"/>
      <c r="GY285" s="75"/>
      <c r="GZ285" s="75"/>
      <c r="HA285" s="75"/>
      <c r="HB285" s="75"/>
      <c r="HC285" s="75"/>
      <c r="HD285" s="75"/>
      <c r="HE285" s="75"/>
      <c r="HF285" s="75"/>
      <c r="HG285" s="75"/>
      <c r="HH285" s="81"/>
      <c r="HI285" s="75"/>
    </row>
    <row r="286" ht="15.0" customHeight="1">
      <c r="A286" s="74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81"/>
      <c r="M286" s="74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81"/>
      <c r="Y286" s="74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81"/>
      <c r="AK286" s="74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81"/>
      <c r="AW286" s="74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81"/>
      <c r="BI286" s="74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81"/>
      <c r="BU286" s="74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81"/>
      <c r="CG286" s="74"/>
      <c r="CH286" s="75"/>
      <c r="CI286" s="75"/>
      <c r="CJ286" s="75"/>
      <c r="CK286" s="75"/>
      <c r="CL286" s="75"/>
      <c r="CM286" s="75"/>
      <c r="CN286" s="75"/>
      <c r="CO286" s="75"/>
      <c r="CP286" s="75"/>
      <c r="CQ286" s="75"/>
      <c r="CR286" s="81"/>
      <c r="CS286" s="74"/>
      <c r="CT286" s="75"/>
      <c r="CU286" s="75"/>
      <c r="CV286" s="75"/>
      <c r="CW286" s="75"/>
      <c r="CX286" s="75"/>
      <c r="CY286" s="75"/>
      <c r="CZ286" s="75"/>
      <c r="DA286" s="75"/>
      <c r="DB286" s="75"/>
      <c r="DC286" s="75"/>
      <c r="DD286" s="81"/>
      <c r="DE286" s="74"/>
      <c r="DF286" s="75"/>
      <c r="DG286" s="75"/>
      <c r="DH286" s="75"/>
      <c r="DI286" s="75"/>
      <c r="DJ286" s="75"/>
      <c r="DK286" s="75"/>
      <c r="DL286" s="75"/>
      <c r="DM286" s="75"/>
      <c r="DN286" s="75"/>
      <c r="DO286" s="75"/>
      <c r="DP286" s="81"/>
      <c r="DQ286" s="74"/>
      <c r="DR286" s="75"/>
      <c r="DS286" s="75"/>
      <c r="DT286" s="75"/>
      <c r="DU286" s="75"/>
      <c r="DV286" s="75"/>
      <c r="DW286" s="75"/>
      <c r="DX286" s="75"/>
      <c r="DY286" s="75"/>
      <c r="DZ286" s="75"/>
      <c r="EA286" s="75"/>
      <c r="EB286" s="81"/>
      <c r="EC286" s="74"/>
      <c r="ED286" s="75"/>
      <c r="EE286" s="75"/>
      <c r="EF286" s="75"/>
      <c r="EG286" s="75"/>
      <c r="EH286" s="75"/>
      <c r="EI286" s="75"/>
      <c r="EJ286" s="75"/>
      <c r="EK286" s="75"/>
      <c r="EL286" s="75"/>
      <c r="EM286" s="75"/>
      <c r="EN286" s="81"/>
      <c r="EO286" s="74"/>
      <c r="EP286" s="75"/>
      <c r="EQ286" s="75"/>
      <c r="ER286" s="75"/>
      <c r="ES286" s="75"/>
      <c r="ET286" s="75"/>
      <c r="EU286" s="75"/>
      <c r="EV286" s="75"/>
      <c r="EW286" s="75"/>
      <c r="EX286" s="75"/>
      <c r="EY286" s="75"/>
      <c r="EZ286" s="81"/>
      <c r="FA286" s="74"/>
      <c r="FB286" s="75"/>
      <c r="FC286" s="75"/>
      <c r="FD286" s="75"/>
      <c r="FE286" s="75"/>
      <c r="FF286" s="75"/>
      <c r="FG286" s="75"/>
      <c r="FH286" s="75"/>
      <c r="FI286" s="75"/>
      <c r="FJ286" s="75"/>
      <c r="FK286" s="75"/>
      <c r="FL286" s="81"/>
      <c r="FM286" s="74"/>
      <c r="FN286" s="75"/>
      <c r="FO286" s="75"/>
      <c r="FP286" s="75"/>
      <c r="FQ286" s="75"/>
      <c r="FR286" s="75"/>
      <c r="FS286" s="75"/>
      <c r="FT286" s="75"/>
      <c r="FU286" s="75"/>
      <c r="FV286" s="75"/>
      <c r="FW286" s="75"/>
      <c r="FX286" s="81"/>
      <c r="FY286" s="74"/>
      <c r="FZ286" s="75"/>
      <c r="GA286" s="75"/>
      <c r="GB286" s="75"/>
      <c r="GC286" s="75"/>
      <c r="GD286" s="75"/>
      <c r="GE286" s="75"/>
      <c r="GF286" s="75"/>
      <c r="GG286" s="75"/>
      <c r="GH286" s="75"/>
      <c r="GI286" s="75"/>
      <c r="GJ286" s="81"/>
      <c r="GK286" s="74"/>
      <c r="GL286" s="75"/>
      <c r="GM286" s="75"/>
      <c r="GN286" s="75"/>
      <c r="GO286" s="75"/>
      <c r="GP286" s="75"/>
      <c r="GQ286" s="75"/>
      <c r="GR286" s="75"/>
      <c r="GS286" s="75"/>
      <c r="GT286" s="75"/>
      <c r="GU286" s="75"/>
      <c r="GV286" s="81"/>
      <c r="GW286" s="74"/>
      <c r="GX286" s="75"/>
      <c r="GY286" s="75"/>
      <c r="GZ286" s="75"/>
      <c r="HA286" s="75"/>
      <c r="HB286" s="75"/>
      <c r="HC286" s="75"/>
      <c r="HD286" s="75"/>
      <c r="HE286" s="75"/>
      <c r="HF286" s="75"/>
      <c r="HG286" s="75"/>
      <c r="HH286" s="81"/>
      <c r="HI286" s="75"/>
    </row>
    <row r="287" ht="15.0" customHeight="1">
      <c r="A287" s="74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81"/>
      <c r="M287" s="74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81"/>
      <c r="Y287" s="74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81"/>
      <c r="AK287" s="74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81"/>
      <c r="AW287" s="74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81"/>
      <c r="BI287" s="74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81"/>
      <c r="BU287" s="74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81"/>
      <c r="CG287" s="74"/>
      <c r="CH287" s="75"/>
      <c r="CI287" s="75"/>
      <c r="CJ287" s="75"/>
      <c r="CK287" s="75"/>
      <c r="CL287" s="75"/>
      <c r="CM287" s="75"/>
      <c r="CN287" s="75"/>
      <c r="CO287" s="75"/>
      <c r="CP287" s="75"/>
      <c r="CQ287" s="75"/>
      <c r="CR287" s="81"/>
      <c r="CS287" s="74"/>
      <c r="CT287" s="75"/>
      <c r="CU287" s="75"/>
      <c r="CV287" s="75"/>
      <c r="CW287" s="75"/>
      <c r="CX287" s="75"/>
      <c r="CY287" s="75"/>
      <c r="CZ287" s="75"/>
      <c r="DA287" s="75"/>
      <c r="DB287" s="75"/>
      <c r="DC287" s="75"/>
      <c r="DD287" s="81"/>
      <c r="DE287" s="74"/>
      <c r="DF287" s="75"/>
      <c r="DG287" s="75"/>
      <c r="DH287" s="75"/>
      <c r="DI287" s="75"/>
      <c r="DJ287" s="75"/>
      <c r="DK287" s="75"/>
      <c r="DL287" s="75"/>
      <c r="DM287" s="75"/>
      <c r="DN287" s="75"/>
      <c r="DO287" s="75"/>
      <c r="DP287" s="81"/>
      <c r="DQ287" s="74"/>
      <c r="DR287" s="75"/>
      <c r="DS287" s="75"/>
      <c r="DT287" s="75"/>
      <c r="DU287" s="75"/>
      <c r="DV287" s="75"/>
      <c r="DW287" s="75"/>
      <c r="DX287" s="75"/>
      <c r="DY287" s="75"/>
      <c r="DZ287" s="75"/>
      <c r="EA287" s="75"/>
      <c r="EB287" s="81"/>
      <c r="EC287" s="74"/>
      <c r="ED287" s="75"/>
      <c r="EE287" s="75"/>
      <c r="EF287" s="75"/>
      <c r="EG287" s="75"/>
      <c r="EH287" s="75"/>
      <c r="EI287" s="75"/>
      <c r="EJ287" s="75"/>
      <c r="EK287" s="75"/>
      <c r="EL287" s="75"/>
      <c r="EM287" s="75"/>
      <c r="EN287" s="81"/>
      <c r="EO287" s="74"/>
      <c r="EP287" s="75"/>
      <c r="EQ287" s="75"/>
      <c r="ER287" s="75"/>
      <c r="ES287" s="75"/>
      <c r="ET287" s="75"/>
      <c r="EU287" s="75"/>
      <c r="EV287" s="75"/>
      <c r="EW287" s="75"/>
      <c r="EX287" s="75"/>
      <c r="EY287" s="75"/>
      <c r="EZ287" s="81"/>
      <c r="FA287" s="74"/>
      <c r="FB287" s="75"/>
      <c r="FC287" s="75"/>
      <c r="FD287" s="75"/>
      <c r="FE287" s="75"/>
      <c r="FF287" s="75"/>
      <c r="FG287" s="75"/>
      <c r="FH287" s="75"/>
      <c r="FI287" s="75"/>
      <c r="FJ287" s="75"/>
      <c r="FK287" s="75"/>
      <c r="FL287" s="81"/>
      <c r="FM287" s="74"/>
      <c r="FN287" s="75"/>
      <c r="FO287" s="75"/>
      <c r="FP287" s="75"/>
      <c r="FQ287" s="75"/>
      <c r="FR287" s="75"/>
      <c r="FS287" s="75"/>
      <c r="FT287" s="75"/>
      <c r="FU287" s="75"/>
      <c r="FV287" s="75"/>
      <c r="FW287" s="75"/>
      <c r="FX287" s="81"/>
      <c r="FY287" s="74"/>
      <c r="FZ287" s="75"/>
      <c r="GA287" s="75"/>
      <c r="GB287" s="75"/>
      <c r="GC287" s="75"/>
      <c r="GD287" s="75"/>
      <c r="GE287" s="75"/>
      <c r="GF287" s="75"/>
      <c r="GG287" s="75"/>
      <c r="GH287" s="75"/>
      <c r="GI287" s="75"/>
      <c r="GJ287" s="81"/>
      <c r="GK287" s="74"/>
      <c r="GL287" s="75"/>
      <c r="GM287" s="75"/>
      <c r="GN287" s="75"/>
      <c r="GO287" s="75"/>
      <c r="GP287" s="75"/>
      <c r="GQ287" s="75"/>
      <c r="GR287" s="75"/>
      <c r="GS287" s="75"/>
      <c r="GT287" s="75"/>
      <c r="GU287" s="75"/>
      <c r="GV287" s="81"/>
      <c r="GW287" s="74"/>
      <c r="GX287" s="75"/>
      <c r="GY287" s="75"/>
      <c r="GZ287" s="75"/>
      <c r="HA287" s="75"/>
      <c r="HB287" s="75"/>
      <c r="HC287" s="75"/>
      <c r="HD287" s="75"/>
      <c r="HE287" s="75"/>
      <c r="HF287" s="75"/>
      <c r="HG287" s="75"/>
      <c r="HH287" s="81"/>
      <c r="HI287" s="75"/>
    </row>
    <row r="288" ht="15.0" customHeight="1">
      <c r="A288" s="74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81"/>
      <c r="M288" s="74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81"/>
      <c r="Y288" s="74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81"/>
      <c r="AK288" s="74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81"/>
      <c r="AW288" s="74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81"/>
      <c r="BI288" s="74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81"/>
      <c r="BU288" s="74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81"/>
      <c r="CG288" s="74"/>
      <c r="CH288" s="75"/>
      <c r="CI288" s="75"/>
      <c r="CJ288" s="75"/>
      <c r="CK288" s="75"/>
      <c r="CL288" s="75"/>
      <c r="CM288" s="75"/>
      <c r="CN288" s="75"/>
      <c r="CO288" s="75"/>
      <c r="CP288" s="75"/>
      <c r="CQ288" s="75"/>
      <c r="CR288" s="81"/>
      <c r="CS288" s="74"/>
      <c r="CT288" s="75"/>
      <c r="CU288" s="75"/>
      <c r="CV288" s="75"/>
      <c r="CW288" s="75"/>
      <c r="CX288" s="75"/>
      <c r="CY288" s="75"/>
      <c r="CZ288" s="75"/>
      <c r="DA288" s="75"/>
      <c r="DB288" s="75"/>
      <c r="DC288" s="75"/>
      <c r="DD288" s="81"/>
      <c r="DE288" s="74"/>
      <c r="DF288" s="75"/>
      <c r="DG288" s="75"/>
      <c r="DH288" s="75"/>
      <c r="DI288" s="75"/>
      <c r="DJ288" s="75"/>
      <c r="DK288" s="75"/>
      <c r="DL288" s="75"/>
      <c r="DM288" s="75"/>
      <c r="DN288" s="75"/>
      <c r="DO288" s="75"/>
      <c r="DP288" s="81"/>
      <c r="DQ288" s="74"/>
      <c r="DR288" s="75"/>
      <c r="DS288" s="75"/>
      <c r="DT288" s="75"/>
      <c r="DU288" s="75"/>
      <c r="DV288" s="75"/>
      <c r="DW288" s="75"/>
      <c r="DX288" s="75"/>
      <c r="DY288" s="75"/>
      <c r="DZ288" s="75"/>
      <c r="EA288" s="75"/>
      <c r="EB288" s="81"/>
      <c r="EC288" s="74"/>
      <c r="ED288" s="75"/>
      <c r="EE288" s="75"/>
      <c r="EF288" s="75"/>
      <c r="EG288" s="75"/>
      <c r="EH288" s="75"/>
      <c r="EI288" s="75"/>
      <c r="EJ288" s="75"/>
      <c r="EK288" s="75"/>
      <c r="EL288" s="75"/>
      <c r="EM288" s="75"/>
      <c r="EN288" s="81"/>
      <c r="EO288" s="74"/>
      <c r="EP288" s="75"/>
      <c r="EQ288" s="75"/>
      <c r="ER288" s="75"/>
      <c r="ES288" s="75"/>
      <c r="ET288" s="75"/>
      <c r="EU288" s="75"/>
      <c r="EV288" s="75"/>
      <c r="EW288" s="75"/>
      <c r="EX288" s="75"/>
      <c r="EY288" s="75"/>
      <c r="EZ288" s="81"/>
      <c r="FA288" s="74"/>
      <c r="FB288" s="75"/>
      <c r="FC288" s="75"/>
      <c r="FD288" s="75"/>
      <c r="FE288" s="75"/>
      <c r="FF288" s="75"/>
      <c r="FG288" s="75"/>
      <c r="FH288" s="75"/>
      <c r="FI288" s="75"/>
      <c r="FJ288" s="75"/>
      <c r="FK288" s="75"/>
      <c r="FL288" s="81"/>
      <c r="FM288" s="74"/>
      <c r="FN288" s="75"/>
      <c r="FO288" s="75"/>
      <c r="FP288" s="75"/>
      <c r="FQ288" s="75"/>
      <c r="FR288" s="75"/>
      <c r="FS288" s="75"/>
      <c r="FT288" s="75"/>
      <c r="FU288" s="75"/>
      <c r="FV288" s="75"/>
      <c r="FW288" s="75"/>
      <c r="FX288" s="81"/>
      <c r="FY288" s="74"/>
      <c r="FZ288" s="75"/>
      <c r="GA288" s="75"/>
      <c r="GB288" s="75"/>
      <c r="GC288" s="75"/>
      <c r="GD288" s="75"/>
      <c r="GE288" s="75"/>
      <c r="GF288" s="75"/>
      <c r="GG288" s="75"/>
      <c r="GH288" s="75"/>
      <c r="GI288" s="75"/>
      <c r="GJ288" s="81"/>
      <c r="GK288" s="74"/>
      <c r="GL288" s="75"/>
      <c r="GM288" s="75"/>
      <c r="GN288" s="75"/>
      <c r="GO288" s="75"/>
      <c r="GP288" s="75"/>
      <c r="GQ288" s="75"/>
      <c r="GR288" s="75"/>
      <c r="GS288" s="75"/>
      <c r="GT288" s="75"/>
      <c r="GU288" s="75"/>
      <c r="GV288" s="81"/>
      <c r="GW288" s="74"/>
      <c r="GX288" s="75"/>
      <c r="GY288" s="75"/>
      <c r="GZ288" s="75"/>
      <c r="HA288" s="75"/>
      <c r="HB288" s="75"/>
      <c r="HC288" s="75"/>
      <c r="HD288" s="75"/>
      <c r="HE288" s="75"/>
      <c r="HF288" s="75"/>
      <c r="HG288" s="75"/>
      <c r="HH288" s="81"/>
      <c r="HI288" s="75"/>
    </row>
    <row r="289" ht="15.0" customHeight="1">
      <c r="A289" s="74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81"/>
      <c r="M289" s="74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81"/>
      <c r="Y289" s="74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81"/>
      <c r="AK289" s="74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81"/>
      <c r="AW289" s="74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81"/>
      <c r="BI289" s="74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81"/>
      <c r="BU289" s="74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81"/>
      <c r="CG289" s="74"/>
      <c r="CH289" s="75"/>
      <c r="CI289" s="75"/>
      <c r="CJ289" s="75"/>
      <c r="CK289" s="75"/>
      <c r="CL289" s="75"/>
      <c r="CM289" s="75"/>
      <c r="CN289" s="75"/>
      <c r="CO289" s="75"/>
      <c r="CP289" s="75"/>
      <c r="CQ289" s="75"/>
      <c r="CR289" s="81"/>
      <c r="CS289" s="74"/>
      <c r="CT289" s="75"/>
      <c r="CU289" s="75"/>
      <c r="CV289" s="75"/>
      <c r="CW289" s="75"/>
      <c r="CX289" s="75"/>
      <c r="CY289" s="75"/>
      <c r="CZ289" s="75"/>
      <c r="DA289" s="75"/>
      <c r="DB289" s="75"/>
      <c r="DC289" s="75"/>
      <c r="DD289" s="81"/>
      <c r="DE289" s="74"/>
      <c r="DF289" s="75"/>
      <c r="DG289" s="75"/>
      <c r="DH289" s="75"/>
      <c r="DI289" s="75"/>
      <c r="DJ289" s="75"/>
      <c r="DK289" s="75"/>
      <c r="DL289" s="75"/>
      <c r="DM289" s="75"/>
      <c r="DN289" s="75"/>
      <c r="DO289" s="75"/>
      <c r="DP289" s="81"/>
      <c r="DQ289" s="74"/>
      <c r="DR289" s="75"/>
      <c r="DS289" s="75"/>
      <c r="DT289" s="75"/>
      <c r="DU289" s="75"/>
      <c r="DV289" s="75"/>
      <c r="DW289" s="75"/>
      <c r="DX289" s="75"/>
      <c r="DY289" s="75"/>
      <c r="DZ289" s="75"/>
      <c r="EA289" s="75"/>
      <c r="EB289" s="81"/>
      <c r="EC289" s="74"/>
      <c r="ED289" s="75"/>
      <c r="EE289" s="75"/>
      <c r="EF289" s="75"/>
      <c r="EG289" s="75"/>
      <c r="EH289" s="75"/>
      <c r="EI289" s="75"/>
      <c r="EJ289" s="75"/>
      <c r="EK289" s="75"/>
      <c r="EL289" s="75"/>
      <c r="EM289" s="75"/>
      <c r="EN289" s="81"/>
      <c r="EO289" s="74"/>
      <c r="EP289" s="75"/>
      <c r="EQ289" s="75"/>
      <c r="ER289" s="75"/>
      <c r="ES289" s="75"/>
      <c r="ET289" s="75"/>
      <c r="EU289" s="75"/>
      <c r="EV289" s="75"/>
      <c r="EW289" s="75"/>
      <c r="EX289" s="75"/>
      <c r="EY289" s="75"/>
      <c r="EZ289" s="81"/>
      <c r="FA289" s="74"/>
      <c r="FB289" s="75"/>
      <c r="FC289" s="75"/>
      <c r="FD289" s="75"/>
      <c r="FE289" s="75"/>
      <c r="FF289" s="75"/>
      <c r="FG289" s="75"/>
      <c r="FH289" s="75"/>
      <c r="FI289" s="75"/>
      <c r="FJ289" s="75"/>
      <c r="FK289" s="75"/>
      <c r="FL289" s="81"/>
      <c r="FM289" s="74"/>
      <c r="FN289" s="75"/>
      <c r="FO289" s="75"/>
      <c r="FP289" s="75"/>
      <c r="FQ289" s="75"/>
      <c r="FR289" s="75"/>
      <c r="FS289" s="75"/>
      <c r="FT289" s="75"/>
      <c r="FU289" s="75"/>
      <c r="FV289" s="75"/>
      <c r="FW289" s="75"/>
      <c r="FX289" s="81"/>
      <c r="FY289" s="74"/>
      <c r="FZ289" s="75"/>
      <c r="GA289" s="75"/>
      <c r="GB289" s="75"/>
      <c r="GC289" s="75"/>
      <c r="GD289" s="75"/>
      <c r="GE289" s="75"/>
      <c r="GF289" s="75"/>
      <c r="GG289" s="75"/>
      <c r="GH289" s="75"/>
      <c r="GI289" s="75"/>
      <c r="GJ289" s="81"/>
      <c r="GK289" s="74"/>
      <c r="GL289" s="75"/>
      <c r="GM289" s="75"/>
      <c r="GN289" s="75"/>
      <c r="GO289" s="75"/>
      <c r="GP289" s="75"/>
      <c r="GQ289" s="75"/>
      <c r="GR289" s="75"/>
      <c r="GS289" s="75"/>
      <c r="GT289" s="75"/>
      <c r="GU289" s="75"/>
      <c r="GV289" s="81"/>
      <c r="GW289" s="74"/>
      <c r="GX289" s="75"/>
      <c r="GY289" s="75"/>
      <c r="GZ289" s="75"/>
      <c r="HA289" s="75"/>
      <c r="HB289" s="75"/>
      <c r="HC289" s="75"/>
      <c r="HD289" s="75"/>
      <c r="HE289" s="75"/>
      <c r="HF289" s="75"/>
      <c r="HG289" s="75"/>
      <c r="HH289" s="81"/>
      <c r="HI289" s="75"/>
    </row>
    <row r="290" ht="15.0" customHeight="1">
      <c r="A290" s="74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81"/>
      <c r="M290" s="74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81"/>
      <c r="Y290" s="74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81"/>
      <c r="AK290" s="74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81"/>
      <c r="AW290" s="74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81"/>
      <c r="BI290" s="74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81"/>
      <c r="BU290" s="74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81"/>
      <c r="CG290" s="74"/>
      <c r="CH290" s="75"/>
      <c r="CI290" s="75"/>
      <c r="CJ290" s="75"/>
      <c r="CK290" s="75"/>
      <c r="CL290" s="75"/>
      <c r="CM290" s="75"/>
      <c r="CN290" s="75"/>
      <c r="CO290" s="75"/>
      <c r="CP290" s="75"/>
      <c r="CQ290" s="75"/>
      <c r="CR290" s="81"/>
      <c r="CS290" s="74"/>
      <c r="CT290" s="75"/>
      <c r="CU290" s="75"/>
      <c r="CV290" s="75"/>
      <c r="CW290" s="75"/>
      <c r="CX290" s="75"/>
      <c r="CY290" s="75"/>
      <c r="CZ290" s="75"/>
      <c r="DA290" s="75"/>
      <c r="DB290" s="75"/>
      <c r="DC290" s="75"/>
      <c r="DD290" s="81"/>
      <c r="DE290" s="74"/>
      <c r="DF290" s="75"/>
      <c r="DG290" s="75"/>
      <c r="DH290" s="75"/>
      <c r="DI290" s="75"/>
      <c r="DJ290" s="75"/>
      <c r="DK290" s="75"/>
      <c r="DL290" s="75"/>
      <c r="DM290" s="75"/>
      <c r="DN290" s="75"/>
      <c r="DO290" s="75"/>
      <c r="DP290" s="81"/>
      <c r="DQ290" s="74"/>
      <c r="DR290" s="75"/>
      <c r="DS290" s="75"/>
      <c r="DT290" s="75"/>
      <c r="DU290" s="75"/>
      <c r="DV290" s="75"/>
      <c r="DW290" s="75"/>
      <c r="DX290" s="75"/>
      <c r="DY290" s="75"/>
      <c r="DZ290" s="75"/>
      <c r="EA290" s="75"/>
      <c r="EB290" s="81"/>
      <c r="EC290" s="74"/>
      <c r="ED290" s="75"/>
      <c r="EE290" s="75"/>
      <c r="EF290" s="75"/>
      <c r="EG290" s="75"/>
      <c r="EH290" s="75"/>
      <c r="EI290" s="75"/>
      <c r="EJ290" s="75"/>
      <c r="EK290" s="75"/>
      <c r="EL290" s="75"/>
      <c r="EM290" s="75"/>
      <c r="EN290" s="81"/>
      <c r="EO290" s="74"/>
      <c r="EP290" s="75"/>
      <c r="EQ290" s="75"/>
      <c r="ER290" s="75"/>
      <c r="ES290" s="75"/>
      <c r="ET290" s="75"/>
      <c r="EU290" s="75"/>
      <c r="EV290" s="75"/>
      <c r="EW290" s="75"/>
      <c r="EX290" s="75"/>
      <c r="EY290" s="75"/>
      <c r="EZ290" s="81"/>
      <c r="FA290" s="74"/>
      <c r="FB290" s="75"/>
      <c r="FC290" s="75"/>
      <c r="FD290" s="75"/>
      <c r="FE290" s="75"/>
      <c r="FF290" s="75"/>
      <c r="FG290" s="75"/>
      <c r="FH290" s="75"/>
      <c r="FI290" s="75"/>
      <c r="FJ290" s="75"/>
      <c r="FK290" s="75"/>
      <c r="FL290" s="81"/>
      <c r="FM290" s="74"/>
      <c r="FN290" s="75"/>
      <c r="FO290" s="75"/>
      <c r="FP290" s="75"/>
      <c r="FQ290" s="75"/>
      <c r="FR290" s="75"/>
      <c r="FS290" s="75"/>
      <c r="FT290" s="75"/>
      <c r="FU290" s="75"/>
      <c r="FV290" s="75"/>
      <c r="FW290" s="75"/>
      <c r="FX290" s="81"/>
      <c r="FY290" s="74"/>
      <c r="FZ290" s="75"/>
      <c r="GA290" s="75"/>
      <c r="GB290" s="75"/>
      <c r="GC290" s="75"/>
      <c r="GD290" s="75"/>
      <c r="GE290" s="75"/>
      <c r="GF290" s="75"/>
      <c r="GG290" s="75"/>
      <c r="GH290" s="75"/>
      <c r="GI290" s="75"/>
      <c r="GJ290" s="81"/>
      <c r="GK290" s="74"/>
      <c r="GL290" s="75"/>
      <c r="GM290" s="75"/>
      <c r="GN290" s="75"/>
      <c r="GO290" s="75"/>
      <c r="GP290" s="75"/>
      <c r="GQ290" s="75"/>
      <c r="GR290" s="75"/>
      <c r="GS290" s="75"/>
      <c r="GT290" s="75"/>
      <c r="GU290" s="75"/>
      <c r="GV290" s="81"/>
      <c r="GW290" s="74"/>
      <c r="GX290" s="75"/>
      <c r="GY290" s="75"/>
      <c r="GZ290" s="75"/>
      <c r="HA290" s="75"/>
      <c r="HB290" s="75"/>
      <c r="HC290" s="75"/>
      <c r="HD290" s="75"/>
      <c r="HE290" s="75"/>
      <c r="HF290" s="75"/>
      <c r="HG290" s="75"/>
      <c r="HH290" s="81"/>
      <c r="HI290" s="75"/>
    </row>
    <row r="291" ht="15.0" customHeight="1">
      <c r="A291" s="74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81"/>
      <c r="M291" s="74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81"/>
      <c r="Y291" s="74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81"/>
      <c r="AK291" s="74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81"/>
      <c r="AW291" s="74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81"/>
      <c r="BI291" s="74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81"/>
      <c r="BU291" s="74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81"/>
      <c r="CG291" s="74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81"/>
      <c r="CS291" s="74"/>
      <c r="CT291" s="75"/>
      <c r="CU291" s="75"/>
      <c r="CV291" s="75"/>
      <c r="CW291" s="75"/>
      <c r="CX291" s="75"/>
      <c r="CY291" s="75"/>
      <c r="CZ291" s="75"/>
      <c r="DA291" s="75"/>
      <c r="DB291" s="75"/>
      <c r="DC291" s="75"/>
      <c r="DD291" s="81"/>
      <c r="DE291" s="74"/>
      <c r="DF291" s="75"/>
      <c r="DG291" s="75"/>
      <c r="DH291" s="75"/>
      <c r="DI291" s="75"/>
      <c r="DJ291" s="75"/>
      <c r="DK291" s="75"/>
      <c r="DL291" s="75"/>
      <c r="DM291" s="75"/>
      <c r="DN291" s="75"/>
      <c r="DO291" s="75"/>
      <c r="DP291" s="81"/>
      <c r="DQ291" s="74"/>
      <c r="DR291" s="75"/>
      <c r="DS291" s="75"/>
      <c r="DT291" s="75"/>
      <c r="DU291" s="75"/>
      <c r="DV291" s="75"/>
      <c r="DW291" s="75"/>
      <c r="DX291" s="75"/>
      <c r="DY291" s="75"/>
      <c r="DZ291" s="75"/>
      <c r="EA291" s="75"/>
      <c r="EB291" s="81"/>
      <c r="EC291" s="74"/>
      <c r="ED291" s="75"/>
      <c r="EE291" s="75"/>
      <c r="EF291" s="75"/>
      <c r="EG291" s="75"/>
      <c r="EH291" s="75"/>
      <c r="EI291" s="75"/>
      <c r="EJ291" s="75"/>
      <c r="EK291" s="75"/>
      <c r="EL291" s="75"/>
      <c r="EM291" s="75"/>
      <c r="EN291" s="81"/>
      <c r="EO291" s="74"/>
      <c r="EP291" s="75"/>
      <c r="EQ291" s="75"/>
      <c r="ER291" s="75"/>
      <c r="ES291" s="75"/>
      <c r="ET291" s="75"/>
      <c r="EU291" s="75"/>
      <c r="EV291" s="75"/>
      <c r="EW291" s="75"/>
      <c r="EX291" s="75"/>
      <c r="EY291" s="75"/>
      <c r="EZ291" s="81"/>
      <c r="FA291" s="74"/>
      <c r="FB291" s="75"/>
      <c r="FC291" s="75"/>
      <c r="FD291" s="75"/>
      <c r="FE291" s="75"/>
      <c r="FF291" s="75"/>
      <c r="FG291" s="75"/>
      <c r="FH291" s="75"/>
      <c r="FI291" s="75"/>
      <c r="FJ291" s="75"/>
      <c r="FK291" s="75"/>
      <c r="FL291" s="81"/>
      <c r="FM291" s="74"/>
      <c r="FN291" s="75"/>
      <c r="FO291" s="75"/>
      <c r="FP291" s="75"/>
      <c r="FQ291" s="75"/>
      <c r="FR291" s="75"/>
      <c r="FS291" s="75"/>
      <c r="FT291" s="75"/>
      <c r="FU291" s="75"/>
      <c r="FV291" s="75"/>
      <c r="FW291" s="75"/>
      <c r="FX291" s="81"/>
      <c r="FY291" s="74"/>
      <c r="FZ291" s="75"/>
      <c r="GA291" s="75"/>
      <c r="GB291" s="75"/>
      <c r="GC291" s="75"/>
      <c r="GD291" s="75"/>
      <c r="GE291" s="75"/>
      <c r="GF291" s="75"/>
      <c r="GG291" s="75"/>
      <c r="GH291" s="75"/>
      <c r="GI291" s="75"/>
      <c r="GJ291" s="81"/>
      <c r="GK291" s="74"/>
      <c r="GL291" s="75"/>
      <c r="GM291" s="75"/>
      <c r="GN291" s="75"/>
      <c r="GO291" s="75"/>
      <c r="GP291" s="75"/>
      <c r="GQ291" s="75"/>
      <c r="GR291" s="75"/>
      <c r="GS291" s="75"/>
      <c r="GT291" s="75"/>
      <c r="GU291" s="75"/>
      <c r="GV291" s="81"/>
      <c r="GW291" s="74"/>
      <c r="GX291" s="75"/>
      <c r="GY291" s="75"/>
      <c r="GZ291" s="75"/>
      <c r="HA291" s="75"/>
      <c r="HB291" s="75"/>
      <c r="HC291" s="75"/>
      <c r="HD291" s="75"/>
      <c r="HE291" s="75"/>
      <c r="HF291" s="75"/>
      <c r="HG291" s="75"/>
      <c r="HH291" s="81"/>
      <c r="HI291" s="75"/>
    </row>
    <row r="292" ht="15.0" customHeight="1">
      <c r="A292" s="74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81"/>
      <c r="M292" s="74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81"/>
      <c r="Y292" s="74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81"/>
      <c r="AK292" s="74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81"/>
      <c r="AW292" s="74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81"/>
      <c r="BI292" s="74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81"/>
      <c r="BU292" s="74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81"/>
      <c r="CG292" s="74"/>
      <c r="CH292" s="75"/>
      <c r="CI292" s="75"/>
      <c r="CJ292" s="75"/>
      <c r="CK292" s="75"/>
      <c r="CL292" s="75"/>
      <c r="CM292" s="75"/>
      <c r="CN292" s="75"/>
      <c r="CO292" s="75"/>
      <c r="CP292" s="75"/>
      <c r="CQ292" s="75"/>
      <c r="CR292" s="81"/>
      <c r="CS292" s="74"/>
      <c r="CT292" s="75"/>
      <c r="CU292" s="75"/>
      <c r="CV292" s="75"/>
      <c r="CW292" s="75"/>
      <c r="CX292" s="75"/>
      <c r="CY292" s="75"/>
      <c r="CZ292" s="75"/>
      <c r="DA292" s="75"/>
      <c r="DB292" s="75"/>
      <c r="DC292" s="75"/>
      <c r="DD292" s="81"/>
      <c r="DE292" s="74"/>
      <c r="DF292" s="75"/>
      <c r="DG292" s="75"/>
      <c r="DH292" s="75"/>
      <c r="DI292" s="75"/>
      <c r="DJ292" s="75"/>
      <c r="DK292" s="75"/>
      <c r="DL292" s="75"/>
      <c r="DM292" s="75"/>
      <c r="DN292" s="75"/>
      <c r="DO292" s="75"/>
      <c r="DP292" s="81"/>
      <c r="DQ292" s="74"/>
      <c r="DR292" s="75"/>
      <c r="DS292" s="75"/>
      <c r="DT292" s="75"/>
      <c r="DU292" s="75"/>
      <c r="DV292" s="75"/>
      <c r="DW292" s="75"/>
      <c r="DX292" s="75"/>
      <c r="DY292" s="75"/>
      <c r="DZ292" s="75"/>
      <c r="EA292" s="75"/>
      <c r="EB292" s="81"/>
      <c r="EC292" s="74"/>
      <c r="ED292" s="75"/>
      <c r="EE292" s="75"/>
      <c r="EF292" s="75"/>
      <c r="EG292" s="75"/>
      <c r="EH292" s="75"/>
      <c r="EI292" s="75"/>
      <c r="EJ292" s="75"/>
      <c r="EK292" s="75"/>
      <c r="EL292" s="75"/>
      <c r="EM292" s="75"/>
      <c r="EN292" s="81"/>
      <c r="EO292" s="74"/>
      <c r="EP292" s="75"/>
      <c r="EQ292" s="75"/>
      <c r="ER292" s="75"/>
      <c r="ES292" s="75"/>
      <c r="ET292" s="75"/>
      <c r="EU292" s="75"/>
      <c r="EV292" s="75"/>
      <c r="EW292" s="75"/>
      <c r="EX292" s="75"/>
      <c r="EY292" s="75"/>
      <c r="EZ292" s="81"/>
      <c r="FA292" s="74"/>
      <c r="FB292" s="75"/>
      <c r="FC292" s="75"/>
      <c r="FD292" s="75"/>
      <c r="FE292" s="75"/>
      <c r="FF292" s="75"/>
      <c r="FG292" s="75"/>
      <c r="FH292" s="75"/>
      <c r="FI292" s="75"/>
      <c r="FJ292" s="75"/>
      <c r="FK292" s="75"/>
      <c r="FL292" s="81"/>
      <c r="FM292" s="74"/>
      <c r="FN292" s="75"/>
      <c r="FO292" s="75"/>
      <c r="FP292" s="75"/>
      <c r="FQ292" s="75"/>
      <c r="FR292" s="75"/>
      <c r="FS292" s="75"/>
      <c r="FT292" s="75"/>
      <c r="FU292" s="75"/>
      <c r="FV292" s="75"/>
      <c r="FW292" s="75"/>
      <c r="FX292" s="81"/>
      <c r="FY292" s="74"/>
      <c r="FZ292" s="75"/>
      <c r="GA292" s="75"/>
      <c r="GB292" s="75"/>
      <c r="GC292" s="75"/>
      <c r="GD292" s="75"/>
      <c r="GE292" s="75"/>
      <c r="GF292" s="75"/>
      <c r="GG292" s="75"/>
      <c r="GH292" s="75"/>
      <c r="GI292" s="75"/>
      <c r="GJ292" s="81"/>
      <c r="GK292" s="74"/>
      <c r="GL292" s="75"/>
      <c r="GM292" s="75"/>
      <c r="GN292" s="75"/>
      <c r="GO292" s="75"/>
      <c r="GP292" s="75"/>
      <c r="GQ292" s="75"/>
      <c r="GR292" s="75"/>
      <c r="GS292" s="75"/>
      <c r="GT292" s="75"/>
      <c r="GU292" s="75"/>
      <c r="GV292" s="81"/>
      <c r="GW292" s="74"/>
      <c r="GX292" s="75"/>
      <c r="GY292" s="75"/>
      <c r="GZ292" s="75"/>
      <c r="HA292" s="75"/>
      <c r="HB292" s="75"/>
      <c r="HC292" s="75"/>
      <c r="HD292" s="75"/>
      <c r="HE292" s="75"/>
      <c r="HF292" s="75"/>
      <c r="HG292" s="75"/>
      <c r="HH292" s="81"/>
      <c r="HI292" s="75"/>
    </row>
    <row r="293" ht="15.0" customHeight="1">
      <c r="A293" s="74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81"/>
      <c r="M293" s="74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81"/>
      <c r="Y293" s="74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81"/>
      <c r="AK293" s="74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81"/>
      <c r="AW293" s="74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81"/>
      <c r="BI293" s="74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81"/>
      <c r="BU293" s="74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81"/>
      <c r="CG293" s="74"/>
      <c r="CH293" s="75"/>
      <c r="CI293" s="75"/>
      <c r="CJ293" s="75"/>
      <c r="CK293" s="75"/>
      <c r="CL293" s="75"/>
      <c r="CM293" s="75"/>
      <c r="CN293" s="75"/>
      <c r="CO293" s="75"/>
      <c r="CP293" s="75"/>
      <c r="CQ293" s="75"/>
      <c r="CR293" s="81"/>
      <c r="CS293" s="74"/>
      <c r="CT293" s="75"/>
      <c r="CU293" s="75"/>
      <c r="CV293" s="75"/>
      <c r="CW293" s="75"/>
      <c r="CX293" s="75"/>
      <c r="CY293" s="75"/>
      <c r="CZ293" s="75"/>
      <c r="DA293" s="75"/>
      <c r="DB293" s="75"/>
      <c r="DC293" s="75"/>
      <c r="DD293" s="81"/>
      <c r="DE293" s="74"/>
      <c r="DF293" s="75"/>
      <c r="DG293" s="75"/>
      <c r="DH293" s="75"/>
      <c r="DI293" s="75"/>
      <c r="DJ293" s="75"/>
      <c r="DK293" s="75"/>
      <c r="DL293" s="75"/>
      <c r="DM293" s="75"/>
      <c r="DN293" s="75"/>
      <c r="DO293" s="75"/>
      <c r="DP293" s="81"/>
      <c r="DQ293" s="74"/>
      <c r="DR293" s="75"/>
      <c r="DS293" s="75"/>
      <c r="DT293" s="75"/>
      <c r="DU293" s="75"/>
      <c r="DV293" s="75"/>
      <c r="DW293" s="75"/>
      <c r="DX293" s="75"/>
      <c r="DY293" s="75"/>
      <c r="DZ293" s="75"/>
      <c r="EA293" s="75"/>
      <c r="EB293" s="81"/>
      <c r="EC293" s="74"/>
      <c r="ED293" s="75"/>
      <c r="EE293" s="75"/>
      <c r="EF293" s="75"/>
      <c r="EG293" s="75"/>
      <c r="EH293" s="75"/>
      <c r="EI293" s="75"/>
      <c r="EJ293" s="75"/>
      <c r="EK293" s="75"/>
      <c r="EL293" s="75"/>
      <c r="EM293" s="75"/>
      <c r="EN293" s="81"/>
      <c r="EO293" s="74"/>
      <c r="EP293" s="75"/>
      <c r="EQ293" s="75"/>
      <c r="ER293" s="75"/>
      <c r="ES293" s="75"/>
      <c r="ET293" s="75"/>
      <c r="EU293" s="75"/>
      <c r="EV293" s="75"/>
      <c r="EW293" s="75"/>
      <c r="EX293" s="75"/>
      <c r="EY293" s="75"/>
      <c r="EZ293" s="81"/>
      <c r="FA293" s="74"/>
      <c r="FB293" s="75"/>
      <c r="FC293" s="75"/>
      <c r="FD293" s="75"/>
      <c r="FE293" s="75"/>
      <c r="FF293" s="75"/>
      <c r="FG293" s="75"/>
      <c r="FH293" s="75"/>
      <c r="FI293" s="75"/>
      <c r="FJ293" s="75"/>
      <c r="FK293" s="75"/>
      <c r="FL293" s="81"/>
      <c r="FM293" s="74"/>
      <c r="FN293" s="75"/>
      <c r="FO293" s="75"/>
      <c r="FP293" s="75"/>
      <c r="FQ293" s="75"/>
      <c r="FR293" s="75"/>
      <c r="FS293" s="75"/>
      <c r="FT293" s="75"/>
      <c r="FU293" s="75"/>
      <c r="FV293" s="75"/>
      <c r="FW293" s="75"/>
      <c r="FX293" s="81"/>
      <c r="FY293" s="74"/>
      <c r="FZ293" s="75"/>
      <c r="GA293" s="75"/>
      <c r="GB293" s="75"/>
      <c r="GC293" s="75"/>
      <c r="GD293" s="75"/>
      <c r="GE293" s="75"/>
      <c r="GF293" s="75"/>
      <c r="GG293" s="75"/>
      <c r="GH293" s="75"/>
      <c r="GI293" s="75"/>
      <c r="GJ293" s="81"/>
      <c r="GK293" s="74"/>
      <c r="GL293" s="75"/>
      <c r="GM293" s="75"/>
      <c r="GN293" s="75"/>
      <c r="GO293" s="75"/>
      <c r="GP293" s="75"/>
      <c r="GQ293" s="75"/>
      <c r="GR293" s="75"/>
      <c r="GS293" s="75"/>
      <c r="GT293" s="75"/>
      <c r="GU293" s="75"/>
      <c r="GV293" s="81"/>
      <c r="GW293" s="74"/>
      <c r="GX293" s="75"/>
      <c r="GY293" s="75"/>
      <c r="GZ293" s="75"/>
      <c r="HA293" s="75"/>
      <c r="HB293" s="75"/>
      <c r="HC293" s="75"/>
      <c r="HD293" s="75"/>
      <c r="HE293" s="75"/>
      <c r="HF293" s="75"/>
      <c r="HG293" s="75"/>
      <c r="HH293" s="81"/>
      <c r="HI293" s="75"/>
    </row>
    <row r="294" ht="15.0" customHeight="1">
      <c r="A294" s="74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81"/>
      <c r="M294" s="74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81"/>
      <c r="Y294" s="74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81"/>
      <c r="AK294" s="74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81"/>
      <c r="AW294" s="74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81"/>
      <c r="BI294" s="74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81"/>
      <c r="BU294" s="74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81"/>
      <c r="CG294" s="74"/>
      <c r="CH294" s="75"/>
      <c r="CI294" s="75"/>
      <c r="CJ294" s="75"/>
      <c r="CK294" s="75"/>
      <c r="CL294" s="75"/>
      <c r="CM294" s="75"/>
      <c r="CN294" s="75"/>
      <c r="CO294" s="75"/>
      <c r="CP294" s="75"/>
      <c r="CQ294" s="75"/>
      <c r="CR294" s="81"/>
      <c r="CS294" s="74"/>
      <c r="CT294" s="75"/>
      <c r="CU294" s="75"/>
      <c r="CV294" s="75"/>
      <c r="CW294" s="75"/>
      <c r="CX294" s="75"/>
      <c r="CY294" s="75"/>
      <c r="CZ294" s="75"/>
      <c r="DA294" s="75"/>
      <c r="DB294" s="75"/>
      <c r="DC294" s="75"/>
      <c r="DD294" s="81"/>
      <c r="DE294" s="74"/>
      <c r="DF294" s="75"/>
      <c r="DG294" s="75"/>
      <c r="DH294" s="75"/>
      <c r="DI294" s="75"/>
      <c r="DJ294" s="75"/>
      <c r="DK294" s="75"/>
      <c r="DL294" s="75"/>
      <c r="DM294" s="75"/>
      <c r="DN294" s="75"/>
      <c r="DO294" s="75"/>
      <c r="DP294" s="81"/>
      <c r="DQ294" s="74"/>
      <c r="DR294" s="75"/>
      <c r="DS294" s="75"/>
      <c r="DT294" s="75"/>
      <c r="DU294" s="75"/>
      <c r="DV294" s="75"/>
      <c r="DW294" s="75"/>
      <c r="DX294" s="75"/>
      <c r="DY294" s="75"/>
      <c r="DZ294" s="75"/>
      <c r="EA294" s="75"/>
      <c r="EB294" s="81"/>
      <c r="EC294" s="74"/>
      <c r="ED294" s="75"/>
      <c r="EE294" s="75"/>
      <c r="EF294" s="75"/>
      <c r="EG294" s="75"/>
      <c r="EH294" s="75"/>
      <c r="EI294" s="75"/>
      <c r="EJ294" s="75"/>
      <c r="EK294" s="75"/>
      <c r="EL294" s="75"/>
      <c r="EM294" s="75"/>
      <c r="EN294" s="81"/>
      <c r="EO294" s="74"/>
      <c r="EP294" s="75"/>
      <c r="EQ294" s="75"/>
      <c r="ER294" s="75"/>
      <c r="ES294" s="75"/>
      <c r="ET294" s="75"/>
      <c r="EU294" s="75"/>
      <c r="EV294" s="75"/>
      <c r="EW294" s="75"/>
      <c r="EX294" s="75"/>
      <c r="EY294" s="75"/>
      <c r="EZ294" s="81"/>
      <c r="FA294" s="74"/>
      <c r="FB294" s="75"/>
      <c r="FC294" s="75"/>
      <c r="FD294" s="75"/>
      <c r="FE294" s="75"/>
      <c r="FF294" s="75"/>
      <c r="FG294" s="75"/>
      <c r="FH294" s="75"/>
      <c r="FI294" s="75"/>
      <c r="FJ294" s="75"/>
      <c r="FK294" s="75"/>
      <c r="FL294" s="81"/>
      <c r="FM294" s="74"/>
      <c r="FN294" s="75"/>
      <c r="FO294" s="75"/>
      <c r="FP294" s="75"/>
      <c r="FQ294" s="75"/>
      <c r="FR294" s="75"/>
      <c r="FS294" s="75"/>
      <c r="FT294" s="75"/>
      <c r="FU294" s="75"/>
      <c r="FV294" s="75"/>
      <c r="FW294" s="75"/>
      <c r="FX294" s="81"/>
      <c r="FY294" s="74"/>
      <c r="FZ294" s="75"/>
      <c r="GA294" s="75"/>
      <c r="GB294" s="75"/>
      <c r="GC294" s="75"/>
      <c r="GD294" s="75"/>
      <c r="GE294" s="75"/>
      <c r="GF294" s="75"/>
      <c r="GG294" s="75"/>
      <c r="GH294" s="75"/>
      <c r="GI294" s="75"/>
      <c r="GJ294" s="81"/>
      <c r="GK294" s="74"/>
      <c r="GL294" s="75"/>
      <c r="GM294" s="75"/>
      <c r="GN294" s="75"/>
      <c r="GO294" s="75"/>
      <c r="GP294" s="75"/>
      <c r="GQ294" s="75"/>
      <c r="GR294" s="75"/>
      <c r="GS294" s="75"/>
      <c r="GT294" s="75"/>
      <c r="GU294" s="75"/>
      <c r="GV294" s="81"/>
      <c r="GW294" s="74"/>
      <c r="GX294" s="75"/>
      <c r="GY294" s="75"/>
      <c r="GZ294" s="75"/>
      <c r="HA294" s="75"/>
      <c r="HB294" s="75"/>
      <c r="HC294" s="75"/>
      <c r="HD294" s="75"/>
      <c r="HE294" s="75"/>
      <c r="HF294" s="75"/>
      <c r="HG294" s="75"/>
      <c r="HH294" s="81"/>
      <c r="HI294" s="75"/>
    </row>
    <row r="295" ht="15.0" customHeight="1">
      <c r="A295" s="74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81"/>
      <c r="M295" s="74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81"/>
      <c r="Y295" s="74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81"/>
      <c r="AK295" s="74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81"/>
      <c r="AW295" s="74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81"/>
      <c r="BI295" s="74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81"/>
      <c r="BU295" s="74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81"/>
      <c r="CG295" s="74"/>
      <c r="CH295" s="75"/>
      <c r="CI295" s="75"/>
      <c r="CJ295" s="75"/>
      <c r="CK295" s="75"/>
      <c r="CL295" s="75"/>
      <c r="CM295" s="75"/>
      <c r="CN295" s="75"/>
      <c r="CO295" s="75"/>
      <c r="CP295" s="75"/>
      <c r="CQ295" s="75"/>
      <c r="CR295" s="81"/>
      <c r="CS295" s="74"/>
      <c r="CT295" s="75"/>
      <c r="CU295" s="75"/>
      <c r="CV295" s="75"/>
      <c r="CW295" s="75"/>
      <c r="CX295" s="75"/>
      <c r="CY295" s="75"/>
      <c r="CZ295" s="75"/>
      <c r="DA295" s="75"/>
      <c r="DB295" s="75"/>
      <c r="DC295" s="75"/>
      <c r="DD295" s="81"/>
      <c r="DE295" s="74"/>
      <c r="DF295" s="75"/>
      <c r="DG295" s="75"/>
      <c r="DH295" s="75"/>
      <c r="DI295" s="75"/>
      <c r="DJ295" s="75"/>
      <c r="DK295" s="75"/>
      <c r="DL295" s="75"/>
      <c r="DM295" s="75"/>
      <c r="DN295" s="75"/>
      <c r="DO295" s="75"/>
      <c r="DP295" s="81"/>
      <c r="DQ295" s="74"/>
      <c r="DR295" s="75"/>
      <c r="DS295" s="75"/>
      <c r="DT295" s="75"/>
      <c r="DU295" s="75"/>
      <c r="DV295" s="75"/>
      <c r="DW295" s="75"/>
      <c r="DX295" s="75"/>
      <c r="DY295" s="75"/>
      <c r="DZ295" s="75"/>
      <c r="EA295" s="75"/>
      <c r="EB295" s="81"/>
      <c r="EC295" s="74"/>
      <c r="ED295" s="75"/>
      <c r="EE295" s="75"/>
      <c r="EF295" s="75"/>
      <c r="EG295" s="75"/>
      <c r="EH295" s="75"/>
      <c r="EI295" s="75"/>
      <c r="EJ295" s="75"/>
      <c r="EK295" s="75"/>
      <c r="EL295" s="75"/>
      <c r="EM295" s="75"/>
      <c r="EN295" s="81"/>
      <c r="EO295" s="74"/>
      <c r="EP295" s="75"/>
      <c r="EQ295" s="75"/>
      <c r="ER295" s="75"/>
      <c r="ES295" s="75"/>
      <c r="ET295" s="75"/>
      <c r="EU295" s="75"/>
      <c r="EV295" s="75"/>
      <c r="EW295" s="75"/>
      <c r="EX295" s="75"/>
      <c r="EY295" s="75"/>
      <c r="EZ295" s="81"/>
      <c r="FA295" s="74"/>
      <c r="FB295" s="75"/>
      <c r="FC295" s="75"/>
      <c r="FD295" s="75"/>
      <c r="FE295" s="75"/>
      <c r="FF295" s="75"/>
      <c r="FG295" s="75"/>
      <c r="FH295" s="75"/>
      <c r="FI295" s="75"/>
      <c r="FJ295" s="75"/>
      <c r="FK295" s="75"/>
      <c r="FL295" s="81"/>
      <c r="FM295" s="74"/>
      <c r="FN295" s="75"/>
      <c r="FO295" s="75"/>
      <c r="FP295" s="75"/>
      <c r="FQ295" s="75"/>
      <c r="FR295" s="75"/>
      <c r="FS295" s="75"/>
      <c r="FT295" s="75"/>
      <c r="FU295" s="75"/>
      <c r="FV295" s="75"/>
      <c r="FW295" s="75"/>
      <c r="FX295" s="81"/>
      <c r="FY295" s="74"/>
      <c r="FZ295" s="75"/>
      <c r="GA295" s="75"/>
      <c r="GB295" s="75"/>
      <c r="GC295" s="75"/>
      <c r="GD295" s="75"/>
      <c r="GE295" s="75"/>
      <c r="GF295" s="75"/>
      <c r="GG295" s="75"/>
      <c r="GH295" s="75"/>
      <c r="GI295" s="75"/>
      <c r="GJ295" s="81"/>
      <c r="GK295" s="74"/>
      <c r="GL295" s="75"/>
      <c r="GM295" s="75"/>
      <c r="GN295" s="75"/>
      <c r="GO295" s="75"/>
      <c r="GP295" s="75"/>
      <c r="GQ295" s="75"/>
      <c r="GR295" s="75"/>
      <c r="GS295" s="75"/>
      <c r="GT295" s="75"/>
      <c r="GU295" s="75"/>
      <c r="GV295" s="81"/>
      <c r="GW295" s="74"/>
      <c r="GX295" s="75"/>
      <c r="GY295" s="75"/>
      <c r="GZ295" s="75"/>
      <c r="HA295" s="75"/>
      <c r="HB295" s="75"/>
      <c r="HC295" s="75"/>
      <c r="HD295" s="75"/>
      <c r="HE295" s="75"/>
      <c r="HF295" s="75"/>
      <c r="HG295" s="75"/>
      <c r="HH295" s="81"/>
      <c r="HI295" s="75"/>
    </row>
    <row r="296" ht="15.0" customHeight="1">
      <c r="A296" s="74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81"/>
      <c r="M296" s="74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81"/>
      <c r="Y296" s="74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81"/>
      <c r="AK296" s="74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81"/>
      <c r="AW296" s="74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81"/>
      <c r="BI296" s="74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81"/>
      <c r="BU296" s="74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81"/>
      <c r="CG296" s="74"/>
      <c r="CH296" s="75"/>
      <c r="CI296" s="75"/>
      <c r="CJ296" s="75"/>
      <c r="CK296" s="75"/>
      <c r="CL296" s="75"/>
      <c r="CM296" s="75"/>
      <c r="CN296" s="75"/>
      <c r="CO296" s="75"/>
      <c r="CP296" s="75"/>
      <c r="CQ296" s="75"/>
      <c r="CR296" s="81"/>
      <c r="CS296" s="74"/>
      <c r="CT296" s="75"/>
      <c r="CU296" s="75"/>
      <c r="CV296" s="75"/>
      <c r="CW296" s="75"/>
      <c r="CX296" s="75"/>
      <c r="CY296" s="75"/>
      <c r="CZ296" s="75"/>
      <c r="DA296" s="75"/>
      <c r="DB296" s="75"/>
      <c r="DC296" s="75"/>
      <c r="DD296" s="81"/>
      <c r="DE296" s="74"/>
      <c r="DF296" s="75"/>
      <c r="DG296" s="75"/>
      <c r="DH296" s="75"/>
      <c r="DI296" s="75"/>
      <c r="DJ296" s="75"/>
      <c r="DK296" s="75"/>
      <c r="DL296" s="75"/>
      <c r="DM296" s="75"/>
      <c r="DN296" s="75"/>
      <c r="DO296" s="75"/>
      <c r="DP296" s="81"/>
      <c r="DQ296" s="74"/>
      <c r="DR296" s="75"/>
      <c r="DS296" s="75"/>
      <c r="DT296" s="75"/>
      <c r="DU296" s="75"/>
      <c r="DV296" s="75"/>
      <c r="DW296" s="75"/>
      <c r="DX296" s="75"/>
      <c r="DY296" s="75"/>
      <c r="DZ296" s="75"/>
      <c r="EA296" s="75"/>
      <c r="EB296" s="81"/>
      <c r="EC296" s="74"/>
      <c r="ED296" s="75"/>
      <c r="EE296" s="75"/>
      <c r="EF296" s="75"/>
      <c r="EG296" s="75"/>
      <c r="EH296" s="75"/>
      <c r="EI296" s="75"/>
      <c r="EJ296" s="75"/>
      <c r="EK296" s="75"/>
      <c r="EL296" s="75"/>
      <c r="EM296" s="75"/>
      <c r="EN296" s="81"/>
      <c r="EO296" s="74"/>
      <c r="EP296" s="75"/>
      <c r="EQ296" s="75"/>
      <c r="ER296" s="75"/>
      <c r="ES296" s="75"/>
      <c r="ET296" s="75"/>
      <c r="EU296" s="75"/>
      <c r="EV296" s="75"/>
      <c r="EW296" s="75"/>
      <c r="EX296" s="75"/>
      <c r="EY296" s="75"/>
      <c r="EZ296" s="81"/>
      <c r="FA296" s="74"/>
      <c r="FB296" s="75"/>
      <c r="FC296" s="75"/>
      <c r="FD296" s="75"/>
      <c r="FE296" s="75"/>
      <c r="FF296" s="75"/>
      <c r="FG296" s="75"/>
      <c r="FH296" s="75"/>
      <c r="FI296" s="75"/>
      <c r="FJ296" s="75"/>
      <c r="FK296" s="75"/>
      <c r="FL296" s="81"/>
      <c r="FM296" s="74"/>
      <c r="FN296" s="75"/>
      <c r="FO296" s="75"/>
      <c r="FP296" s="75"/>
      <c r="FQ296" s="75"/>
      <c r="FR296" s="75"/>
      <c r="FS296" s="75"/>
      <c r="FT296" s="75"/>
      <c r="FU296" s="75"/>
      <c r="FV296" s="75"/>
      <c r="FW296" s="75"/>
      <c r="FX296" s="81"/>
      <c r="FY296" s="74"/>
      <c r="FZ296" s="75"/>
      <c r="GA296" s="75"/>
      <c r="GB296" s="75"/>
      <c r="GC296" s="75"/>
      <c r="GD296" s="75"/>
      <c r="GE296" s="75"/>
      <c r="GF296" s="75"/>
      <c r="GG296" s="75"/>
      <c r="GH296" s="75"/>
      <c r="GI296" s="75"/>
      <c r="GJ296" s="81"/>
      <c r="GK296" s="74"/>
      <c r="GL296" s="75"/>
      <c r="GM296" s="75"/>
      <c r="GN296" s="75"/>
      <c r="GO296" s="75"/>
      <c r="GP296" s="75"/>
      <c r="GQ296" s="75"/>
      <c r="GR296" s="75"/>
      <c r="GS296" s="75"/>
      <c r="GT296" s="75"/>
      <c r="GU296" s="75"/>
      <c r="GV296" s="81"/>
      <c r="GW296" s="74"/>
      <c r="GX296" s="75"/>
      <c r="GY296" s="75"/>
      <c r="GZ296" s="75"/>
      <c r="HA296" s="75"/>
      <c r="HB296" s="75"/>
      <c r="HC296" s="75"/>
      <c r="HD296" s="75"/>
      <c r="HE296" s="75"/>
      <c r="HF296" s="75"/>
      <c r="HG296" s="75"/>
      <c r="HH296" s="81"/>
      <c r="HI296" s="75"/>
    </row>
    <row r="297" ht="15.0" customHeight="1">
      <c r="A297" s="74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81"/>
      <c r="M297" s="74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81"/>
      <c r="Y297" s="74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81"/>
      <c r="AK297" s="74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81"/>
      <c r="AW297" s="74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81"/>
      <c r="BI297" s="74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81"/>
      <c r="BU297" s="74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81"/>
      <c r="CG297" s="74"/>
      <c r="CH297" s="75"/>
      <c r="CI297" s="75"/>
      <c r="CJ297" s="75"/>
      <c r="CK297" s="75"/>
      <c r="CL297" s="75"/>
      <c r="CM297" s="75"/>
      <c r="CN297" s="75"/>
      <c r="CO297" s="75"/>
      <c r="CP297" s="75"/>
      <c r="CQ297" s="75"/>
      <c r="CR297" s="81"/>
      <c r="CS297" s="74"/>
      <c r="CT297" s="75"/>
      <c r="CU297" s="75"/>
      <c r="CV297" s="75"/>
      <c r="CW297" s="75"/>
      <c r="CX297" s="75"/>
      <c r="CY297" s="75"/>
      <c r="CZ297" s="75"/>
      <c r="DA297" s="75"/>
      <c r="DB297" s="75"/>
      <c r="DC297" s="75"/>
      <c r="DD297" s="81"/>
      <c r="DE297" s="74"/>
      <c r="DF297" s="75"/>
      <c r="DG297" s="75"/>
      <c r="DH297" s="75"/>
      <c r="DI297" s="75"/>
      <c r="DJ297" s="75"/>
      <c r="DK297" s="75"/>
      <c r="DL297" s="75"/>
      <c r="DM297" s="75"/>
      <c r="DN297" s="75"/>
      <c r="DO297" s="75"/>
      <c r="DP297" s="81"/>
      <c r="DQ297" s="74"/>
      <c r="DR297" s="75"/>
      <c r="DS297" s="75"/>
      <c r="DT297" s="75"/>
      <c r="DU297" s="75"/>
      <c r="DV297" s="75"/>
      <c r="DW297" s="75"/>
      <c r="DX297" s="75"/>
      <c r="DY297" s="75"/>
      <c r="DZ297" s="75"/>
      <c r="EA297" s="75"/>
      <c r="EB297" s="81"/>
      <c r="EC297" s="74"/>
      <c r="ED297" s="75"/>
      <c r="EE297" s="75"/>
      <c r="EF297" s="75"/>
      <c r="EG297" s="75"/>
      <c r="EH297" s="75"/>
      <c r="EI297" s="75"/>
      <c r="EJ297" s="75"/>
      <c r="EK297" s="75"/>
      <c r="EL297" s="75"/>
      <c r="EM297" s="75"/>
      <c r="EN297" s="81"/>
      <c r="EO297" s="74"/>
      <c r="EP297" s="75"/>
      <c r="EQ297" s="75"/>
      <c r="ER297" s="75"/>
      <c r="ES297" s="75"/>
      <c r="ET297" s="75"/>
      <c r="EU297" s="75"/>
      <c r="EV297" s="75"/>
      <c r="EW297" s="75"/>
      <c r="EX297" s="75"/>
      <c r="EY297" s="75"/>
      <c r="EZ297" s="81"/>
      <c r="FA297" s="74"/>
      <c r="FB297" s="75"/>
      <c r="FC297" s="75"/>
      <c r="FD297" s="75"/>
      <c r="FE297" s="75"/>
      <c r="FF297" s="75"/>
      <c r="FG297" s="75"/>
      <c r="FH297" s="75"/>
      <c r="FI297" s="75"/>
      <c r="FJ297" s="75"/>
      <c r="FK297" s="75"/>
      <c r="FL297" s="81"/>
      <c r="FM297" s="74"/>
      <c r="FN297" s="75"/>
      <c r="FO297" s="75"/>
      <c r="FP297" s="75"/>
      <c r="FQ297" s="75"/>
      <c r="FR297" s="75"/>
      <c r="FS297" s="75"/>
      <c r="FT297" s="75"/>
      <c r="FU297" s="75"/>
      <c r="FV297" s="75"/>
      <c r="FW297" s="75"/>
      <c r="FX297" s="81"/>
      <c r="FY297" s="74"/>
      <c r="FZ297" s="75"/>
      <c r="GA297" s="75"/>
      <c r="GB297" s="75"/>
      <c r="GC297" s="75"/>
      <c r="GD297" s="75"/>
      <c r="GE297" s="75"/>
      <c r="GF297" s="75"/>
      <c r="GG297" s="75"/>
      <c r="GH297" s="75"/>
      <c r="GI297" s="75"/>
      <c r="GJ297" s="81"/>
      <c r="GK297" s="74"/>
      <c r="GL297" s="75"/>
      <c r="GM297" s="75"/>
      <c r="GN297" s="75"/>
      <c r="GO297" s="75"/>
      <c r="GP297" s="75"/>
      <c r="GQ297" s="75"/>
      <c r="GR297" s="75"/>
      <c r="GS297" s="75"/>
      <c r="GT297" s="75"/>
      <c r="GU297" s="75"/>
      <c r="GV297" s="81"/>
      <c r="GW297" s="74"/>
      <c r="GX297" s="75"/>
      <c r="GY297" s="75"/>
      <c r="GZ297" s="75"/>
      <c r="HA297" s="75"/>
      <c r="HB297" s="75"/>
      <c r="HC297" s="75"/>
      <c r="HD297" s="75"/>
      <c r="HE297" s="75"/>
      <c r="HF297" s="75"/>
      <c r="HG297" s="75"/>
      <c r="HH297" s="81"/>
      <c r="HI297" s="75"/>
    </row>
    <row r="298" ht="15.0" customHeight="1">
      <c r="A298" s="74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81"/>
      <c r="M298" s="74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81"/>
      <c r="Y298" s="74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81"/>
      <c r="AK298" s="74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81"/>
      <c r="AW298" s="74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81"/>
      <c r="BI298" s="74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81"/>
      <c r="BU298" s="74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81"/>
      <c r="CG298" s="74"/>
      <c r="CH298" s="75"/>
      <c r="CI298" s="75"/>
      <c r="CJ298" s="75"/>
      <c r="CK298" s="75"/>
      <c r="CL298" s="75"/>
      <c r="CM298" s="75"/>
      <c r="CN298" s="75"/>
      <c r="CO298" s="75"/>
      <c r="CP298" s="75"/>
      <c r="CQ298" s="75"/>
      <c r="CR298" s="81"/>
      <c r="CS298" s="74"/>
      <c r="CT298" s="75"/>
      <c r="CU298" s="75"/>
      <c r="CV298" s="75"/>
      <c r="CW298" s="75"/>
      <c r="CX298" s="75"/>
      <c r="CY298" s="75"/>
      <c r="CZ298" s="75"/>
      <c r="DA298" s="75"/>
      <c r="DB298" s="75"/>
      <c r="DC298" s="75"/>
      <c r="DD298" s="81"/>
      <c r="DE298" s="74"/>
      <c r="DF298" s="75"/>
      <c r="DG298" s="75"/>
      <c r="DH298" s="75"/>
      <c r="DI298" s="75"/>
      <c r="DJ298" s="75"/>
      <c r="DK298" s="75"/>
      <c r="DL298" s="75"/>
      <c r="DM298" s="75"/>
      <c r="DN298" s="75"/>
      <c r="DO298" s="75"/>
      <c r="DP298" s="81"/>
      <c r="DQ298" s="74"/>
      <c r="DR298" s="75"/>
      <c r="DS298" s="75"/>
      <c r="DT298" s="75"/>
      <c r="DU298" s="75"/>
      <c r="DV298" s="75"/>
      <c r="DW298" s="75"/>
      <c r="DX298" s="75"/>
      <c r="DY298" s="75"/>
      <c r="DZ298" s="75"/>
      <c r="EA298" s="75"/>
      <c r="EB298" s="81"/>
      <c r="EC298" s="74"/>
      <c r="ED298" s="75"/>
      <c r="EE298" s="75"/>
      <c r="EF298" s="75"/>
      <c r="EG298" s="75"/>
      <c r="EH298" s="75"/>
      <c r="EI298" s="75"/>
      <c r="EJ298" s="75"/>
      <c r="EK298" s="75"/>
      <c r="EL298" s="75"/>
      <c r="EM298" s="75"/>
      <c r="EN298" s="81"/>
      <c r="EO298" s="74"/>
      <c r="EP298" s="75"/>
      <c r="EQ298" s="75"/>
      <c r="ER298" s="75"/>
      <c r="ES298" s="75"/>
      <c r="ET298" s="75"/>
      <c r="EU298" s="75"/>
      <c r="EV298" s="75"/>
      <c r="EW298" s="75"/>
      <c r="EX298" s="75"/>
      <c r="EY298" s="75"/>
      <c r="EZ298" s="81"/>
      <c r="FA298" s="74"/>
      <c r="FB298" s="75"/>
      <c r="FC298" s="75"/>
      <c r="FD298" s="75"/>
      <c r="FE298" s="75"/>
      <c r="FF298" s="75"/>
      <c r="FG298" s="75"/>
      <c r="FH298" s="75"/>
      <c r="FI298" s="75"/>
      <c r="FJ298" s="75"/>
      <c r="FK298" s="75"/>
      <c r="FL298" s="81"/>
      <c r="FM298" s="74"/>
      <c r="FN298" s="75"/>
      <c r="FO298" s="75"/>
      <c r="FP298" s="75"/>
      <c r="FQ298" s="75"/>
      <c r="FR298" s="75"/>
      <c r="FS298" s="75"/>
      <c r="FT298" s="75"/>
      <c r="FU298" s="75"/>
      <c r="FV298" s="75"/>
      <c r="FW298" s="75"/>
      <c r="FX298" s="81"/>
      <c r="FY298" s="74"/>
      <c r="FZ298" s="75"/>
      <c r="GA298" s="75"/>
      <c r="GB298" s="75"/>
      <c r="GC298" s="75"/>
      <c r="GD298" s="75"/>
      <c r="GE298" s="75"/>
      <c r="GF298" s="75"/>
      <c r="GG298" s="75"/>
      <c r="GH298" s="75"/>
      <c r="GI298" s="75"/>
      <c r="GJ298" s="81"/>
      <c r="GK298" s="74"/>
      <c r="GL298" s="75"/>
      <c r="GM298" s="75"/>
      <c r="GN298" s="75"/>
      <c r="GO298" s="75"/>
      <c r="GP298" s="75"/>
      <c r="GQ298" s="75"/>
      <c r="GR298" s="75"/>
      <c r="GS298" s="75"/>
      <c r="GT298" s="75"/>
      <c r="GU298" s="75"/>
      <c r="GV298" s="81"/>
      <c r="GW298" s="74"/>
      <c r="GX298" s="75"/>
      <c r="GY298" s="75"/>
      <c r="GZ298" s="75"/>
      <c r="HA298" s="75"/>
      <c r="HB298" s="75"/>
      <c r="HC298" s="75"/>
      <c r="HD298" s="75"/>
      <c r="HE298" s="75"/>
      <c r="HF298" s="75"/>
      <c r="HG298" s="75"/>
      <c r="HH298" s="81"/>
      <c r="HI298" s="75"/>
    </row>
    <row r="299" ht="15.0" customHeight="1">
      <c r="A299" s="74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81"/>
      <c r="M299" s="74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81"/>
      <c r="Y299" s="74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81"/>
      <c r="AK299" s="74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81"/>
      <c r="AW299" s="74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81"/>
      <c r="BI299" s="74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81"/>
      <c r="BU299" s="74"/>
      <c r="BV299" s="75"/>
      <c r="BW299" s="75"/>
      <c r="BX299" s="75"/>
      <c r="BY299" s="75"/>
      <c r="BZ299" s="75"/>
      <c r="CA299" s="75"/>
      <c r="CB299" s="75"/>
      <c r="CC299" s="75"/>
      <c r="CD299" s="75"/>
      <c r="CE299" s="75"/>
      <c r="CF299" s="81"/>
      <c r="CG299" s="74"/>
      <c r="CH299" s="75"/>
      <c r="CI299" s="75"/>
      <c r="CJ299" s="75"/>
      <c r="CK299" s="75"/>
      <c r="CL299" s="75"/>
      <c r="CM299" s="75"/>
      <c r="CN299" s="75"/>
      <c r="CO299" s="75"/>
      <c r="CP299" s="75"/>
      <c r="CQ299" s="75"/>
      <c r="CR299" s="81"/>
      <c r="CS299" s="74"/>
      <c r="CT299" s="75"/>
      <c r="CU299" s="75"/>
      <c r="CV299" s="75"/>
      <c r="CW299" s="75"/>
      <c r="CX299" s="75"/>
      <c r="CY299" s="75"/>
      <c r="CZ299" s="75"/>
      <c r="DA299" s="75"/>
      <c r="DB299" s="75"/>
      <c r="DC299" s="75"/>
      <c r="DD299" s="81"/>
      <c r="DE299" s="74"/>
      <c r="DF299" s="75"/>
      <c r="DG299" s="75"/>
      <c r="DH299" s="75"/>
      <c r="DI299" s="75"/>
      <c r="DJ299" s="75"/>
      <c r="DK299" s="75"/>
      <c r="DL299" s="75"/>
      <c r="DM299" s="75"/>
      <c r="DN299" s="75"/>
      <c r="DO299" s="75"/>
      <c r="DP299" s="81"/>
      <c r="DQ299" s="74"/>
      <c r="DR299" s="75"/>
      <c r="DS299" s="75"/>
      <c r="DT299" s="75"/>
      <c r="DU299" s="75"/>
      <c r="DV299" s="75"/>
      <c r="DW299" s="75"/>
      <c r="DX299" s="75"/>
      <c r="DY299" s="75"/>
      <c r="DZ299" s="75"/>
      <c r="EA299" s="75"/>
      <c r="EB299" s="81"/>
      <c r="EC299" s="74"/>
      <c r="ED299" s="75"/>
      <c r="EE299" s="75"/>
      <c r="EF299" s="75"/>
      <c r="EG299" s="75"/>
      <c r="EH299" s="75"/>
      <c r="EI299" s="75"/>
      <c r="EJ299" s="75"/>
      <c r="EK299" s="75"/>
      <c r="EL299" s="75"/>
      <c r="EM299" s="75"/>
      <c r="EN299" s="81"/>
      <c r="EO299" s="74"/>
      <c r="EP299" s="75"/>
      <c r="EQ299" s="75"/>
      <c r="ER299" s="75"/>
      <c r="ES299" s="75"/>
      <c r="ET299" s="75"/>
      <c r="EU299" s="75"/>
      <c r="EV299" s="75"/>
      <c r="EW299" s="75"/>
      <c r="EX299" s="75"/>
      <c r="EY299" s="75"/>
      <c r="EZ299" s="81"/>
      <c r="FA299" s="74"/>
      <c r="FB299" s="75"/>
      <c r="FC299" s="75"/>
      <c r="FD299" s="75"/>
      <c r="FE299" s="75"/>
      <c r="FF299" s="75"/>
      <c r="FG299" s="75"/>
      <c r="FH299" s="75"/>
      <c r="FI299" s="75"/>
      <c r="FJ299" s="75"/>
      <c r="FK299" s="75"/>
      <c r="FL299" s="81"/>
      <c r="FM299" s="74"/>
      <c r="FN299" s="75"/>
      <c r="FO299" s="75"/>
      <c r="FP299" s="75"/>
      <c r="FQ299" s="75"/>
      <c r="FR299" s="75"/>
      <c r="FS299" s="75"/>
      <c r="FT299" s="75"/>
      <c r="FU299" s="75"/>
      <c r="FV299" s="75"/>
      <c r="FW299" s="75"/>
      <c r="FX299" s="81"/>
      <c r="FY299" s="74"/>
      <c r="FZ299" s="75"/>
      <c r="GA299" s="75"/>
      <c r="GB299" s="75"/>
      <c r="GC299" s="75"/>
      <c r="GD299" s="75"/>
      <c r="GE299" s="75"/>
      <c r="GF299" s="75"/>
      <c r="GG299" s="75"/>
      <c r="GH299" s="75"/>
      <c r="GI299" s="75"/>
      <c r="GJ299" s="81"/>
      <c r="GK299" s="74"/>
      <c r="GL299" s="75"/>
      <c r="GM299" s="75"/>
      <c r="GN299" s="75"/>
      <c r="GO299" s="75"/>
      <c r="GP299" s="75"/>
      <c r="GQ299" s="75"/>
      <c r="GR299" s="75"/>
      <c r="GS299" s="75"/>
      <c r="GT299" s="75"/>
      <c r="GU299" s="75"/>
      <c r="GV299" s="81"/>
      <c r="GW299" s="74"/>
      <c r="GX299" s="75"/>
      <c r="GY299" s="75"/>
      <c r="GZ299" s="75"/>
      <c r="HA299" s="75"/>
      <c r="HB299" s="75"/>
      <c r="HC299" s="75"/>
      <c r="HD299" s="75"/>
      <c r="HE299" s="75"/>
      <c r="HF299" s="75"/>
      <c r="HG299" s="75"/>
      <c r="HH299" s="81"/>
      <c r="HI299" s="75"/>
    </row>
    <row r="300" ht="15.0" customHeight="1">
      <c r="A300" s="74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81"/>
      <c r="M300" s="74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81"/>
      <c r="Y300" s="74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81"/>
      <c r="AK300" s="74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81"/>
      <c r="AW300" s="74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81"/>
      <c r="BI300" s="74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81"/>
      <c r="BU300" s="74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81"/>
      <c r="CG300" s="74"/>
      <c r="CH300" s="75"/>
      <c r="CI300" s="75"/>
      <c r="CJ300" s="75"/>
      <c r="CK300" s="75"/>
      <c r="CL300" s="75"/>
      <c r="CM300" s="75"/>
      <c r="CN300" s="75"/>
      <c r="CO300" s="75"/>
      <c r="CP300" s="75"/>
      <c r="CQ300" s="75"/>
      <c r="CR300" s="81"/>
      <c r="CS300" s="74"/>
      <c r="CT300" s="75"/>
      <c r="CU300" s="75"/>
      <c r="CV300" s="75"/>
      <c r="CW300" s="75"/>
      <c r="CX300" s="75"/>
      <c r="CY300" s="75"/>
      <c r="CZ300" s="75"/>
      <c r="DA300" s="75"/>
      <c r="DB300" s="75"/>
      <c r="DC300" s="75"/>
      <c r="DD300" s="81"/>
      <c r="DE300" s="74"/>
      <c r="DF300" s="75"/>
      <c r="DG300" s="75"/>
      <c r="DH300" s="75"/>
      <c r="DI300" s="75"/>
      <c r="DJ300" s="75"/>
      <c r="DK300" s="75"/>
      <c r="DL300" s="75"/>
      <c r="DM300" s="75"/>
      <c r="DN300" s="75"/>
      <c r="DO300" s="75"/>
      <c r="DP300" s="81"/>
      <c r="DQ300" s="74"/>
      <c r="DR300" s="75"/>
      <c r="DS300" s="75"/>
      <c r="DT300" s="75"/>
      <c r="DU300" s="75"/>
      <c r="DV300" s="75"/>
      <c r="DW300" s="75"/>
      <c r="DX300" s="75"/>
      <c r="DY300" s="75"/>
      <c r="DZ300" s="75"/>
      <c r="EA300" s="75"/>
      <c r="EB300" s="81"/>
      <c r="EC300" s="74"/>
      <c r="ED300" s="75"/>
      <c r="EE300" s="75"/>
      <c r="EF300" s="75"/>
      <c r="EG300" s="75"/>
      <c r="EH300" s="75"/>
      <c r="EI300" s="75"/>
      <c r="EJ300" s="75"/>
      <c r="EK300" s="75"/>
      <c r="EL300" s="75"/>
      <c r="EM300" s="75"/>
      <c r="EN300" s="81"/>
      <c r="EO300" s="74"/>
      <c r="EP300" s="75"/>
      <c r="EQ300" s="75"/>
      <c r="ER300" s="75"/>
      <c r="ES300" s="75"/>
      <c r="ET300" s="75"/>
      <c r="EU300" s="75"/>
      <c r="EV300" s="75"/>
      <c r="EW300" s="75"/>
      <c r="EX300" s="75"/>
      <c r="EY300" s="75"/>
      <c r="EZ300" s="81"/>
      <c r="FA300" s="74"/>
      <c r="FB300" s="75"/>
      <c r="FC300" s="75"/>
      <c r="FD300" s="75"/>
      <c r="FE300" s="75"/>
      <c r="FF300" s="75"/>
      <c r="FG300" s="75"/>
      <c r="FH300" s="75"/>
      <c r="FI300" s="75"/>
      <c r="FJ300" s="75"/>
      <c r="FK300" s="75"/>
      <c r="FL300" s="81"/>
      <c r="FM300" s="74"/>
      <c r="FN300" s="75"/>
      <c r="FO300" s="75"/>
      <c r="FP300" s="75"/>
      <c r="FQ300" s="75"/>
      <c r="FR300" s="75"/>
      <c r="FS300" s="75"/>
      <c r="FT300" s="75"/>
      <c r="FU300" s="75"/>
      <c r="FV300" s="75"/>
      <c r="FW300" s="75"/>
      <c r="FX300" s="81"/>
      <c r="FY300" s="74"/>
      <c r="FZ300" s="75"/>
      <c r="GA300" s="75"/>
      <c r="GB300" s="75"/>
      <c r="GC300" s="75"/>
      <c r="GD300" s="75"/>
      <c r="GE300" s="75"/>
      <c r="GF300" s="75"/>
      <c r="GG300" s="75"/>
      <c r="GH300" s="75"/>
      <c r="GI300" s="75"/>
      <c r="GJ300" s="81"/>
      <c r="GK300" s="74"/>
      <c r="GL300" s="75"/>
      <c r="GM300" s="75"/>
      <c r="GN300" s="75"/>
      <c r="GO300" s="75"/>
      <c r="GP300" s="75"/>
      <c r="GQ300" s="75"/>
      <c r="GR300" s="75"/>
      <c r="GS300" s="75"/>
      <c r="GT300" s="75"/>
      <c r="GU300" s="75"/>
      <c r="GV300" s="81"/>
      <c r="GW300" s="74"/>
      <c r="GX300" s="75"/>
      <c r="GY300" s="75"/>
      <c r="GZ300" s="75"/>
      <c r="HA300" s="75"/>
      <c r="HB300" s="75"/>
      <c r="HC300" s="75"/>
      <c r="HD300" s="75"/>
      <c r="HE300" s="75"/>
      <c r="HF300" s="75"/>
      <c r="HG300" s="75"/>
      <c r="HH300" s="81"/>
      <c r="HI300" s="75"/>
    </row>
    <row r="301" ht="15.0" customHeight="1">
      <c r="A301" s="74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81"/>
      <c r="M301" s="74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81"/>
      <c r="Y301" s="74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81"/>
      <c r="AK301" s="74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81"/>
      <c r="AW301" s="74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81"/>
      <c r="BI301" s="74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81"/>
      <c r="BU301" s="74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81"/>
      <c r="CG301" s="74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81"/>
      <c r="CS301" s="74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81"/>
      <c r="DE301" s="74"/>
      <c r="DF301" s="75"/>
      <c r="DG301" s="75"/>
      <c r="DH301" s="75"/>
      <c r="DI301" s="75"/>
      <c r="DJ301" s="75"/>
      <c r="DK301" s="75"/>
      <c r="DL301" s="75"/>
      <c r="DM301" s="75"/>
      <c r="DN301" s="75"/>
      <c r="DO301" s="75"/>
      <c r="DP301" s="81"/>
      <c r="DQ301" s="74"/>
      <c r="DR301" s="75"/>
      <c r="DS301" s="75"/>
      <c r="DT301" s="75"/>
      <c r="DU301" s="75"/>
      <c r="DV301" s="75"/>
      <c r="DW301" s="75"/>
      <c r="DX301" s="75"/>
      <c r="DY301" s="75"/>
      <c r="DZ301" s="75"/>
      <c r="EA301" s="75"/>
      <c r="EB301" s="81"/>
      <c r="EC301" s="74"/>
      <c r="ED301" s="75"/>
      <c r="EE301" s="75"/>
      <c r="EF301" s="75"/>
      <c r="EG301" s="75"/>
      <c r="EH301" s="75"/>
      <c r="EI301" s="75"/>
      <c r="EJ301" s="75"/>
      <c r="EK301" s="75"/>
      <c r="EL301" s="75"/>
      <c r="EM301" s="75"/>
      <c r="EN301" s="81"/>
      <c r="EO301" s="74"/>
      <c r="EP301" s="75"/>
      <c r="EQ301" s="75"/>
      <c r="ER301" s="75"/>
      <c r="ES301" s="75"/>
      <c r="ET301" s="75"/>
      <c r="EU301" s="75"/>
      <c r="EV301" s="75"/>
      <c r="EW301" s="75"/>
      <c r="EX301" s="75"/>
      <c r="EY301" s="75"/>
      <c r="EZ301" s="81"/>
      <c r="FA301" s="74"/>
      <c r="FB301" s="75"/>
      <c r="FC301" s="75"/>
      <c r="FD301" s="75"/>
      <c r="FE301" s="75"/>
      <c r="FF301" s="75"/>
      <c r="FG301" s="75"/>
      <c r="FH301" s="75"/>
      <c r="FI301" s="75"/>
      <c r="FJ301" s="75"/>
      <c r="FK301" s="75"/>
      <c r="FL301" s="81"/>
      <c r="FM301" s="74"/>
      <c r="FN301" s="75"/>
      <c r="FO301" s="75"/>
      <c r="FP301" s="75"/>
      <c r="FQ301" s="75"/>
      <c r="FR301" s="75"/>
      <c r="FS301" s="75"/>
      <c r="FT301" s="75"/>
      <c r="FU301" s="75"/>
      <c r="FV301" s="75"/>
      <c r="FW301" s="75"/>
      <c r="FX301" s="81"/>
      <c r="FY301" s="74"/>
      <c r="FZ301" s="75"/>
      <c r="GA301" s="75"/>
      <c r="GB301" s="75"/>
      <c r="GC301" s="75"/>
      <c r="GD301" s="75"/>
      <c r="GE301" s="75"/>
      <c r="GF301" s="75"/>
      <c r="GG301" s="75"/>
      <c r="GH301" s="75"/>
      <c r="GI301" s="75"/>
      <c r="GJ301" s="81"/>
      <c r="GK301" s="74"/>
      <c r="GL301" s="75"/>
      <c r="GM301" s="75"/>
      <c r="GN301" s="75"/>
      <c r="GO301" s="75"/>
      <c r="GP301" s="75"/>
      <c r="GQ301" s="75"/>
      <c r="GR301" s="75"/>
      <c r="GS301" s="75"/>
      <c r="GT301" s="75"/>
      <c r="GU301" s="75"/>
      <c r="GV301" s="81"/>
      <c r="GW301" s="74"/>
      <c r="GX301" s="75"/>
      <c r="GY301" s="75"/>
      <c r="GZ301" s="75"/>
      <c r="HA301" s="75"/>
      <c r="HB301" s="75"/>
      <c r="HC301" s="75"/>
      <c r="HD301" s="75"/>
      <c r="HE301" s="75"/>
      <c r="HF301" s="75"/>
      <c r="HG301" s="75"/>
      <c r="HH301" s="81"/>
      <c r="HI301" s="75"/>
    </row>
    <row r="302" ht="15.0" customHeight="1">
      <c r="A302" s="74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81"/>
      <c r="M302" s="74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81"/>
      <c r="Y302" s="74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81"/>
      <c r="AK302" s="74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81"/>
      <c r="AW302" s="74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81"/>
      <c r="BI302" s="74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81"/>
      <c r="BU302" s="74"/>
      <c r="BV302" s="75"/>
      <c r="BW302" s="75"/>
      <c r="BX302" s="75"/>
      <c r="BY302" s="75"/>
      <c r="BZ302" s="75"/>
      <c r="CA302" s="75"/>
      <c r="CB302" s="75"/>
      <c r="CC302" s="75"/>
      <c r="CD302" s="75"/>
      <c r="CE302" s="75"/>
      <c r="CF302" s="81"/>
      <c r="CG302" s="74"/>
      <c r="CH302" s="75"/>
      <c r="CI302" s="75"/>
      <c r="CJ302" s="75"/>
      <c r="CK302" s="75"/>
      <c r="CL302" s="75"/>
      <c r="CM302" s="75"/>
      <c r="CN302" s="75"/>
      <c r="CO302" s="75"/>
      <c r="CP302" s="75"/>
      <c r="CQ302" s="75"/>
      <c r="CR302" s="81"/>
      <c r="CS302" s="74"/>
      <c r="CT302" s="75"/>
      <c r="CU302" s="75"/>
      <c r="CV302" s="75"/>
      <c r="CW302" s="75"/>
      <c r="CX302" s="75"/>
      <c r="CY302" s="75"/>
      <c r="CZ302" s="75"/>
      <c r="DA302" s="75"/>
      <c r="DB302" s="75"/>
      <c r="DC302" s="75"/>
      <c r="DD302" s="81"/>
      <c r="DE302" s="74"/>
      <c r="DF302" s="75"/>
      <c r="DG302" s="75"/>
      <c r="DH302" s="75"/>
      <c r="DI302" s="75"/>
      <c r="DJ302" s="75"/>
      <c r="DK302" s="75"/>
      <c r="DL302" s="75"/>
      <c r="DM302" s="75"/>
      <c r="DN302" s="75"/>
      <c r="DO302" s="75"/>
      <c r="DP302" s="81"/>
      <c r="DQ302" s="74"/>
      <c r="DR302" s="75"/>
      <c r="DS302" s="75"/>
      <c r="DT302" s="75"/>
      <c r="DU302" s="75"/>
      <c r="DV302" s="75"/>
      <c r="DW302" s="75"/>
      <c r="DX302" s="75"/>
      <c r="DY302" s="75"/>
      <c r="DZ302" s="75"/>
      <c r="EA302" s="75"/>
      <c r="EB302" s="81"/>
      <c r="EC302" s="74"/>
      <c r="ED302" s="75"/>
      <c r="EE302" s="75"/>
      <c r="EF302" s="75"/>
      <c r="EG302" s="75"/>
      <c r="EH302" s="75"/>
      <c r="EI302" s="75"/>
      <c r="EJ302" s="75"/>
      <c r="EK302" s="75"/>
      <c r="EL302" s="75"/>
      <c r="EM302" s="75"/>
      <c r="EN302" s="81"/>
      <c r="EO302" s="74"/>
      <c r="EP302" s="75"/>
      <c r="EQ302" s="75"/>
      <c r="ER302" s="75"/>
      <c r="ES302" s="75"/>
      <c r="ET302" s="75"/>
      <c r="EU302" s="75"/>
      <c r="EV302" s="75"/>
      <c r="EW302" s="75"/>
      <c r="EX302" s="75"/>
      <c r="EY302" s="75"/>
      <c r="EZ302" s="81"/>
      <c r="FA302" s="74"/>
      <c r="FB302" s="75"/>
      <c r="FC302" s="75"/>
      <c r="FD302" s="75"/>
      <c r="FE302" s="75"/>
      <c r="FF302" s="75"/>
      <c r="FG302" s="75"/>
      <c r="FH302" s="75"/>
      <c r="FI302" s="75"/>
      <c r="FJ302" s="75"/>
      <c r="FK302" s="75"/>
      <c r="FL302" s="81"/>
      <c r="FM302" s="74"/>
      <c r="FN302" s="75"/>
      <c r="FO302" s="75"/>
      <c r="FP302" s="75"/>
      <c r="FQ302" s="75"/>
      <c r="FR302" s="75"/>
      <c r="FS302" s="75"/>
      <c r="FT302" s="75"/>
      <c r="FU302" s="75"/>
      <c r="FV302" s="75"/>
      <c r="FW302" s="75"/>
      <c r="FX302" s="81"/>
      <c r="FY302" s="74"/>
      <c r="FZ302" s="75"/>
      <c r="GA302" s="75"/>
      <c r="GB302" s="75"/>
      <c r="GC302" s="75"/>
      <c r="GD302" s="75"/>
      <c r="GE302" s="75"/>
      <c r="GF302" s="75"/>
      <c r="GG302" s="75"/>
      <c r="GH302" s="75"/>
      <c r="GI302" s="75"/>
      <c r="GJ302" s="81"/>
      <c r="GK302" s="74"/>
      <c r="GL302" s="75"/>
      <c r="GM302" s="75"/>
      <c r="GN302" s="75"/>
      <c r="GO302" s="75"/>
      <c r="GP302" s="75"/>
      <c r="GQ302" s="75"/>
      <c r="GR302" s="75"/>
      <c r="GS302" s="75"/>
      <c r="GT302" s="75"/>
      <c r="GU302" s="75"/>
      <c r="GV302" s="81"/>
      <c r="GW302" s="74"/>
      <c r="GX302" s="75"/>
      <c r="GY302" s="75"/>
      <c r="GZ302" s="75"/>
      <c r="HA302" s="75"/>
      <c r="HB302" s="75"/>
      <c r="HC302" s="75"/>
      <c r="HD302" s="75"/>
      <c r="HE302" s="75"/>
      <c r="HF302" s="75"/>
      <c r="HG302" s="75"/>
      <c r="HH302" s="81"/>
      <c r="HI302" s="75"/>
    </row>
    <row r="303" ht="15.0" customHeight="1">
      <c r="A303" s="74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81"/>
      <c r="M303" s="74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81"/>
      <c r="Y303" s="74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81"/>
      <c r="AK303" s="74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81"/>
      <c r="AW303" s="74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81"/>
      <c r="BI303" s="74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81"/>
      <c r="BU303" s="74"/>
      <c r="BV303" s="75"/>
      <c r="BW303" s="75"/>
      <c r="BX303" s="75"/>
      <c r="BY303" s="75"/>
      <c r="BZ303" s="75"/>
      <c r="CA303" s="75"/>
      <c r="CB303" s="75"/>
      <c r="CC303" s="75"/>
      <c r="CD303" s="75"/>
      <c r="CE303" s="75"/>
      <c r="CF303" s="81"/>
      <c r="CG303" s="74"/>
      <c r="CH303" s="75"/>
      <c r="CI303" s="75"/>
      <c r="CJ303" s="75"/>
      <c r="CK303" s="75"/>
      <c r="CL303" s="75"/>
      <c r="CM303" s="75"/>
      <c r="CN303" s="75"/>
      <c r="CO303" s="75"/>
      <c r="CP303" s="75"/>
      <c r="CQ303" s="75"/>
      <c r="CR303" s="81"/>
      <c r="CS303" s="74"/>
      <c r="CT303" s="75"/>
      <c r="CU303" s="75"/>
      <c r="CV303" s="75"/>
      <c r="CW303" s="75"/>
      <c r="CX303" s="75"/>
      <c r="CY303" s="75"/>
      <c r="CZ303" s="75"/>
      <c r="DA303" s="75"/>
      <c r="DB303" s="75"/>
      <c r="DC303" s="75"/>
      <c r="DD303" s="81"/>
      <c r="DE303" s="74"/>
      <c r="DF303" s="75"/>
      <c r="DG303" s="75"/>
      <c r="DH303" s="75"/>
      <c r="DI303" s="75"/>
      <c r="DJ303" s="75"/>
      <c r="DK303" s="75"/>
      <c r="DL303" s="75"/>
      <c r="DM303" s="75"/>
      <c r="DN303" s="75"/>
      <c r="DO303" s="75"/>
      <c r="DP303" s="81"/>
      <c r="DQ303" s="74"/>
      <c r="DR303" s="75"/>
      <c r="DS303" s="75"/>
      <c r="DT303" s="75"/>
      <c r="DU303" s="75"/>
      <c r="DV303" s="75"/>
      <c r="DW303" s="75"/>
      <c r="DX303" s="75"/>
      <c r="DY303" s="75"/>
      <c r="DZ303" s="75"/>
      <c r="EA303" s="75"/>
      <c r="EB303" s="81"/>
      <c r="EC303" s="74"/>
      <c r="ED303" s="75"/>
      <c r="EE303" s="75"/>
      <c r="EF303" s="75"/>
      <c r="EG303" s="75"/>
      <c r="EH303" s="75"/>
      <c r="EI303" s="75"/>
      <c r="EJ303" s="75"/>
      <c r="EK303" s="75"/>
      <c r="EL303" s="75"/>
      <c r="EM303" s="75"/>
      <c r="EN303" s="81"/>
      <c r="EO303" s="74"/>
      <c r="EP303" s="75"/>
      <c r="EQ303" s="75"/>
      <c r="ER303" s="75"/>
      <c r="ES303" s="75"/>
      <c r="ET303" s="75"/>
      <c r="EU303" s="75"/>
      <c r="EV303" s="75"/>
      <c r="EW303" s="75"/>
      <c r="EX303" s="75"/>
      <c r="EY303" s="75"/>
      <c r="EZ303" s="81"/>
      <c r="FA303" s="74"/>
      <c r="FB303" s="75"/>
      <c r="FC303" s="75"/>
      <c r="FD303" s="75"/>
      <c r="FE303" s="75"/>
      <c r="FF303" s="75"/>
      <c r="FG303" s="75"/>
      <c r="FH303" s="75"/>
      <c r="FI303" s="75"/>
      <c r="FJ303" s="75"/>
      <c r="FK303" s="75"/>
      <c r="FL303" s="81"/>
      <c r="FM303" s="74"/>
      <c r="FN303" s="75"/>
      <c r="FO303" s="75"/>
      <c r="FP303" s="75"/>
      <c r="FQ303" s="75"/>
      <c r="FR303" s="75"/>
      <c r="FS303" s="75"/>
      <c r="FT303" s="75"/>
      <c r="FU303" s="75"/>
      <c r="FV303" s="75"/>
      <c r="FW303" s="75"/>
      <c r="FX303" s="81"/>
      <c r="FY303" s="74"/>
      <c r="FZ303" s="75"/>
      <c r="GA303" s="75"/>
      <c r="GB303" s="75"/>
      <c r="GC303" s="75"/>
      <c r="GD303" s="75"/>
      <c r="GE303" s="75"/>
      <c r="GF303" s="75"/>
      <c r="GG303" s="75"/>
      <c r="GH303" s="75"/>
      <c r="GI303" s="75"/>
      <c r="GJ303" s="81"/>
      <c r="GK303" s="74"/>
      <c r="GL303" s="75"/>
      <c r="GM303" s="75"/>
      <c r="GN303" s="75"/>
      <c r="GO303" s="75"/>
      <c r="GP303" s="75"/>
      <c r="GQ303" s="75"/>
      <c r="GR303" s="75"/>
      <c r="GS303" s="75"/>
      <c r="GT303" s="75"/>
      <c r="GU303" s="75"/>
      <c r="GV303" s="81"/>
      <c r="GW303" s="74"/>
      <c r="GX303" s="75"/>
      <c r="GY303" s="75"/>
      <c r="GZ303" s="75"/>
      <c r="HA303" s="75"/>
      <c r="HB303" s="75"/>
      <c r="HC303" s="75"/>
      <c r="HD303" s="75"/>
      <c r="HE303" s="75"/>
      <c r="HF303" s="75"/>
      <c r="HG303" s="75"/>
      <c r="HH303" s="81"/>
      <c r="HI303" s="75"/>
    </row>
    <row r="304" ht="15.0" customHeight="1">
      <c r="A304" s="74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81"/>
      <c r="M304" s="74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81"/>
      <c r="Y304" s="74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81"/>
      <c r="AK304" s="74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81"/>
      <c r="AW304" s="74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81"/>
      <c r="BI304" s="74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81"/>
      <c r="BU304" s="74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81"/>
      <c r="CG304" s="74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81"/>
      <c r="CS304" s="74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81"/>
      <c r="DE304" s="74"/>
      <c r="DF304" s="75"/>
      <c r="DG304" s="75"/>
      <c r="DH304" s="75"/>
      <c r="DI304" s="75"/>
      <c r="DJ304" s="75"/>
      <c r="DK304" s="75"/>
      <c r="DL304" s="75"/>
      <c r="DM304" s="75"/>
      <c r="DN304" s="75"/>
      <c r="DO304" s="75"/>
      <c r="DP304" s="81"/>
      <c r="DQ304" s="74"/>
      <c r="DR304" s="75"/>
      <c r="DS304" s="75"/>
      <c r="DT304" s="75"/>
      <c r="DU304" s="75"/>
      <c r="DV304" s="75"/>
      <c r="DW304" s="75"/>
      <c r="DX304" s="75"/>
      <c r="DY304" s="75"/>
      <c r="DZ304" s="75"/>
      <c r="EA304" s="75"/>
      <c r="EB304" s="81"/>
      <c r="EC304" s="74"/>
      <c r="ED304" s="75"/>
      <c r="EE304" s="75"/>
      <c r="EF304" s="75"/>
      <c r="EG304" s="75"/>
      <c r="EH304" s="75"/>
      <c r="EI304" s="75"/>
      <c r="EJ304" s="75"/>
      <c r="EK304" s="75"/>
      <c r="EL304" s="75"/>
      <c r="EM304" s="75"/>
      <c r="EN304" s="81"/>
      <c r="EO304" s="74"/>
      <c r="EP304" s="75"/>
      <c r="EQ304" s="75"/>
      <c r="ER304" s="75"/>
      <c r="ES304" s="75"/>
      <c r="ET304" s="75"/>
      <c r="EU304" s="75"/>
      <c r="EV304" s="75"/>
      <c r="EW304" s="75"/>
      <c r="EX304" s="75"/>
      <c r="EY304" s="75"/>
      <c r="EZ304" s="81"/>
      <c r="FA304" s="74"/>
      <c r="FB304" s="75"/>
      <c r="FC304" s="75"/>
      <c r="FD304" s="75"/>
      <c r="FE304" s="75"/>
      <c r="FF304" s="75"/>
      <c r="FG304" s="75"/>
      <c r="FH304" s="75"/>
      <c r="FI304" s="75"/>
      <c r="FJ304" s="75"/>
      <c r="FK304" s="75"/>
      <c r="FL304" s="81"/>
      <c r="FM304" s="74"/>
      <c r="FN304" s="75"/>
      <c r="FO304" s="75"/>
      <c r="FP304" s="75"/>
      <c r="FQ304" s="75"/>
      <c r="FR304" s="75"/>
      <c r="FS304" s="75"/>
      <c r="FT304" s="75"/>
      <c r="FU304" s="75"/>
      <c r="FV304" s="75"/>
      <c r="FW304" s="75"/>
      <c r="FX304" s="81"/>
      <c r="FY304" s="74"/>
      <c r="FZ304" s="75"/>
      <c r="GA304" s="75"/>
      <c r="GB304" s="75"/>
      <c r="GC304" s="75"/>
      <c r="GD304" s="75"/>
      <c r="GE304" s="75"/>
      <c r="GF304" s="75"/>
      <c r="GG304" s="75"/>
      <c r="GH304" s="75"/>
      <c r="GI304" s="75"/>
      <c r="GJ304" s="81"/>
      <c r="GK304" s="74"/>
      <c r="GL304" s="75"/>
      <c r="GM304" s="75"/>
      <c r="GN304" s="75"/>
      <c r="GO304" s="75"/>
      <c r="GP304" s="75"/>
      <c r="GQ304" s="75"/>
      <c r="GR304" s="75"/>
      <c r="GS304" s="75"/>
      <c r="GT304" s="75"/>
      <c r="GU304" s="75"/>
      <c r="GV304" s="81"/>
      <c r="GW304" s="74"/>
      <c r="GX304" s="75"/>
      <c r="GY304" s="75"/>
      <c r="GZ304" s="75"/>
      <c r="HA304" s="75"/>
      <c r="HB304" s="75"/>
      <c r="HC304" s="75"/>
      <c r="HD304" s="75"/>
      <c r="HE304" s="75"/>
      <c r="HF304" s="75"/>
      <c r="HG304" s="75"/>
      <c r="HH304" s="81"/>
      <c r="HI304" s="75"/>
    </row>
    <row r="305" ht="15.0" customHeight="1">
      <c r="A305" s="74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81"/>
      <c r="M305" s="74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81"/>
      <c r="Y305" s="74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81"/>
      <c r="AK305" s="74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81"/>
      <c r="AW305" s="74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81"/>
      <c r="BI305" s="74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81"/>
      <c r="BU305" s="74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81"/>
      <c r="CG305" s="74"/>
      <c r="CH305" s="75"/>
      <c r="CI305" s="75"/>
      <c r="CJ305" s="75"/>
      <c r="CK305" s="75"/>
      <c r="CL305" s="75"/>
      <c r="CM305" s="75"/>
      <c r="CN305" s="75"/>
      <c r="CO305" s="75"/>
      <c r="CP305" s="75"/>
      <c r="CQ305" s="75"/>
      <c r="CR305" s="81"/>
      <c r="CS305" s="74"/>
      <c r="CT305" s="75"/>
      <c r="CU305" s="75"/>
      <c r="CV305" s="75"/>
      <c r="CW305" s="75"/>
      <c r="CX305" s="75"/>
      <c r="CY305" s="75"/>
      <c r="CZ305" s="75"/>
      <c r="DA305" s="75"/>
      <c r="DB305" s="75"/>
      <c r="DC305" s="75"/>
      <c r="DD305" s="81"/>
      <c r="DE305" s="74"/>
      <c r="DF305" s="75"/>
      <c r="DG305" s="75"/>
      <c r="DH305" s="75"/>
      <c r="DI305" s="75"/>
      <c r="DJ305" s="75"/>
      <c r="DK305" s="75"/>
      <c r="DL305" s="75"/>
      <c r="DM305" s="75"/>
      <c r="DN305" s="75"/>
      <c r="DO305" s="75"/>
      <c r="DP305" s="81"/>
      <c r="DQ305" s="74"/>
      <c r="DR305" s="75"/>
      <c r="DS305" s="75"/>
      <c r="DT305" s="75"/>
      <c r="DU305" s="75"/>
      <c r="DV305" s="75"/>
      <c r="DW305" s="75"/>
      <c r="DX305" s="75"/>
      <c r="DY305" s="75"/>
      <c r="DZ305" s="75"/>
      <c r="EA305" s="75"/>
      <c r="EB305" s="81"/>
      <c r="EC305" s="74"/>
      <c r="ED305" s="75"/>
      <c r="EE305" s="75"/>
      <c r="EF305" s="75"/>
      <c r="EG305" s="75"/>
      <c r="EH305" s="75"/>
      <c r="EI305" s="75"/>
      <c r="EJ305" s="75"/>
      <c r="EK305" s="75"/>
      <c r="EL305" s="75"/>
      <c r="EM305" s="75"/>
      <c r="EN305" s="81"/>
      <c r="EO305" s="74"/>
      <c r="EP305" s="75"/>
      <c r="EQ305" s="75"/>
      <c r="ER305" s="75"/>
      <c r="ES305" s="75"/>
      <c r="ET305" s="75"/>
      <c r="EU305" s="75"/>
      <c r="EV305" s="75"/>
      <c r="EW305" s="75"/>
      <c r="EX305" s="75"/>
      <c r="EY305" s="75"/>
      <c r="EZ305" s="81"/>
      <c r="FA305" s="74"/>
      <c r="FB305" s="75"/>
      <c r="FC305" s="75"/>
      <c r="FD305" s="75"/>
      <c r="FE305" s="75"/>
      <c r="FF305" s="75"/>
      <c r="FG305" s="75"/>
      <c r="FH305" s="75"/>
      <c r="FI305" s="75"/>
      <c r="FJ305" s="75"/>
      <c r="FK305" s="75"/>
      <c r="FL305" s="81"/>
      <c r="FM305" s="74"/>
      <c r="FN305" s="75"/>
      <c r="FO305" s="75"/>
      <c r="FP305" s="75"/>
      <c r="FQ305" s="75"/>
      <c r="FR305" s="75"/>
      <c r="FS305" s="75"/>
      <c r="FT305" s="75"/>
      <c r="FU305" s="75"/>
      <c r="FV305" s="75"/>
      <c r="FW305" s="75"/>
      <c r="FX305" s="81"/>
      <c r="FY305" s="74"/>
      <c r="FZ305" s="75"/>
      <c r="GA305" s="75"/>
      <c r="GB305" s="75"/>
      <c r="GC305" s="75"/>
      <c r="GD305" s="75"/>
      <c r="GE305" s="75"/>
      <c r="GF305" s="75"/>
      <c r="GG305" s="75"/>
      <c r="GH305" s="75"/>
      <c r="GI305" s="75"/>
      <c r="GJ305" s="81"/>
      <c r="GK305" s="74"/>
      <c r="GL305" s="75"/>
      <c r="GM305" s="75"/>
      <c r="GN305" s="75"/>
      <c r="GO305" s="75"/>
      <c r="GP305" s="75"/>
      <c r="GQ305" s="75"/>
      <c r="GR305" s="75"/>
      <c r="GS305" s="75"/>
      <c r="GT305" s="75"/>
      <c r="GU305" s="75"/>
      <c r="GV305" s="81"/>
      <c r="GW305" s="74"/>
      <c r="GX305" s="75"/>
      <c r="GY305" s="75"/>
      <c r="GZ305" s="75"/>
      <c r="HA305" s="75"/>
      <c r="HB305" s="75"/>
      <c r="HC305" s="75"/>
      <c r="HD305" s="75"/>
      <c r="HE305" s="75"/>
      <c r="HF305" s="75"/>
      <c r="HG305" s="75"/>
      <c r="HH305" s="81"/>
      <c r="HI305" s="75"/>
    </row>
    <row r="306" ht="15.0" customHeight="1">
      <c r="A306" s="74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81"/>
      <c r="M306" s="74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81"/>
      <c r="Y306" s="74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81"/>
      <c r="AK306" s="74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81"/>
      <c r="AW306" s="74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81"/>
      <c r="BI306" s="74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81"/>
      <c r="BU306" s="74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81"/>
      <c r="CG306" s="74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81"/>
      <c r="CS306" s="74"/>
      <c r="CT306" s="75"/>
      <c r="CU306" s="75"/>
      <c r="CV306" s="75"/>
      <c r="CW306" s="75"/>
      <c r="CX306" s="75"/>
      <c r="CY306" s="75"/>
      <c r="CZ306" s="75"/>
      <c r="DA306" s="75"/>
      <c r="DB306" s="75"/>
      <c r="DC306" s="75"/>
      <c r="DD306" s="81"/>
      <c r="DE306" s="74"/>
      <c r="DF306" s="75"/>
      <c r="DG306" s="75"/>
      <c r="DH306" s="75"/>
      <c r="DI306" s="75"/>
      <c r="DJ306" s="75"/>
      <c r="DK306" s="75"/>
      <c r="DL306" s="75"/>
      <c r="DM306" s="75"/>
      <c r="DN306" s="75"/>
      <c r="DO306" s="75"/>
      <c r="DP306" s="81"/>
      <c r="DQ306" s="74"/>
      <c r="DR306" s="75"/>
      <c r="DS306" s="75"/>
      <c r="DT306" s="75"/>
      <c r="DU306" s="75"/>
      <c r="DV306" s="75"/>
      <c r="DW306" s="75"/>
      <c r="DX306" s="75"/>
      <c r="DY306" s="75"/>
      <c r="DZ306" s="75"/>
      <c r="EA306" s="75"/>
      <c r="EB306" s="81"/>
      <c r="EC306" s="74"/>
      <c r="ED306" s="75"/>
      <c r="EE306" s="75"/>
      <c r="EF306" s="75"/>
      <c r="EG306" s="75"/>
      <c r="EH306" s="75"/>
      <c r="EI306" s="75"/>
      <c r="EJ306" s="75"/>
      <c r="EK306" s="75"/>
      <c r="EL306" s="75"/>
      <c r="EM306" s="75"/>
      <c r="EN306" s="81"/>
      <c r="EO306" s="74"/>
      <c r="EP306" s="75"/>
      <c r="EQ306" s="75"/>
      <c r="ER306" s="75"/>
      <c r="ES306" s="75"/>
      <c r="ET306" s="75"/>
      <c r="EU306" s="75"/>
      <c r="EV306" s="75"/>
      <c r="EW306" s="75"/>
      <c r="EX306" s="75"/>
      <c r="EY306" s="75"/>
      <c r="EZ306" s="81"/>
      <c r="FA306" s="74"/>
      <c r="FB306" s="75"/>
      <c r="FC306" s="75"/>
      <c r="FD306" s="75"/>
      <c r="FE306" s="75"/>
      <c r="FF306" s="75"/>
      <c r="FG306" s="75"/>
      <c r="FH306" s="75"/>
      <c r="FI306" s="75"/>
      <c r="FJ306" s="75"/>
      <c r="FK306" s="75"/>
      <c r="FL306" s="81"/>
      <c r="FM306" s="74"/>
      <c r="FN306" s="75"/>
      <c r="FO306" s="75"/>
      <c r="FP306" s="75"/>
      <c r="FQ306" s="75"/>
      <c r="FR306" s="75"/>
      <c r="FS306" s="75"/>
      <c r="FT306" s="75"/>
      <c r="FU306" s="75"/>
      <c r="FV306" s="75"/>
      <c r="FW306" s="75"/>
      <c r="FX306" s="81"/>
      <c r="FY306" s="74"/>
      <c r="FZ306" s="75"/>
      <c r="GA306" s="75"/>
      <c r="GB306" s="75"/>
      <c r="GC306" s="75"/>
      <c r="GD306" s="75"/>
      <c r="GE306" s="75"/>
      <c r="GF306" s="75"/>
      <c r="GG306" s="75"/>
      <c r="GH306" s="75"/>
      <c r="GI306" s="75"/>
      <c r="GJ306" s="81"/>
      <c r="GK306" s="74"/>
      <c r="GL306" s="75"/>
      <c r="GM306" s="75"/>
      <c r="GN306" s="75"/>
      <c r="GO306" s="75"/>
      <c r="GP306" s="75"/>
      <c r="GQ306" s="75"/>
      <c r="GR306" s="75"/>
      <c r="GS306" s="75"/>
      <c r="GT306" s="75"/>
      <c r="GU306" s="75"/>
      <c r="GV306" s="81"/>
      <c r="GW306" s="74"/>
      <c r="GX306" s="75"/>
      <c r="GY306" s="75"/>
      <c r="GZ306" s="75"/>
      <c r="HA306" s="75"/>
      <c r="HB306" s="75"/>
      <c r="HC306" s="75"/>
      <c r="HD306" s="75"/>
      <c r="HE306" s="75"/>
      <c r="HF306" s="75"/>
      <c r="HG306" s="75"/>
      <c r="HH306" s="81"/>
      <c r="HI306" s="75"/>
    </row>
    <row r="307" ht="15.0" customHeight="1">
      <c r="A307" s="74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81"/>
      <c r="M307" s="74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81"/>
      <c r="Y307" s="74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81"/>
      <c r="AK307" s="74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81"/>
      <c r="AW307" s="74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81"/>
      <c r="BI307" s="74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81"/>
      <c r="BU307" s="74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81"/>
      <c r="CG307" s="74"/>
      <c r="CH307" s="75"/>
      <c r="CI307" s="75"/>
      <c r="CJ307" s="75"/>
      <c r="CK307" s="75"/>
      <c r="CL307" s="75"/>
      <c r="CM307" s="75"/>
      <c r="CN307" s="75"/>
      <c r="CO307" s="75"/>
      <c r="CP307" s="75"/>
      <c r="CQ307" s="75"/>
      <c r="CR307" s="81"/>
      <c r="CS307" s="74"/>
      <c r="CT307" s="75"/>
      <c r="CU307" s="75"/>
      <c r="CV307" s="75"/>
      <c r="CW307" s="75"/>
      <c r="CX307" s="75"/>
      <c r="CY307" s="75"/>
      <c r="CZ307" s="75"/>
      <c r="DA307" s="75"/>
      <c r="DB307" s="75"/>
      <c r="DC307" s="75"/>
      <c r="DD307" s="81"/>
      <c r="DE307" s="74"/>
      <c r="DF307" s="75"/>
      <c r="DG307" s="75"/>
      <c r="DH307" s="75"/>
      <c r="DI307" s="75"/>
      <c r="DJ307" s="75"/>
      <c r="DK307" s="75"/>
      <c r="DL307" s="75"/>
      <c r="DM307" s="75"/>
      <c r="DN307" s="75"/>
      <c r="DO307" s="75"/>
      <c r="DP307" s="81"/>
      <c r="DQ307" s="74"/>
      <c r="DR307" s="75"/>
      <c r="DS307" s="75"/>
      <c r="DT307" s="75"/>
      <c r="DU307" s="75"/>
      <c r="DV307" s="75"/>
      <c r="DW307" s="75"/>
      <c r="DX307" s="75"/>
      <c r="DY307" s="75"/>
      <c r="DZ307" s="75"/>
      <c r="EA307" s="75"/>
      <c r="EB307" s="81"/>
      <c r="EC307" s="74"/>
      <c r="ED307" s="75"/>
      <c r="EE307" s="75"/>
      <c r="EF307" s="75"/>
      <c r="EG307" s="75"/>
      <c r="EH307" s="75"/>
      <c r="EI307" s="75"/>
      <c r="EJ307" s="75"/>
      <c r="EK307" s="75"/>
      <c r="EL307" s="75"/>
      <c r="EM307" s="75"/>
      <c r="EN307" s="81"/>
      <c r="EO307" s="74"/>
      <c r="EP307" s="75"/>
      <c r="EQ307" s="75"/>
      <c r="ER307" s="75"/>
      <c r="ES307" s="75"/>
      <c r="ET307" s="75"/>
      <c r="EU307" s="75"/>
      <c r="EV307" s="75"/>
      <c r="EW307" s="75"/>
      <c r="EX307" s="75"/>
      <c r="EY307" s="75"/>
      <c r="EZ307" s="81"/>
      <c r="FA307" s="74"/>
      <c r="FB307" s="75"/>
      <c r="FC307" s="75"/>
      <c r="FD307" s="75"/>
      <c r="FE307" s="75"/>
      <c r="FF307" s="75"/>
      <c r="FG307" s="75"/>
      <c r="FH307" s="75"/>
      <c r="FI307" s="75"/>
      <c r="FJ307" s="75"/>
      <c r="FK307" s="75"/>
      <c r="FL307" s="81"/>
      <c r="FM307" s="74"/>
      <c r="FN307" s="75"/>
      <c r="FO307" s="75"/>
      <c r="FP307" s="75"/>
      <c r="FQ307" s="75"/>
      <c r="FR307" s="75"/>
      <c r="FS307" s="75"/>
      <c r="FT307" s="75"/>
      <c r="FU307" s="75"/>
      <c r="FV307" s="75"/>
      <c r="FW307" s="75"/>
      <c r="FX307" s="81"/>
      <c r="FY307" s="74"/>
      <c r="FZ307" s="75"/>
      <c r="GA307" s="75"/>
      <c r="GB307" s="75"/>
      <c r="GC307" s="75"/>
      <c r="GD307" s="75"/>
      <c r="GE307" s="75"/>
      <c r="GF307" s="75"/>
      <c r="GG307" s="75"/>
      <c r="GH307" s="75"/>
      <c r="GI307" s="75"/>
      <c r="GJ307" s="81"/>
      <c r="GK307" s="74"/>
      <c r="GL307" s="75"/>
      <c r="GM307" s="75"/>
      <c r="GN307" s="75"/>
      <c r="GO307" s="75"/>
      <c r="GP307" s="75"/>
      <c r="GQ307" s="75"/>
      <c r="GR307" s="75"/>
      <c r="GS307" s="75"/>
      <c r="GT307" s="75"/>
      <c r="GU307" s="75"/>
      <c r="GV307" s="81"/>
      <c r="GW307" s="74"/>
      <c r="GX307" s="75"/>
      <c r="GY307" s="75"/>
      <c r="GZ307" s="75"/>
      <c r="HA307" s="75"/>
      <c r="HB307" s="75"/>
      <c r="HC307" s="75"/>
      <c r="HD307" s="75"/>
      <c r="HE307" s="75"/>
      <c r="HF307" s="75"/>
      <c r="HG307" s="75"/>
      <c r="HH307" s="81"/>
      <c r="HI307" s="75"/>
    </row>
    <row r="308" ht="15.0" customHeight="1">
      <c r="A308" s="74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81"/>
      <c r="M308" s="74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81"/>
      <c r="Y308" s="74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81"/>
      <c r="AK308" s="74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81"/>
      <c r="AW308" s="74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81"/>
      <c r="BI308" s="74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81"/>
      <c r="BU308" s="74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81"/>
      <c r="CG308" s="74"/>
      <c r="CH308" s="75"/>
      <c r="CI308" s="75"/>
      <c r="CJ308" s="75"/>
      <c r="CK308" s="75"/>
      <c r="CL308" s="75"/>
      <c r="CM308" s="75"/>
      <c r="CN308" s="75"/>
      <c r="CO308" s="75"/>
      <c r="CP308" s="75"/>
      <c r="CQ308" s="75"/>
      <c r="CR308" s="81"/>
      <c r="CS308" s="74"/>
      <c r="CT308" s="75"/>
      <c r="CU308" s="75"/>
      <c r="CV308" s="75"/>
      <c r="CW308" s="75"/>
      <c r="CX308" s="75"/>
      <c r="CY308" s="75"/>
      <c r="CZ308" s="75"/>
      <c r="DA308" s="75"/>
      <c r="DB308" s="75"/>
      <c r="DC308" s="75"/>
      <c r="DD308" s="81"/>
      <c r="DE308" s="74"/>
      <c r="DF308" s="75"/>
      <c r="DG308" s="75"/>
      <c r="DH308" s="75"/>
      <c r="DI308" s="75"/>
      <c r="DJ308" s="75"/>
      <c r="DK308" s="75"/>
      <c r="DL308" s="75"/>
      <c r="DM308" s="75"/>
      <c r="DN308" s="75"/>
      <c r="DO308" s="75"/>
      <c r="DP308" s="81"/>
      <c r="DQ308" s="74"/>
      <c r="DR308" s="75"/>
      <c r="DS308" s="75"/>
      <c r="DT308" s="75"/>
      <c r="DU308" s="75"/>
      <c r="DV308" s="75"/>
      <c r="DW308" s="75"/>
      <c r="DX308" s="75"/>
      <c r="DY308" s="75"/>
      <c r="DZ308" s="75"/>
      <c r="EA308" s="75"/>
      <c r="EB308" s="81"/>
      <c r="EC308" s="74"/>
      <c r="ED308" s="75"/>
      <c r="EE308" s="75"/>
      <c r="EF308" s="75"/>
      <c r="EG308" s="75"/>
      <c r="EH308" s="75"/>
      <c r="EI308" s="75"/>
      <c r="EJ308" s="75"/>
      <c r="EK308" s="75"/>
      <c r="EL308" s="75"/>
      <c r="EM308" s="75"/>
      <c r="EN308" s="81"/>
      <c r="EO308" s="74"/>
      <c r="EP308" s="75"/>
      <c r="EQ308" s="75"/>
      <c r="ER308" s="75"/>
      <c r="ES308" s="75"/>
      <c r="ET308" s="75"/>
      <c r="EU308" s="75"/>
      <c r="EV308" s="75"/>
      <c r="EW308" s="75"/>
      <c r="EX308" s="75"/>
      <c r="EY308" s="75"/>
      <c r="EZ308" s="81"/>
      <c r="FA308" s="74"/>
      <c r="FB308" s="75"/>
      <c r="FC308" s="75"/>
      <c r="FD308" s="75"/>
      <c r="FE308" s="75"/>
      <c r="FF308" s="75"/>
      <c r="FG308" s="75"/>
      <c r="FH308" s="75"/>
      <c r="FI308" s="75"/>
      <c r="FJ308" s="75"/>
      <c r="FK308" s="75"/>
      <c r="FL308" s="81"/>
      <c r="FM308" s="74"/>
      <c r="FN308" s="75"/>
      <c r="FO308" s="75"/>
      <c r="FP308" s="75"/>
      <c r="FQ308" s="75"/>
      <c r="FR308" s="75"/>
      <c r="FS308" s="75"/>
      <c r="FT308" s="75"/>
      <c r="FU308" s="75"/>
      <c r="FV308" s="75"/>
      <c r="FW308" s="75"/>
      <c r="FX308" s="81"/>
      <c r="FY308" s="74"/>
      <c r="FZ308" s="75"/>
      <c r="GA308" s="75"/>
      <c r="GB308" s="75"/>
      <c r="GC308" s="75"/>
      <c r="GD308" s="75"/>
      <c r="GE308" s="75"/>
      <c r="GF308" s="75"/>
      <c r="GG308" s="75"/>
      <c r="GH308" s="75"/>
      <c r="GI308" s="75"/>
      <c r="GJ308" s="81"/>
      <c r="GK308" s="74"/>
      <c r="GL308" s="75"/>
      <c r="GM308" s="75"/>
      <c r="GN308" s="75"/>
      <c r="GO308" s="75"/>
      <c r="GP308" s="75"/>
      <c r="GQ308" s="75"/>
      <c r="GR308" s="75"/>
      <c r="GS308" s="75"/>
      <c r="GT308" s="75"/>
      <c r="GU308" s="75"/>
      <c r="GV308" s="81"/>
      <c r="GW308" s="74"/>
      <c r="GX308" s="75"/>
      <c r="GY308" s="75"/>
      <c r="GZ308" s="75"/>
      <c r="HA308" s="75"/>
      <c r="HB308" s="75"/>
      <c r="HC308" s="75"/>
      <c r="HD308" s="75"/>
      <c r="HE308" s="75"/>
      <c r="HF308" s="75"/>
      <c r="HG308" s="75"/>
      <c r="HH308" s="81"/>
      <c r="HI308" s="75"/>
    </row>
    <row r="309" ht="15.0" customHeight="1">
      <c r="A309" s="74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81"/>
      <c r="M309" s="74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81"/>
      <c r="Y309" s="74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81"/>
      <c r="AK309" s="74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81"/>
      <c r="AW309" s="74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81"/>
      <c r="BI309" s="74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81"/>
      <c r="BU309" s="74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81"/>
      <c r="CG309" s="74"/>
      <c r="CH309" s="75"/>
      <c r="CI309" s="75"/>
      <c r="CJ309" s="75"/>
      <c r="CK309" s="75"/>
      <c r="CL309" s="75"/>
      <c r="CM309" s="75"/>
      <c r="CN309" s="75"/>
      <c r="CO309" s="75"/>
      <c r="CP309" s="75"/>
      <c r="CQ309" s="75"/>
      <c r="CR309" s="81"/>
      <c r="CS309" s="74"/>
      <c r="CT309" s="75"/>
      <c r="CU309" s="75"/>
      <c r="CV309" s="75"/>
      <c r="CW309" s="75"/>
      <c r="CX309" s="75"/>
      <c r="CY309" s="75"/>
      <c r="CZ309" s="75"/>
      <c r="DA309" s="75"/>
      <c r="DB309" s="75"/>
      <c r="DC309" s="75"/>
      <c r="DD309" s="81"/>
      <c r="DE309" s="74"/>
      <c r="DF309" s="75"/>
      <c r="DG309" s="75"/>
      <c r="DH309" s="75"/>
      <c r="DI309" s="75"/>
      <c r="DJ309" s="75"/>
      <c r="DK309" s="75"/>
      <c r="DL309" s="75"/>
      <c r="DM309" s="75"/>
      <c r="DN309" s="75"/>
      <c r="DO309" s="75"/>
      <c r="DP309" s="81"/>
      <c r="DQ309" s="74"/>
      <c r="DR309" s="75"/>
      <c r="DS309" s="75"/>
      <c r="DT309" s="75"/>
      <c r="DU309" s="75"/>
      <c r="DV309" s="75"/>
      <c r="DW309" s="75"/>
      <c r="DX309" s="75"/>
      <c r="DY309" s="75"/>
      <c r="DZ309" s="75"/>
      <c r="EA309" s="75"/>
      <c r="EB309" s="81"/>
      <c r="EC309" s="74"/>
      <c r="ED309" s="75"/>
      <c r="EE309" s="75"/>
      <c r="EF309" s="75"/>
      <c r="EG309" s="75"/>
      <c r="EH309" s="75"/>
      <c r="EI309" s="75"/>
      <c r="EJ309" s="75"/>
      <c r="EK309" s="75"/>
      <c r="EL309" s="75"/>
      <c r="EM309" s="75"/>
      <c r="EN309" s="81"/>
      <c r="EO309" s="74"/>
      <c r="EP309" s="75"/>
      <c r="EQ309" s="75"/>
      <c r="ER309" s="75"/>
      <c r="ES309" s="75"/>
      <c r="ET309" s="75"/>
      <c r="EU309" s="75"/>
      <c r="EV309" s="75"/>
      <c r="EW309" s="75"/>
      <c r="EX309" s="75"/>
      <c r="EY309" s="75"/>
      <c r="EZ309" s="81"/>
      <c r="FA309" s="74"/>
      <c r="FB309" s="75"/>
      <c r="FC309" s="75"/>
      <c r="FD309" s="75"/>
      <c r="FE309" s="75"/>
      <c r="FF309" s="75"/>
      <c r="FG309" s="75"/>
      <c r="FH309" s="75"/>
      <c r="FI309" s="75"/>
      <c r="FJ309" s="75"/>
      <c r="FK309" s="75"/>
      <c r="FL309" s="81"/>
      <c r="FM309" s="74"/>
      <c r="FN309" s="75"/>
      <c r="FO309" s="75"/>
      <c r="FP309" s="75"/>
      <c r="FQ309" s="75"/>
      <c r="FR309" s="75"/>
      <c r="FS309" s="75"/>
      <c r="FT309" s="75"/>
      <c r="FU309" s="75"/>
      <c r="FV309" s="75"/>
      <c r="FW309" s="75"/>
      <c r="FX309" s="81"/>
      <c r="FY309" s="74"/>
      <c r="FZ309" s="75"/>
      <c r="GA309" s="75"/>
      <c r="GB309" s="75"/>
      <c r="GC309" s="75"/>
      <c r="GD309" s="75"/>
      <c r="GE309" s="75"/>
      <c r="GF309" s="75"/>
      <c r="GG309" s="75"/>
      <c r="GH309" s="75"/>
      <c r="GI309" s="75"/>
      <c r="GJ309" s="81"/>
      <c r="GK309" s="74"/>
      <c r="GL309" s="75"/>
      <c r="GM309" s="75"/>
      <c r="GN309" s="75"/>
      <c r="GO309" s="75"/>
      <c r="GP309" s="75"/>
      <c r="GQ309" s="75"/>
      <c r="GR309" s="75"/>
      <c r="GS309" s="75"/>
      <c r="GT309" s="75"/>
      <c r="GU309" s="75"/>
      <c r="GV309" s="81"/>
      <c r="GW309" s="74"/>
      <c r="GX309" s="75"/>
      <c r="GY309" s="75"/>
      <c r="GZ309" s="75"/>
      <c r="HA309" s="75"/>
      <c r="HB309" s="75"/>
      <c r="HC309" s="75"/>
      <c r="HD309" s="75"/>
      <c r="HE309" s="75"/>
      <c r="HF309" s="75"/>
      <c r="HG309" s="75"/>
      <c r="HH309" s="81"/>
      <c r="HI309" s="75"/>
    </row>
    <row r="310" ht="15.0" customHeight="1">
      <c r="A310" s="74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81"/>
      <c r="M310" s="74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81"/>
      <c r="Y310" s="74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81"/>
      <c r="AK310" s="74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81"/>
      <c r="AW310" s="74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81"/>
      <c r="BI310" s="74"/>
      <c r="BJ310" s="75"/>
      <c r="BK310" s="75"/>
      <c r="BL310" s="75"/>
      <c r="BM310" s="75"/>
      <c r="BN310" s="75"/>
      <c r="BO310" s="75"/>
      <c r="BP310" s="75"/>
      <c r="BQ310" s="75"/>
      <c r="BR310" s="75"/>
      <c r="BS310" s="75"/>
      <c r="BT310" s="81"/>
      <c r="BU310" s="74"/>
      <c r="BV310" s="75"/>
      <c r="BW310" s="75"/>
      <c r="BX310" s="75"/>
      <c r="BY310" s="75"/>
      <c r="BZ310" s="75"/>
      <c r="CA310" s="75"/>
      <c r="CB310" s="75"/>
      <c r="CC310" s="75"/>
      <c r="CD310" s="75"/>
      <c r="CE310" s="75"/>
      <c r="CF310" s="81"/>
      <c r="CG310" s="74"/>
      <c r="CH310" s="75"/>
      <c r="CI310" s="75"/>
      <c r="CJ310" s="75"/>
      <c r="CK310" s="75"/>
      <c r="CL310" s="75"/>
      <c r="CM310" s="75"/>
      <c r="CN310" s="75"/>
      <c r="CO310" s="75"/>
      <c r="CP310" s="75"/>
      <c r="CQ310" s="75"/>
      <c r="CR310" s="81"/>
      <c r="CS310" s="74"/>
      <c r="CT310" s="75"/>
      <c r="CU310" s="75"/>
      <c r="CV310" s="75"/>
      <c r="CW310" s="75"/>
      <c r="CX310" s="75"/>
      <c r="CY310" s="75"/>
      <c r="CZ310" s="75"/>
      <c r="DA310" s="75"/>
      <c r="DB310" s="75"/>
      <c r="DC310" s="75"/>
      <c r="DD310" s="81"/>
      <c r="DE310" s="74"/>
      <c r="DF310" s="75"/>
      <c r="DG310" s="75"/>
      <c r="DH310" s="75"/>
      <c r="DI310" s="75"/>
      <c r="DJ310" s="75"/>
      <c r="DK310" s="75"/>
      <c r="DL310" s="75"/>
      <c r="DM310" s="75"/>
      <c r="DN310" s="75"/>
      <c r="DO310" s="75"/>
      <c r="DP310" s="81"/>
      <c r="DQ310" s="74"/>
      <c r="DR310" s="75"/>
      <c r="DS310" s="75"/>
      <c r="DT310" s="75"/>
      <c r="DU310" s="75"/>
      <c r="DV310" s="75"/>
      <c r="DW310" s="75"/>
      <c r="DX310" s="75"/>
      <c r="DY310" s="75"/>
      <c r="DZ310" s="75"/>
      <c r="EA310" s="75"/>
      <c r="EB310" s="81"/>
      <c r="EC310" s="74"/>
      <c r="ED310" s="75"/>
      <c r="EE310" s="75"/>
      <c r="EF310" s="75"/>
      <c r="EG310" s="75"/>
      <c r="EH310" s="75"/>
      <c r="EI310" s="75"/>
      <c r="EJ310" s="75"/>
      <c r="EK310" s="75"/>
      <c r="EL310" s="75"/>
      <c r="EM310" s="75"/>
      <c r="EN310" s="81"/>
      <c r="EO310" s="74"/>
      <c r="EP310" s="75"/>
      <c r="EQ310" s="75"/>
      <c r="ER310" s="75"/>
      <c r="ES310" s="75"/>
      <c r="ET310" s="75"/>
      <c r="EU310" s="75"/>
      <c r="EV310" s="75"/>
      <c r="EW310" s="75"/>
      <c r="EX310" s="75"/>
      <c r="EY310" s="75"/>
      <c r="EZ310" s="81"/>
      <c r="FA310" s="74"/>
      <c r="FB310" s="75"/>
      <c r="FC310" s="75"/>
      <c r="FD310" s="75"/>
      <c r="FE310" s="75"/>
      <c r="FF310" s="75"/>
      <c r="FG310" s="75"/>
      <c r="FH310" s="75"/>
      <c r="FI310" s="75"/>
      <c r="FJ310" s="75"/>
      <c r="FK310" s="75"/>
      <c r="FL310" s="81"/>
      <c r="FM310" s="74"/>
      <c r="FN310" s="75"/>
      <c r="FO310" s="75"/>
      <c r="FP310" s="75"/>
      <c r="FQ310" s="75"/>
      <c r="FR310" s="75"/>
      <c r="FS310" s="75"/>
      <c r="FT310" s="75"/>
      <c r="FU310" s="75"/>
      <c r="FV310" s="75"/>
      <c r="FW310" s="75"/>
      <c r="FX310" s="81"/>
      <c r="FY310" s="74"/>
      <c r="FZ310" s="75"/>
      <c r="GA310" s="75"/>
      <c r="GB310" s="75"/>
      <c r="GC310" s="75"/>
      <c r="GD310" s="75"/>
      <c r="GE310" s="75"/>
      <c r="GF310" s="75"/>
      <c r="GG310" s="75"/>
      <c r="GH310" s="75"/>
      <c r="GI310" s="75"/>
      <c r="GJ310" s="81"/>
      <c r="GK310" s="74"/>
      <c r="GL310" s="75"/>
      <c r="GM310" s="75"/>
      <c r="GN310" s="75"/>
      <c r="GO310" s="75"/>
      <c r="GP310" s="75"/>
      <c r="GQ310" s="75"/>
      <c r="GR310" s="75"/>
      <c r="GS310" s="75"/>
      <c r="GT310" s="75"/>
      <c r="GU310" s="75"/>
      <c r="GV310" s="81"/>
      <c r="GW310" s="74"/>
      <c r="GX310" s="75"/>
      <c r="GY310" s="75"/>
      <c r="GZ310" s="75"/>
      <c r="HA310" s="75"/>
      <c r="HB310" s="75"/>
      <c r="HC310" s="75"/>
      <c r="HD310" s="75"/>
      <c r="HE310" s="75"/>
      <c r="HF310" s="75"/>
      <c r="HG310" s="75"/>
      <c r="HH310" s="81"/>
      <c r="HI310" s="75"/>
    </row>
    <row r="311" ht="15.0" customHeight="1">
      <c r="A311" s="74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81"/>
      <c r="M311" s="74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81"/>
      <c r="Y311" s="74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81"/>
      <c r="AK311" s="74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81"/>
      <c r="AW311" s="74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81"/>
      <c r="BI311" s="74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81"/>
      <c r="BU311" s="74"/>
      <c r="BV311" s="75"/>
      <c r="BW311" s="75"/>
      <c r="BX311" s="75"/>
      <c r="BY311" s="75"/>
      <c r="BZ311" s="75"/>
      <c r="CA311" s="75"/>
      <c r="CB311" s="75"/>
      <c r="CC311" s="75"/>
      <c r="CD311" s="75"/>
      <c r="CE311" s="75"/>
      <c r="CF311" s="81"/>
      <c r="CG311" s="74"/>
      <c r="CH311" s="75"/>
      <c r="CI311" s="75"/>
      <c r="CJ311" s="75"/>
      <c r="CK311" s="75"/>
      <c r="CL311" s="75"/>
      <c r="CM311" s="75"/>
      <c r="CN311" s="75"/>
      <c r="CO311" s="75"/>
      <c r="CP311" s="75"/>
      <c r="CQ311" s="75"/>
      <c r="CR311" s="81"/>
      <c r="CS311" s="74"/>
      <c r="CT311" s="75"/>
      <c r="CU311" s="75"/>
      <c r="CV311" s="75"/>
      <c r="CW311" s="75"/>
      <c r="CX311" s="75"/>
      <c r="CY311" s="75"/>
      <c r="CZ311" s="75"/>
      <c r="DA311" s="75"/>
      <c r="DB311" s="75"/>
      <c r="DC311" s="75"/>
      <c r="DD311" s="81"/>
      <c r="DE311" s="74"/>
      <c r="DF311" s="75"/>
      <c r="DG311" s="75"/>
      <c r="DH311" s="75"/>
      <c r="DI311" s="75"/>
      <c r="DJ311" s="75"/>
      <c r="DK311" s="75"/>
      <c r="DL311" s="75"/>
      <c r="DM311" s="75"/>
      <c r="DN311" s="75"/>
      <c r="DO311" s="75"/>
      <c r="DP311" s="81"/>
      <c r="DQ311" s="74"/>
      <c r="DR311" s="75"/>
      <c r="DS311" s="75"/>
      <c r="DT311" s="75"/>
      <c r="DU311" s="75"/>
      <c r="DV311" s="75"/>
      <c r="DW311" s="75"/>
      <c r="DX311" s="75"/>
      <c r="DY311" s="75"/>
      <c r="DZ311" s="75"/>
      <c r="EA311" s="75"/>
      <c r="EB311" s="81"/>
      <c r="EC311" s="74"/>
      <c r="ED311" s="75"/>
      <c r="EE311" s="75"/>
      <c r="EF311" s="75"/>
      <c r="EG311" s="75"/>
      <c r="EH311" s="75"/>
      <c r="EI311" s="75"/>
      <c r="EJ311" s="75"/>
      <c r="EK311" s="75"/>
      <c r="EL311" s="75"/>
      <c r="EM311" s="75"/>
      <c r="EN311" s="81"/>
      <c r="EO311" s="74"/>
      <c r="EP311" s="75"/>
      <c r="EQ311" s="75"/>
      <c r="ER311" s="75"/>
      <c r="ES311" s="75"/>
      <c r="ET311" s="75"/>
      <c r="EU311" s="75"/>
      <c r="EV311" s="75"/>
      <c r="EW311" s="75"/>
      <c r="EX311" s="75"/>
      <c r="EY311" s="75"/>
      <c r="EZ311" s="81"/>
      <c r="FA311" s="74"/>
      <c r="FB311" s="75"/>
      <c r="FC311" s="75"/>
      <c r="FD311" s="75"/>
      <c r="FE311" s="75"/>
      <c r="FF311" s="75"/>
      <c r="FG311" s="75"/>
      <c r="FH311" s="75"/>
      <c r="FI311" s="75"/>
      <c r="FJ311" s="75"/>
      <c r="FK311" s="75"/>
      <c r="FL311" s="81"/>
      <c r="FM311" s="74"/>
      <c r="FN311" s="75"/>
      <c r="FO311" s="75"/>
      <c r="FP311" s="75"/>
      <c r="FQ311" s="75"/>
      <c r="FR311" s="75"/>
      <c r="FS311" s="75"/>
      <c r="FT311" s="75"/>
      <c r="FU311" s="75"/>
      <c r="FV311" s="75"/>
      <c r="FW311" s="75"/>
      <c r="FX311" s="81"/>
      <c r="FY311" s="74"/>
      <c r="FZ311" s="75"/>
      <c r="GA311" s="75"/>
      <c r="GB311" s="75"/>
      <c r="GC311" s="75"/>
      <c r="GD311" s="75"/>
      <c r="GE311" s="75"/>
      <c r="GF311" s="75"/>
      <c r="GG311" s="75"/>
      <c r="GH311" s="75"/>
      <c r="GI311" s="75"/>
      <c r="GJ311" s="81"/>
      <c r="GK311" s="74"/>
      <c r="GL311" s="75"/>
      <c r="GM311" s="75"/>
      <c r="GN311" s="75"/>
      <c r="GO311" s="75"/>
      <c r="GP311" s="75"/>
      <c r="GQ311" s="75"/>
      <c r="GR311" s="75"/>
      <c r="GS311" s="75"/>
      <c r="GT311" s="75"/>
      <c r="GU311" s="75"/>
      <c r="GV311" s="81"/>
      <c r="GW311" s="74"/>
      <c r="GX311" s="75"/>
      <c r="GY311" s="75"/>
      <c r="GZ311" s="75"/>
      <c r="HA311" s="75"/>
      <c r="HB311" s="75"/>
      <c r="HC311" s="75"/>
      <c r="HD311" s="75"/>
      <c r="HE311" s="75"/>
      <c r="HF311" s="75"/>
      <c r="HG311" s="75"/>
      <c r="HH311" s="81"/>
      <c r="HI311" s="75"/>
    </row>
    <row r="312" ht="15.0" customHeight="1">
      <c r="A312" s="74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81"/>
      <c r="M312" s="74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81"/>
      <c r="Y312" s="74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81"/>
      <c r="AK312" s="74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81"/>
      <c r="AW312" s="74"/>
      <c r="AX312" s="75"/>
      <c r="AY312" s="75"/>
      <c r="AZ312" s="75"/>
      <c r="BA312" s="75"/>
      <c r="BB312" s="75"/>
      <c r="BC312" s="75"/>
      <c r="BD312" s="75"/>
      <c r="BE312" s="75"/>
      <c r="BF312" s="75"/>
      <c r="BG312" s="75"/>
      <c r="BH312" s="81"/>
      <c r="BI312" s="74"/>
      <c r="BJ312" s="75"/>
      <c r="BK312" s="75"/>
      <c r="BL312" s="75"/>
      <c r="BM312" s="75"/>
      <c r="BN312" s="75"/>
      <c r="BO312" s="75"/>
      <c r="BP312" s="75"/>
      <c r="BQ312" s="75"/>
      <c r="BR312" s="75"/>
      <c r="BS312" s="75"/>
      <c r="BT312" s="81"/>
      <c r="BU312" s="74"/>
      <c r="BV312" s="75"/>
      <c r="BW312" s="75"/>
      <c r="BX312" s="75"/>
      <c r="BY312" s="75"/>
      <c r="BZ312" s="75"/>
      <c r="CA312" s="75"/>
      <c r="CB312" s="75"/>
      <c r="CC312" s="75"/>
      <c r="CD312" s="75"/>
      <c r="CE312" s="75"/>
      <c r="CF312" s="81"/>
      <c r="CG312" s="74"/>
      <c r="CH312" s="75"/>
      <c r="CI312" s="75"/>
      <c r="CJ312" s="75"/>
      <c r="CK312" s="75"/>
      <c r="CL312" s="75"/>
      <c r="CM312" s="75"/>
      <c r="CN312" s="75"/>
      <c r="CO312" s="75"/>
      <c r="CP312" s="75"/>
      <c r="CQ312" s="75"/>
      <c r="CR312" s="81"/>
      <c r="CS312" s="74"/>
      <c r="CT312" s="75"/>
      <c r="CU312" s="75"/>
      <c r="CV312" s="75"/>
      <c r="CW312" s="75"/>
      <c r="CX312" s="75"/>
      <c r="CY312" s="75"/>
      <c r="CZ312" s="75"/>
      <c r="DA312" s="75"/>
      <c r="DB312" s="75"/>
      <c r="DC312" s="75"/>
      <c r="DD312" s="81"/>
      <c r="DE312" s="74"/>
      <c r="DF312" s="75"/>
      <c r="DG312" s="75"/>
      <c r="DH312" s="75"/>
      <c r="DI312" s="75"/>
      <c r="DJ312" s="75"/>
      <c r="DK312" s="75"/>
      <c r="DL312" s="75"/>
      <c r="DM312" s="75"/>
      <c r="DN312" s="75"/>
      <c r="DO312" s="75"/>
      <c r="DP312" s="81"/>
      <c r="DQ312" s="74"/>
      <c r="DR312" s="75"/>
      <c r="DS312" s="75"/>
      <c r="DT312" s="75"/>
      <c r="DU312" s="75"/>
      <c r="DV312" s="75"/>
      <c r="DW312" s="75"/>
      <c r="DX312" s="75"/>
      <c r="DY312" s="75"/>
      <c r="DZ312" s="75"/>
      <c r="EA312" s="75"/>
      <c r="EB312" s="81"/>
      <c r="EC312" s="74"/>
      <c r="ED312" s="75"/>
      <c r="EE312" s="75"/>
      <c r="EF312" s="75"/>
      <c r="EG312" s="75"/>
      <c r="EH312" s="75"/>
      <c r="EI312" s="75"/>
      <c r="EJ312" s="75"/>
      <c r="EK312" s="75"/>
      <c r="EL312" s="75"/>
      <c r="EM312" s="75"/>
      <c r="EN312" s="81"/>
      <c r="EO312" s="74"/>
      <c r="EP312" s="75"/>
      <c r="EQ312" s="75"/>
      <c r="ER312" s="75"/>
      <c r="ES312" s="75"/>
      <c r="ET312" s="75"/>
      <c r="EU312" s="75"/>
      <c r="EV312" s="75"/>
      <c r="EW312" s="75"/>
      <c r="EX312" s="75"/>
      <c r="EY312" s="75"/>
      <c r="EZ312" s="81"/>
      <c r="FA312" s="74"/>
      <c r="FB312" s="75"/>
      <c r="FC312" s="75"/>
      <c r="FD312" s="75"/>
      <c r="FE312" s="75"/>
      <c r="FF312" s="75"/>
      <c r="FG312" s="75"/>
      <c r="FH312" s="75"/>
      <c r="FI312" s="75"/>
      <c r="FJ312" s="75"/>
      <c r="FK312" s="75"/>
      <c r="FL312" s="81"/>
      <c r="FM312" s="74"/>
      <c r="FN312" s="75"/>
      <c r="FO312" s="75"/>
      <c r="FP312" s="75"/>
      <c r="FQ312" s="75"/>
      <c r="FR312" s="75"/>
      <c r="FS312" s="75"/>
      <c r="FT312" s="75"/>
      <c r="FU312" s="75"/>
      <c r="FV312" s="75"/>
      <c r="FW312" s="75"/>
      <c r="FX312" s="81"/>
      <c r="FY312" s="74"/>
      <c r="FZ312" s="75"/>
      <c r="GA312" s="75"/>
      <c r="GB312" s="75"/>
      <c r="GC312" s="75"/>
      <c r="GD312" s="75"/>
      <c r="GE312" s="75"/>
      <c r="GF312" s="75"/>
      <c r="GG312" s="75"/>
      <c r="GH312" s="75"/>
      <c r="GI312" s="75"/>
      <c r="GJ312" s="81"/>
      <c r="GK312" s="74"/>
      <c r="GL312" s="75"/>
      <c r="GM312" s="75"/>
      <c r="GN312" s="75"/>
      <c r="GO312" s="75"/>
      <c r="GP312" s="75"/>
      <c r="GQ312" s="75"/>
      <c r="GR312" s="75"/>
      <c r="GS312" s="75"/>
      <c r="GT312" s="75"/>
      <c r="GU312" s="75"/>
      <c r="GV312" s="81"/>
      <c r="GW312" s="74"/>
      <c r="GX312" s="75"/>
      <c r="GY312" s="75"/>
      <c r="GZ312" s="75"/>
      <c r="HA312" s="75"/>
      <c r="HB312" s="75"/>
      <c r="HC312" s="75"/>
      <c r="HD312" s="75"/>
      <c r="HE312" s="75"/>
      <c r="HF312" s="75"/>
      <c r="HG312" s="75"/>
      <c r="HH312" s="81"/>
      <c r="HI312" s="75"/>
    </row>
    <row r="313" ht="15.0" customHeight="1">
      <c r="A313" s="74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81"/>
      <c r="M313" s="74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81"/>
      <c r="Y313" s="74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81"/>
      <c r="AK313" s="74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81"/>
      <c r="AW313" s="74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81"/>
      <c r="BI313" s="74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81"/>
      <c r="BU313" s="74"/>
      <c r="BV313" s="75"/>
      <c r="BW313" s="75"/>
      <c r="BX313" s="75"/>
      <c r="BY313" s="75"/>
      <c r="BZ313" s="75"/>
      <c r="CA313" s="75"/>
      <c r="CB313" s="75"/>
      <c r="CC313" s="75"/>
      <c r="CD313" s="75"/>
      <c r="CE313" s="75"/>
      <c r="CF313" s="81"/>
      <c r="CG313" s="74"/>
      <c r="CH313" s="75"/>
      <c r="CI313" s="75"/>
      <c r="CJ313" s="75"/>
      <c r="CK313" s="75"/>
      <c r="CL313" s="75"/>
      <c r="CM313" s="75"/>
      <c r="CN313" s="75"/>
      <c r="CO313" s="75"/>
      <c r="CP313" s="75"/>
      <c r="CQ313" s="75"/>
      <c r="CR313" s="81"/>
      <c r="CS313" s="74"/>
      <c r="CT313" s="75"/>
      <c r="CU313" s="75"/>
      <c r="CV313" s="75"/>
      <c r="CW313" s="75"/>
      <c r="CX313" s="75"/>
      <c r="CY313" s="75"/>
      <c r="CZ313" s="75"/>
      <c r="DA313" s="75"/>
      <c r="DB313" s="75"/>
      <c r="DC313" s="75"/>
      <c r="DD313" s="81"/>
      <c r="DE313" s="74"/>
      <c r="DF313" s="75"/>
      <c r="DG313" s="75"/>
      <c r="DH313" s="75"/>
      <c r="DI313" s="75"/>
      <c r="DJ313" s="75"/>
      <c r="DK313" s="75"/>
      <c r="DL313" s="75"/>
      <c r="DM313" s="75"/>
      <c r="DN313" s="75"/>
      <c r="DO313" s="75"/>
      <c r="DP313" s="81"/>
      <c r="DQ313" s="74"/>
      <c r="DR313" s="75"/>
      <c r="DS313" s="75"/>
      <c r="DT313" s="75"/>
      <c r="DU313" s="75"/>
      <c r="DV313" s="75"/>
      <c r="DW313" s="75"/>
      <c r="DX313" s="75"/>
      <c r="DY313" s="75"/>
      <c r="DZ313" s="75"/>
      <c r="EA313" s="75"/>
      <c r="EB313" s="81"/>
      <c r="EC313" s="74"/>
      <c r="ED313" s="75"/>
      <c r="EE313" s="75"/>
      <c r="EF313" s="75"/>
      <c r="EG313" s="75"/>
      <c r="EH313" s="75"/>
      <c r="EI313" s="75"/>
      <c r="EJ313" s="75"/>
      <c r="EK313" s="75"/>
      <c r="EL313" s="75"/>
      <c r="EM313" s="75"/>
      <c r="EN313" s="81"/>
      <c r="EO313" s="74"/>
      <c r="EP313" s="75"/>
      <c r="EQ313" s="75"/>
      <c r="ER313" s="75"/>
      <c r="ES313" s="75"/>
      <c r="ET313" s="75"/>
      <c r="EU313" s="75"/>
      <c r="EV313" s="75"/>
      <c r="EW313" s="75"/>
      <c r="EX313" s="75"/>
      <c r="EY313" s="75"/>
      <c r="EZ313" s="81"/>
      <c r="FA313" s="74"/>
      <c r="FB313" s="75"/>
      <c r="FC313" s="75"/>
      <c r="FD313" s="75"/>
      <c r="FE313" s="75"/>
      <c r="FF313" s="75"/>
      <c r="FG313" s="75"/>
      <c r="FH313" s="75"/>
      <c r="FI313" s="75"/>
      <c r="FJ313" s="75"/>
      <c r="FK313" s="75"/>
      <c r="FL313" s="81"/>
      <c r="FM313" s="74"/>
      <c r="FN313" s="75"/>
      <c r="FO313" s="75"/>
      <c r="FP313" s="75"/>
      <c r="FQ313" s="75"/>
      <c r="FR313" s="75"/>
      <c r="FS313" s="75"/>
      <c r="FT313" s="75"/>
      <c r="FU313" s="75"/>
      <c r="FV313" s="75"/>
      <c r="FW313" s="75"/>
      <c r="FX313" s="81"/>
      <c r="FY313" s="74"/>
      <c r="FZ313" s="75"/>
      <c r="GA313" s="75"/>
      <c r="GB313" s="75"/>
      <c r="GC313" s="75"/>
      <c r="GD313" s="75"/>
      <c r="GE313" s="75"/>
      <c r="GF313" s="75"/>
      <c r="GG313" s="75"/>
      <c r="GH313" s="75"/>
      <c r="GI313" s="75"/>
      <c r="GJ313" s="81"/>
      <c r="GK313" s="74"/>
      <c r="GL313" s="75"/>
      <c r="GM313" s="75"/>
      <c r="GN313" s="75"/>
      <c r="GO313" s="75"/>
      <c r="GP313" s="75"/>
      <c r="GQ313" s="75"/>
      <c r="GR313" s="75"/>
      <c r="GS313" s="75"/>
      <c r="GT313" s="75"/>
      <c r="GU313" s="75"/>
      <c r="GV313" s="81"/>
      <c r="GW313" s="74"/>
      <c r="GX313" s="75"/>
      <c r="GY313" s="75"/>
      <c r="GZ313" s="75"/>
      <c r="HA313" s="75"/>
      <c r="HB313" s="75"/>
      <c r="HC313" s="75"/>
      <c r="HD313" s="75"/>
      <c r="HE313" s="75"/>
      <c r="HF313" s="75"/>
      <c r="HG313" s="75"/>
      <c r="HH313" s="81"/>
      <c r="HI313" s="75"/>
    </row>
    <row r="314" ht="15.0" customHeight="1">
      <c r="A314" s="74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81"/>
      <c r="M314" s="74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81"/>
      <c r="Y314" s="74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81"/>
      <c r="AK314" s="74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81"/>
      <c r="AW314" s="74"/>
      <c r="AX314" s="75"/>
      <c r="AY314" s="75"/>
      <c r="AZ314" s="75"/>
      <c r="BA314" s="75"/>
      <c r="BB314" s="75"/>
      <c r="BC314" s="75"/>
      <c r="BD314" s="75"/>
      <c r="BE314" s="75"/>
      <c r="BF314" s="75"/>
      <c r="BG314" s="75"/>
      <c r="BH314" s="81"/>
      <c r="BI314" s="74"/>
      <c r="BJ314" s="75"/>
      <c r="BK314" s="75"/>
      <c r="BL314" s="75"/>
      <c r="BM314" s="75"/>
      <c r="BN314" s="75"/>
      <c r="BO314" s="75"/>
      <c r="BP314" s="75"/>
      <c r="BQ314" s="75"/>
      <c r="BR314" s="75"/>
      <c r="BS314" s="75"/>
      <c r="BT314" s="81"/>
      <c r="BU314" s="74"/>
      <c r="BV314" s="75"/>
      <c r="BW314" s="75"/>
      <c r="BX314" s="75"/>
      <c r="BY314" s="75"/>
      <c r="BZ314" s="75"/>
      <c r="CA314" s="75"/>
      <c r="CB314" s="75"/>
      <c r="CC314" s="75"/>
      <c r="CD314" s="75"/>
      <c r="CE314" s="75"/>
      <c r="CF314" s="81"/>
      <c r="CG314" s="74"/>
      <c r="CH314" s="75"/>
      <c r="CI314" s="75"/>
      <c r="CJ314" s="75"/>
      <c r="CK314" s="75"/>
      <c r="CL314" s="75"/>
      <c r="CM314" s="75"/>
      <c r="CN314" s="75"/>
      <c r="CO314" s="75"/>
      <c r="CP314" s="75"/>
      <c r="CQ314" s="75"/>
      <c r="CR314" s="81"/>
      <c r="CS314" s="74"/>
      <c r="CT314" s="75"/>
      <c r="CU314" s="75"/>
      <c r="CV314" s="75"/>
      <c r="CW314" s="75"/>
      <c r="CX314" s="75"/>
      <c r="CY314" s="75"/>
      <c r="CZ314" s="75"/>
      <c r="DA314" s="75"/>
      <c r="DB314" s="75"/>
      <c r="DC314" s="75"/>
      <c r="DD314" s="81"/>
      <c r="DE314" s="74"/>
      <c r="DF314" s="75"/>
      <c r="DG314" s="75"/>
      <c r="DH314" s="75"/>
      <c r="DI314" s="75"/>
      <c r="DJ314" s="75"/>
      <c r="DK314" s="75"/>
      <c r="DL314" s="75"/>
      <c r="DM314" s="75"/>
      <c r="DN314" s="75"/>
      <c r="DO314" s="75"/>
      <c r="DP314" s="81"/>
      <c r="DQ314" s="74"/>
      <c r="DR314" s="75"/>
      <c r="DS314" s="75"/>
      <c r="DT314" s="75"/>
      <c r="DU314" s="75"/>
      <c r="DV314" s="75"/>
      <c r="DW314" s="75"/>
      <c r="DX314" s="75"/>
      <c r="DY314" s="75"/>
      <c r="DZ314" s="75"/>
      <c r="EA314" s="75"/>
      <c r="EB314" s="81"/>
      <c r="EC314" s="74"/>
      <c r="ED314" s="75"/>
      <c r="EE314" s="75"/>
      <c r="EF314" s="75"/>
      <c r="EG314" s="75"/>
      <c r="EH314" s="75"/>
      <c r="EI314" s="75"/>
      <c r="EJ314" s="75"/>
      <c r="EK314" s="75"/>
      <c r="EL314" s="75"/>
      <c r="EM314" s="75"/>
      <c r="EN314" s="81"/>
      <c r="EO314" s="74"/>
      <c r="EP314" s="75"/>
      <c r="EQ314" s="75"/>
      <c r="ER314" s="75"/>
      <c r="ES314" s="75"/>
      <c r="ET314" s="75"/>
      <c r="EU314" s="75"/>
      <c r="EV314" s="75"/>
      <c r="EW314" s="75"/>
      <c r="EX314" s="75"/>
      <c r="EY314" s="75"/>
      <c r="EZ314" s="81"/>
      <c r="FA314" s="74"/>
      <c r="FB314" s="75"/>
      <c r="FC314" s="75"/>
      <c r="FD314" s="75"/>
      <c r="FE314" s="75"/>
      <c r="FF314" s="75"/>
      <c r="FG314" s="75"/>
      <c r="FH314" s="75"/>
      <c r="FI314" s="75"/>
      <c r="FJ314" s="75"/>
      <c r="FK314" s="75"/>
      <c r="FL314" s="81"/>
      <c r="FM314" s="74"/>
      <c r="FN314" s="75"/>
      <c r="FO314" s="75"/>
      <c r="FP314" s="75"/>
      <c r="FQ314" s="75"/>
      <c r="FR314" s="75"/>
      <c r="FS314" s="75"/>
      <c r="FT314" s="75"/>
      <c r="FU314" s="75"/>
      <c r="FV314" s="75"/>
      <c r="FW314" s="75"/>
      <c r="FX314" s="81"/>
      <c r="FY314" s="74"/>
      <c r="FZ314" s="75"/>
      <c r="GA314" s="75"/>
      <c r="GB314" s="75"/>
      <c r="GC314" s="75"/>
      <c r="GD314" s="75"/>
      <c r="GE314" s="75"/>
      <c r="GF314" s="75"/>
      <c r="GG314" s="75"/>
      <c r="GH314" s="75"/>
      <c r="GI314" s="75"/>
      <c r="GJ314" s="81"/>
      <c r="GK314" s="74"/>
      <c r="GL314" s="75"/>
      <c r="GM314" s="75"/>
      <c r="GN314" s="75"/>
      <c r="GO314" s="75"/>
      <c r="GP314" s="75"/>
      <c r="GQ314" s="75"/>
      <c r="GR314" s="75"/>
      <c r="GS314" s="75"/>
      <c r="GT314" s="75"/>
      <c r="GU314" s="75"/>
      <c r="GV314" s="81"/>
      <c r="GW314" s="74"/>
      <c r="GX314" s="75"/>
      <c r="GY314" s="75"/>
      <c r="GZ314" s="75"/>
      <c r="HA314" s="75"/>
      <c r="HB314" s="75"/>
      <c r="HC314" s="75"/>
      <c r="HD314" s="75"/>
      <c r="HE314" s="75"/>
      <c r="HF314" s="75"/>
      <c r="HG314" s="75"/>
      <c r="HH314" s="81"/>
      <c r="HI314" s="75"/>
    </row>
    <row r="315" ht="15.0" customHeight="1">
      <c r="A315" s="74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81"/>
      <c r="M315" s="74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81"/>
      <c r="Y315" s="74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81"/>
      <c r="AK315" s="74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81"/>
      <c r="AW315" s="74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81"/>
      <c r="BI315" s="74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81"/>
      <c r="BU315" s="74"/>
      <c r="BV315" s="75"/>
      <c r="BW315" s="75"/>
      <c r="BX315" s="75"/>
      <c r="BY315" s="75"/>
      <c r="BZ315" s="75"/>
      <c r="CA315" s="75"/>
      <c r="CB315" s="75"/>
      <c r="CC315" s="75"/>
      <c r="CD315" s="75"/>
      <c r="CE315" s="75"/>
      <c r="CF315" s="81"/>
      <c r="CG315" s="74"/>
      <c r="CH315" s="75"/>
      <c r="CI315" s="75"/>
      <c r="CJ315" s="75"/>
      <c r="CK315" s="75"/>
      <c r="CL315" s="75"/>
      <c r="CM315" s="75"/>
      <c r="CN315" s="75"/>
      <c r="CO315" s="75"/>
      <c r="CP315" s="75"/>
      <c r="CQ315" s="75"/>
      <c r="CR315" s="81"/>
      <c r="CS315" s="74"/>
      <c r="CT315" s="75"/>
      <c r="CU315" s="75"/>
      <c r="CV315" s="75"/>
      <c r="CW315" s="75"/>
      <c r="CX315" s="75"/>
      <c r="CY315" s="75"/>
      <c r="CZ315" s="75"/>
      <c r="DA315" s="75"/>
      <c r="DB315" s="75"/>
      <c r="DC315" s="75"/>
      <c r="DD315" s="81"/>
      <c r="DE315" s="74"/>
      <c r="DF315" s="75"/>
      <c r="DG315" s="75"/>
      <c r="DH315" s="75"/>
      <c r="DI315" s="75"/>
      <c r="DJ315" s="75"/>
      <c r="DK315" s="75"/>
      <c r="DL315" s="75"/>
      <c r="DM315" s="75"/>
      <c r="DN315" s="75"/>
      <c r="DO315" s="75"/>
      <c r="DP315" s="81"/>
      <c r="DQ315" s="74"/>
      <c r="DR315" s="75"/>
      <c r="DS315" s="75"/>
      <c r="DT315" s="75"/>
      <c r="DU315" s="75"/>
      <c r="DV315" s="75"/>
      <c r="DW315" s="75"/>
      <c r="DX315" s="75"/>
      <c r="DY315" s="75"/>
      <c r="DZ315" s="75"/>
      <c r="EA315" s="75"/>
      <c r="EB315" s="81"/>
      <c r="EC315" s="74"/>
      <c r="ED315" s="75"/>
      <c r="EE315" s="75"/>
      <c r="EF315" s="75"/>
      <c r="EG315" s="75"/>
      <c r="EH315" s="75"/>
      <c r="EI315" s="75"/>
      <c r="EJ315" s="75"/>
      <c r="EK315" s="75"/>
      <c r="EL315" s="75"/>
      <c r="EM315" s="75"/>
      <c r="EN315" s="81"/>
      <c r="EO315" s="74"/>
      <c r="EP315" s="75"/>
      <c r="EQ315" s="75"/>
      <c r="ER315" s="75"/>
      <c r="ES315" s="75"/>
      <c r="ET315" s="75"/>
      <c r="EU315" s="75"/>
      <c r="EV315" s="75"/>
      <c r="EW315" s="75"/>
      <c r="EX315" s="75"/>
      <c r="EY315" s="75"/>
      <c r="EZ315" s="81"/>
      <c r="FA315" s="74"/>
      <c r="FB315" s="75"/>
      <c r="FC315" s="75"/>
      <c r="FD315" s="75"/>
      <c r="FE315" s="75"/>
      <c r="FF315" s="75"/>
      <c r="FG315" s="75"/>
      <c r="FH315" s="75"/>
      <c r="FI315" s="75"/>
      <c r="FJ315" s="75"/>
      <c r="FK315" s="75"/>
      <c r="FL315" s="81"/>
      <c r="FM315" s="74"/>
      <c r="FN315" s="75"/>
      <c r="FO315" s="75"/>
      <c r="FP315" s="75"/>
      <c r="FQ315" s="75"/>
      <c r="FR315" s="75"/>
      <c r="FS315" s="75"/>
      <c r="FT315" s="75"/>
      <c r="FU315" s="75"/>
      <c r="FV315" s="75"/>
      <c r="FW315" s="75"/>
      <c r="FX315" s="81"/>
      <c r="FY315" s="74"/>
      <c r="FZ315" s="75"/>
      <c r="GA315" s="75"/>
      <c r="GB315" s="75"/>
      <c r="GC315" s="75"/>
      <c r="GD315" s="75"/>
      <c r="GE315" s="75"/>
      <c r="GF315" s="75"/>
      <c r="GG315" s="75"/>
      <c r="GH315" s="75"/>
      <c r="GI315" s="75"/>
      <c r="GJ315" s="81"/>
      <c r="GK315" s="74"/>
      <c r="GL315" s="75"/>
      <c r="GM315" s="75"/>
      <c r="GN315" s="75"/>
      <c r="GO315" s="75"/>
      <c r="GP315" s="75"/>
      <c r="GQ315" s="75"/>
      <c r="GR315" s="75"/>
      <c r="GS315" s="75"/>
      <c r="GT315" s="75"/>
      <c r="GU315" s="75"/>
      <c r="GV315" s="81"/>
      <c r="GW315" s="74"/>
      <c r="GX315" s="75"/>
      <c r="GY315" s="75"/>
      <c r="GZ315" s="75"/>
      <c r="HA315" s="75"/>
      <c r="HB315" s="75"/>
      <c r="HC315" s="75"/>
      <c r="HD315" s="75"/>
      <c r="HE315" s="75"/>
      <c r="HF315" s="75"/>
      <c r="HG315" s="75"/>
      <c r="HH315" s="81"/>
      <c r="HI315" s="75"/>
    </row>
    <row r="316" ht="15.0" customHeight="1">
      <c r="A316" s="74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81"/>
      <c r="M316" s="74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81"/>
      <c r="Y316" s="74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81"/>
      <c r="AK316" s="74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81"/>
      <c r="AW316" s="74"/>
      <c r="AX316" s="75"/>
      <c r="AY316" s="75"/>
      <c r="AZ316" s="75"/>
      <c r="BA316" s="75"/>
      <c r="BB316" s="75"/>
      <c r="BC316" s="75"/>
      <c r="BD316" s="75"/>
      <c r="BE316" s="75"/>
      <c r="BF316" s="75"/>
      <c r="BG316" s="75"/>
      <c r="BH316" s="81"/>
      <c r="BI316" s="74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81"/>
      <c r="BU316" s="74"/>
      <c r="BV316" s="75"/>
      <c r="BW316" s="75"/>
      <c r="BX316" s="75"/>
      <c r="BY316" s="75"/>
      <c r="BZ316" s="75"/>
      <c r="CA316" s="75"/>
      <c r="CB316" s="75"/>
      <c r="CC316" s="75"/>
      <c r="CD316" s="75"/>
      <c r="CE316" s="75"/>
      <c r="CF316" s="81"/>
      <c r="CG316" s="74"/>
      <c r="CH316" s="75"/>
      <c r="CI316" s="75"/>
      <c r="CJ316" s="75"/>
      <c r="CK316" s="75"/>
      <c r="CL316" s="75"/>
      <c r="CM316" s="75"/>
      <c r="CN316" s="75"/>
      <c r="CO316" s="75"/>
      <c r="CP316" s="75"/>
      <c r="CQ316" s="75"/>
      <c r="CR316" s="81"/>
      <c r="CS316" s="74"/>
      <c r="CT316" s="75"/>
      <c r="CU316" s="75"/>
      <c r="CV316" s="75"/>
      <c r="CW316" s="75"/>
      <c r="CX316" s="75"/>
      <c r="CY316" s="75"/>
      <c r="CZ316" s="75"/>
      <c r="DA316" s="75"/>
      <c r="DB316" s="75"/>
      <c r="DC316" s="75"/>
      <c r="DD316" s="81"/>
      <c r="DE316" s="74"/>
      <c r="DF316" s="75"/>
      <c r="DG316" s="75"/>
      <c r="DH316" s="75"/>
      <c r="DI316" s="75"/>
      <c r="DJ316" s="75"/>
      <c r="DK316" s="75"/>
      <c r="DL316" s="75"/>
      <c r="DM316" s="75"/>
      <c r="DN316" s="75"/>
      <c r="DO316" s="75"/>
      <c r="DP316" s="81"/>
      <c r="DQ316" s="74"/>
      <c r="DR316" s="75"/>
      <c r="DS316" s="75"/>
      <c r="DT316" s="75"/>
      <c r="DU316" s="75"/>
      <c r="DV316" s="75"/>
      <c r="DW316" s="75"/>
      <c r="DX316" s="75"/>
      <c r="DY316" s="75"/>
      <c r="DZ316" s="75"/>
      <c r="EA316" s="75"/>
      <c r="EB316" s="81"/>
      <c r="EC316" s="74"/>
      <c r="ED316" s="75"/>
      <c r="EE316" s="75"/>
      <c r="EF316" s="75"/>
      <c r="EG316" s="75"/>
      <c r="EH316" s="75"/>
      <c r="EI316" s="75"/>
      <c r="EJ316" s="75"/>
      <c r="EK316" s="75"/>
      <c r="EL316" s="75"/>
      <c r="EM316" s="75"/>
      <c r="EN316" s="81"/>
      <c r="EO316" s="74"/>
      <c r="EP316" s="75"/>
      <c r="EQ316" s="75"/>
      <c r="ER316" s="75"/>
      <c r="ES316" s="75"/>
      <c r="ET316" s="75"/>
      <c r="EU316" s="75"/>
      <c r="EV316" s="75"/>
      <c r="EW316" s="75"/>
      <c r="EX316" s="75"/>
      <c r="EY316" s="75"/>
      <c r="EZ316" s="81"/>
      <c r="FA316" s="74"/>
      <c r="FB316" s="75"/>
      <c r="FC316" s="75"/>
      <c r="FD316" s="75"/>
      <c r="FE316" s="75"/>
      <c r="FF316" s="75"/>
      <c r="FG316" s="75"/>
      <c r="FH316" s="75"/>
      <c r="FI316" s="75"/>
      <c r="FJ316" s="75"/>
      <c r="FK316" s="75"/>
      <c r="FL316" s="81"/>
      <c r="FM316" s="74"/>
      <c r="FN316" s="75"/>
      <c r="FO316" s="75"/>
      <c r="FP316" s="75"/>
      <c r="FQ316" s="75"/>
      <c r="FR316" s="75"/>
      <c r="FS316" s="75"/>
      <c r="FT316" s="75"/>
      <c r="FU316" s="75"/>
      <c r="FV316" s="75"/>
      <c r="FW316" s="75"/>
      <c r="FX316" s="81"/>
      <c r="FY316" s="74"/>
      <c r="FZ316" s="75"/>
      <c r="GA316" s="75"/>
      <c r="GB316" s="75"/>
      <c r="GC316" s="75"/>
      <c r="GD316" s="75"/>
      <c r="GE316" s="75"/>
      <c r="GF316" s="75"/>
      <c r="GG316" s="75"/>
      <c r="GH316" s="75"/>
      <c r="GI316" s="75"/>
      <c r="GJ316" s="81"/>
      <c r="GK316" s="74"/>
      <c r="GL316" s="75"/>
      <c r="GM316" s="75"/>
      <c r="GN316" s="75"/>
      <c r="GO316" s="75"/>
      <c r="GP316" s="75"/>
      <c r="GQ316" s="75"/>
      <c r="GR316" s="75"/>
      <c r="GS316" s="75"/>
      <c r="GT316" s="75"/>
      <c r="GU316" s="75"/>
      <c r="GV316" s="81"/>
      <c r="GW316" s="74"/>
      <c r="GX316" s="75"/>
      <c r="GY316" s="75"/>
      <c r="GZ316" s="75"/>
      <c r="HA316" s="75"/>
      <c r="HB316" s="75"/>
      <c r="HC316" s="75"/>
      <c r="HD316" s="75"/>
      <c r="HE316" s="75"/>
      <c r="HF316" s="75"/>
      <c r="HG316" s="75"/>
      <c r="HH316" s="81"/>
      <c r="HI316" s="75"/>
    </row>
    <row r="317" ht="15.0" customHeight="1">
      <c r="A317" s="74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81"/>
      <c r="M317" s="74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81"/>
      <c r="Y317" s="74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81"/>
      <c r="AK317" s="74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81"/>
      <c r="AW317" s="74"/>
      <c r="AX317" s="75"/>
      <c r="AY317" s="75"/>
      <c r="AZ317" s="75"/>
      <c r="BA317" s="75"/>
      <c r="BB317" s="75"/>
      <c r="BC317" s="75"/>
      <c r="BD317" s="75"/>
      <c r="BE317" s="75"/>
      <c r="BF317" s="75"/>
      <c r="BG317" s="75"/>
      <c r="BH317" s="81"/>
      <c r="BI317" s="74"/>
      <c r="BJ317" s="75"/>
      <c r="BK317" s="75"/>
      <c r="BL317" s="75"/>
      <c r="BM317" s="75"/>
      <c r="BN317" s="75"/>
      <c r="BO317" s="75"/>
      <c r="BP317" s="75"/>
      <c r="BQ317" s="75"/>
      <c r="BR317" s="75"/>
      <c r="BS317" s="75"/>
      <c r="BT317" s="81"/>
      <c r="BU317" s="74"/>
      <c r="BV317" s="75"/>
      <c r="BW317" s="75"/>
      <c r="BX317" s="75"/>
      <c r="BY317" s="75"/>
      <c r="BZ317" s="75"/>
      <c r="CA317" s="75"/>
      <c r="CB317" s="75"/>
      <c r="CC317" s="75"/>
      <c r="CD317" s="75"/>
      <c r="CE317" s="75"/>
      <c r="CF317" s="81"/>
      <c r="CG317" s="74"/>
      <c r="CH317" s="75"/>
      <c r="CI317" s="75"/>
      <c r="CJ317" s="75"/>
      <c r="CK317" s="75"/>
      <c r="CL317" s="75"/>
      <c r="CM317" s="75"/>
      <c r="CN317" s="75"/>
      <c r="CO317" s="75"/>
      <c r="CP317" s="75"/>
      <c r="CQ317" s="75"/>
      <c r="CR317" s="81"/>
      <c r="CS317" s="74"/>
      <c r="CT317" s="75"/>
      <c r="CU317" s="75"/>
      <c r="CV317" s="75"/>
      <c r="CW317" s="75"/>
      <c r="CX317" s="75"/>
      <c r="CY317" s="75"/>
      <c r="CZ317" s="75"/>
      <c r="DA317" s="75"/>
      <c r="DB317" s="75"/>
      <c r="DC317" s="75"/>
      <c r="DD317" s="81"/>
      <c r="DE317" s="74"/>
      <c r="DF317" s="75"/>
      <c r="DG317" s="75"/>
      <c r="DH317" s="75"/>
      <c r="DI317" s="75"/>
      <c r="DJ317" s="75"/>
      <c r="DK317" s="75"/>
      <c r="DL317" s="75"/>
      <c r="DM317" s="75"/>
      <c r="DN317" s="75"/>
      <c r="DO317" s="75"/>
      <c r="DP317" s="81"/>
      <c r="DQ317" s="74"/>
      <c r="DR317" s="75"/>
      <c r="DS317" s="75"/>
      <c r="DT317" s="75"/>
      <c r="DU317" s="75"/>
      <c r="DV317" s="75"/>
      <c r="DW317" s="75"/>
      <c r="DX317" s="75"/>
      <c r="DY317" s="75"/>
      <c r="DZ317" s="75"/>
      <c r="EA317" s="75"/>
      <c r="EB317" s="81"/>
      <c r="EC317" s="74"/>
      <c r="ED317" s="75"/>
      <c r="EE317" s="75"/>
      <c r="EF317" s="75"/>
      <c r="EG317" s="75"/>
      <c r="EH317" s="75"/>
      <c r="EI317" s="75"/>
      <c r="EJ317" s="75"/>
      <c r="EK317" s="75"/>
      <c r="EL317" s="75"/>
      <c r="EM317" s="75"/>
      <c r="EN317" s="81"/>
      <c r="EO317" s="74"/>
      <c r="EP317" s="75"/>
      <c r="EQ317" s="75"/>
      <c r="ER317" s="75"/>
      <c r="ES317" s="75"/>
      <c r="ET317" s="75"/>
      <c r="EU317" s="75"/>
      <c r="EV317" s="75"/>
      <c r="EW317" s="75"/>
      <c r="EX317" s="75"/>
      <c r="EY317" s="75"/>
      <c r="EZ317" s="81"/>
      <c r="FA317" s="74"/>
      <c r="FB317" s="75"/>
      <c r="FC317" s="75"/>
      <c r="FD317" s="75"/>
      <c r="FE317" s="75"/>
      <c r="FF317" s="75"/>
      <c r="FG317" s="75"/>
      <c r="FH317" s="75"/>
      <c r="FI317" s="75"/>
      <c r="FJ317" s="75"/>
      <c r="FK317" s="75"/>
      <c r="FL317" s="81"/>
      <c r="FM317" s="74"/>
      <c r="FN317" s="75"/>
      <c r="FO317" s="75"/>
      <c r="FP317" s="75"/>
      <c r="FQ317" s="75"/>
      <c r="FR317" s="75"/>
      <c r="FS317" s="75"/>
      <c r="FT317" s="75"/>
      <c r="FU317" s="75"/>
      <c r="FV317" s="75"/>
      <c r="FW317" s="75"/>
      <c r="FX317" s="81"/>
      <c r="FY317" s="74"/>
      <c r="FZ317" s="75"/>
      <c r="GA317" s="75"/>
      <c r="GB317" s="75"/>
      <c r="GC317" s="75"/>
      <c r="GD317" s="75"/>
      <c r="GE317" s="75"/>
      <c r="GF317" s="75"/>
      <c r="GG317" s="75"/>
      <c r="GH317" s="75"/>
      <c r="GI317" s="75"/>
      <c r="GJ317" s="81"/>
      <c r="GK317" s="74"/>
      <c r="GL317" s="75"/>
      <c r="GM317" s="75"/>
      <c r="GN317" s="75"/>
      <c r="GO317" s="75"/>
      <c r="GP317" s="75"/>
      <c r="GQ317" s="75"/>
      <c r="GR317" s="75"/>
      <c r="GS317" s="75"/>
      <c r="GT317" s="75"/>
      <c r="GU317" s="75"/>
      <c r="GV317" s="81"/>
      <c r="GW317" s="74"/>
      <c r="GX317" s="75"/>
      <c r="GY317" s="75"/>
      <c r="GZ317" s="75"/>
      <c r="HA317" s="75"/>
      <c r="HB317" s="75"/>
      <c r="HC317" s="75"/>
      <c r="HD317" s="75"/>
      <c r="HE317" s="75"/>
      <c r="HF317" s="75"/>
      <c r="HG317" s="75"/>
      <c r="HH317" s="81"/>
      <c r="HI317" s="75"/>
    </row>
    <row r="318" ht="15.0" customHeight="1">
      <c r="A318" s="74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81"/>
      <c r="M318" s="74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81"/>
      <c r="Y318" s="74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81"/>
      <c r="AK318" s="74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81"/>
      <c r="AW318" s="74"/>
      <c r="AX318" s="75"/>
      <c r="AY318" s="75"/>
      <c r="AZ318" s="75"/>
      <c r="BA318" s="75"/>
      <c r="BB318" s="75"/>
      <c r="BC318" s="75"/>
      <c r="BD318" s="75"/>
      <c r="BE318" s="75"/>
      <c r="BF318" s="75"/>
      <c r="BG318" s="75"/>
      <c r="BH318" s="81"/>
      <c r="BI318" s="74"/>
      <c r="BJ318" s="75"/>
      <c r="BK318" s="75"/>
      <c r="BL318" s="75"/>
      <c r="BM318" s="75"/>
      <c r="BN318" s="75"/>
      <c r="BO318" s="75"/>
      <c r="BP318" s="75"/>
      <c r="BQ318" s="75"/>
      <c r="BR318" s="75"/>
      <c r="BS318" s="75"/>
      <c r="BT318" s="81"/>
      <c r="BU318" s="74"/>
      <c r="BV318" s="75"/>
      <c r="BW318" s="75"/>
      <c r="BX318" s="75"/>
      <c r="BY318" s="75"/>
      <c r="BZ318" s="75"/>
      <c r="CA318" s="75"/>
      <c r="CB318" s="75"/>
      <c r="CC318" s="75"/>
      <c r="CD318" s="75"/>
      <c r="CE318" s="75"/>
      <c r="CF318" s="81"/>
      <c r="CG318" s="74"/>
      <c r="CH318" s="75"/>
      <c r="CI318" s="75"/>
      <c r="CJ318" s="75"/>
      <c r="CK318" s="75"/>
      <c r="CL318" s="75"/>
      <c r="CM318" s="75"/>
      <c r="CN318" s="75"/>
      <c r="CO318" s="75"/>
      <c r="CP318" s="75"/>
      <c r="CQ318" s="75"/>
      <c r="CR318" s="81"/>
      <c r="CS318" s="74"/>
      <c r="CT318" s="75"/>
      <c r="CU318" s="75"/>
      <c r="CV318" s="75"/>
      <c r="CW318" s="75"/>
      <c r="CX318" s="75"/>
      <c r="CY318" s="75"/>
      <c r="CZ318" s="75"/>
      <c r="DA318" s="75"/>
      <c r="DB318" s="75"/>
      <c r="DC318" s="75"/>
      <c r="DD318" s="81"/>
      <c r="DE318" s="74"/>
      <c r="DF318" s="75"/>
      <c r="DG318" s="75"/>
      <c r="DH318" s="75"/>
      <c r="DI318" s="75"/>
      <c r="DJ318" s="75"/>
      <c r="DK318" s="75"/>
      <c r="DL318" s="75"/>
      <c r="DM318" s="75"/>
      <c r="DN318" s="75"/>
      <c r="DO318" s="75"/>
      <c r="DP318" s="81"/>
      <c r="DQ318" s="74"/>
      <c r="DR318" s="75"/>
      <c r="DS318" s="75"/>
      <c r="DT318" s="75"/>
      <c r="DU318" s="75"/>
      <c r="DV318" s="75"/>
      <c r="DW318" s="75"/>
      <c r="DX318" s="75"/>
      <c r="DY318" s="75"/>
      <c r="DZ318" s="75"/>
      <c r="EA318" s="75"/>
      <c r="EB318" s="81"/>
      <c r="EC318" s="74"/>
      <c r="ED318" s="75"/>
      <c r="EE318" s="75"/>
      <c r="EF318" s="75"/>
      <c r="EG318" s="75"/>
      <c r="EH318" s="75"/>
      <c r="EI318" s="75"/>
      <c r="EJ318" s="75"/>
      <c r="EK318" s="75"/>
      <c r="EL318" s="75"/>
      <c r="EM318" s="75"/>
      <c r="EN318" s="81"/>
      <c r="EO318" s="74"/>
      <c r="EP318" s="75"/>
      <c r="EQ318" s="75"/>
      <c r="ER318" s="75"/>
      <c r="ES318" s="75"/>
      <c r="ET318" s="75"/>
      <c r="EU318" s="75"/>
      <c r="EV318" s="75"/>
      <c r="EW318" s="75"/>
      <c r="EX318" s="75"/>
      <c r="EY318" s="75"/>
      <c r="EZ318" s="81"/>
      <c r="FA318" s="74"/>
      <c r="FB318" s="75"/>
      <c r="FC318" s="75"/>
      <c r="FD318" s="75"/>
      <c r="FE318" s="75"/>
      <c r="FF318" s="75"/>
      <c r="FG318" s="75"/>
      <c r="FH318" s="75"/>
      <c r="FI318" s="75"/>
      <c r="FJ318" s="75"/>
      <c r="FK318" s="75"/>
      <c r="FL318" s="81"/>
      <c r="FM318" s="74"/>
      <c r="FN318" s="75"/>
      <c r="FO318" s="75"/>
      <c r="FP318" s="75"/>
      <c r="FQ318" s="75"/>
      <c r="FR318" s="75"/>
      <c r="FS318" s="75"/>
      <c r="FT318" s="75"/>
      <c r="FU318" s="75"/>
      <c r="FV318" s="75"/>
      <c r="FW318" s="75"/>
      <c r="FX318" s="81"/>
      <c r="FY318" s="74"/>
      <c r="FZ318" s="75"/>
      <c r="GA318" s="75"/>
      <c r="GB318" s="75"/>
      <c r="GC318" s="75"/>
      <c r="GD318" s="75"/>
      <c r="GE318" s="75"/>
      <c r="GF318" s="75"/>
      <c r="GG318" s="75"/>
      <c r="GH318" s="75"/>
      <c r="GI318" s="75"/>
      <c r="GJ318" s="81"/>
      <c r="GK318" s="74"/>
      <c r="GL318" s="75"/>
      <c r="GM318" s="75"/>
      <c r="GN318" s="75"/>
      <c r="GO318" s="75"/>
      <c r="GP318" s="75"/>
      <c r="GQ318" s="75"/>
      <c r="GR318" s="75"/>
      <c r="GS318" s="75"/>
      <c r="GT318" s="75"/>
      <c r="GU318" s="75"/>
      <c r="GV318" s="81"/>
      <c r="GW318" s="74"/>
      <c r="GX318" s="75"/>
      <c r="GY318" s="75"/>
      <c r="GZ318" s="75"/>
      <c r="HA318" s="75"/>
      <c r="HB318" s="75"/>
      <c r="HC318" s="75"/>
      <c r="HD318" s="75"/>
      <c r="HE318" s="75"/>
      <c r="HF318" s="75"/>
      <c r="HG318" s="75"/>
      <c r="HH318" s="81"/>
      <c r="HI318" s="75"/>
    </row>
    <row r="319" ht="15.0" customHeight="1">
      <c r="A319" s="74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81"/>
      <c r="M319" s="74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81"/>
      <c r="Y319" s="74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81"/>
      <c r="AK319" s="74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81"/>
      <c r="AW319" s="74"/>
      <c r="AX319" s="75"/>
      <c r="AY319" s="75"/>
      <c r="AZ319" s="75"/>
      <c r="BA319" s="75"/>
      <c r="BB319" s="75"/>
      <c r="BC319" s="75"/>
      <c r="BD319" s="75"/>
      <c r="BE319" s="75"/>
      <c r="BF319" s="75"/>
      <c r="BG319" s="75"/>
      <c r="BH319" s="81"/>
      <c r="BI319" s="74"/>
      <c r="BJ319" s="75"/>
      <c r="BK319" s="75"/>
      <c r="BL319" s="75"/>
      <c r="BM319" s="75"/>
      <c r="BN319" s="75"/>
      <c r="BO319" s="75"/>
      <c r="BP319" s="75"/>
      <c r="BQ319" s="75"/>
      <c r="BR319" s="75"/>
      <c r="BS319" s="75"/>
      <c r="BT319" s="81"/>
      <c r="BU319" s="74"/>
      <c r="BV319" s="75"/>
      <c r="BW319" s="75"/>
      <c r="BX319" s="75"/>
      <c r="BY319" s="75"/>
      <c r="BZ319" s="75"/>
      <c r="CA319" s="75"/>
      <c r="CB319" s="75"/>
      <c r="CC319" s="75"/>
      <c r="CD319" s="75"/>
      <c r="CE319" s="75"/>
      <c r="CF319" s="81"/>
      <c r="CG319" s="74"/>
      <c r="CH319" s="75"/>
      <c r="CI319" s="75"/>
      <c r="CJ319" s="75"/>
      <c r="CK319" s="75"/>
      <c r="CL319" s="75"/>
      <c r="CM319" s="75"/>
      <c r="CN319" s="75"/>
      <c r="CO319" s="75"/>
      <c r="CP319" s="75"/>
      <c r="CQ319" s="75"/>
      <c r="CR319" s="81"/>
      <c r="CS319" s="74"/>
      <c r="CT319" s="75"/>
      <c r="CU319" s="75"/>
      <c r="CV319" s="75"/>
      <c r="CW319" s="75"/>
      <c r="CX319" s="75"/>
      <c r="CY319" s="75"/>
      <c r="CZ319" s="75"/>
      <c r="DA319" s="75"/>
      <c r="DB319" s="75"/>
      <c r="DC319" s="75"/>
      <c r="DD319" s="81"/>
      <c r="DE319" s="74"/>
      <c r="DF319" s="75"/>
      <c r="DG319" s="75"/>
      <c r="DH319" s="75"/>
      <c r="DI319" s="75"/>
      <c r="DJ319" s="75"/>
      <c r="DK319" s="75"/>
      <c r="DL319" s="75"/>
      <c r="DM319" s="75"/>
      <c r="DN319" s="75"/>
      <c r="DO319" s="75"/>
      <c r="DP319" s="81"/>
      <c r="DQ319" s="74"/>
      <c r="DR319" s="75"/>
      <c r="DS319" s="75"/>
      <c r="DT319" s="75"/>
      <c r="DU319" s="75"/>
      <c r="DV319" s="75"/>
      <c r="DW319" s="75"/>
      <c r="DX319" s="75"/>
      <c r="DY319" s="75"/>
      <c r="DZ319" s="75"/>
      <c r="EA319" s="75"/>
      <c r="EB319" s="81"/>
      <c r="EC319" s="74"/>
      <c r="ED319" s="75"/>
      <c r="EE319" s="75"/>
      <c r="EF319" s="75"/>
      <c r="EG319" s="75"/>
      <c r="EH319" s="75"/>
      <c r="EI319" s="75"/>
      <c r="EJ319" s="75"/>
      <c r="EK319" s="75"/>
      <c r="EL319" s="75"/>
      <c r="EM319" s="75"/>
      <c r="EN319" s="81"/>
      <c r="EO319" s="74"/>
      <c r="EP319" s="75"/>
      <c r="EQ319" s="75"/>
      <c r="ER319" s="75"/>
      <c r="ES319" s="75"/>
      <c r="ET319" s="75"/>
      <c r="EU319" s="75"/>
      <c r="EV319" s="75"/>
      <c r="EW319" s="75"/>
      <c r="EX319" s="75"/>
      <c r="EY319" s="75"/>
      <c r="EZ319" s="81"/>
      <c r="FA319" s="74"/>
      <c r="FB319" s="75"/>
      <c r="FC319" s="75"/>
      <c r="FD319" s="75"/>
      <c r="FE319" s="75"/>
      <c r="FF319" s="75"/>
      <c r="FG319" s="75"/>
      <c r="FH319" s="75"/>
      <c r="FI319" s="75"/>
      <c r="FJ319" s="75"/>
      <c r="FK319" s="75"/>
      <c r="FL319" s="81"/>
      <c r="FM319" s="74"/>
      <c r="FN319" s="75"/>
      <c r="FO319" s="75"/>
      <c r="FP319" s="75"/>
      <c r="FQ319" s="75"/>
      <c r="FR319" s="75"/>
      <c r="FS319" s="75"/>
      <c r="FT319" s="75"/>
      <c r="FU319" s="75"/>
      <c r="FV319" s="75"/>
      <c r="FW319" s="75"/>
      <c r="FX319" s="81"/>
      <c r="FY319" s="74"/>
      <c r="FZ319" s="75"/>
      <c r="GA319" s="75"/>
      <c r="GB319" s="75"/>
      <c r="GC319" s="75"/>
      <c r="GD319" s="75"/>
      <c r="GE319" s="75"/>
      <c r="GF319" s="75"/>
      <c r="GG319" s="75"/>
      <c r="GH319" s="75"/>
      <c r="GI319" s="75"/>
      <c r="GJ319" s="81"/>
      <c r="GK319" s="74"/>
      <c r="GL319" s="75"/>
      <c r="GM319" s="75"/>
      <c r="GN319" s="75"/>
      <c r="GO319" s="75"/>
      <c r="GP319" s="75"/>
      <c r="GQ319" s="75"/>
      <c r="GR319" s="75"/>
      <c r="GS319" s="75"/>
      <c r="GT319" s="75"/>
      <c r="GU319" s="75"/>
      <c r="GV319" s="81"/>
      <c r="GW319" s="74"/>
      <c r="GX319" s="75"/>
      <c r="GY319" s="75"/>
      <c r="GZ319" s="75"/>
      <c r="HA319" s="75"/>
      <c r="HB319" s="75"/>
      <c r="HC319" s="75"/>
      <c r="HD319" s="75"/>
      <c r="HE319" s="75"/>
      <c r="HF319" s="75"/>
      <c r="HG319" s="75"/>
      <c r="HH319" s="81"/>
      <c r="HI319" s="75"/>
    </row>
    <row r="320" ht="15.0" customHeight="1">
      <c r="A320" s="74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81"/>
      <c r="M320" s="74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81"/>
      <c r="Y320" s="74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81"/>
      <c r="AK320" s="74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81"/>
      <c r="AW320" s="74"/>
      <c r="AX320" s="75"/>
      <c r="AY320" s="75"/>
      <c r="AZ320" s="75"/>
      <c r="BA320" s="75"/>
      <c r="BB320" s="75"/>
      <c r="BC320" s="75"/>
      <c r="BD320" s="75"/>
      <c r="BE320" s="75"/>
      <c r="BF320" s="75"/>
      <c r="BG320" s="75"/>
      <c r="BH320" s="81"/>
      <c r="BI320" s="74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81"/>
      <c r="BU320" s="74"/>
      <c r="BV320" s="75"/>
      <c r="BW320" s="75"/>
      <c r="BX320" s="75"/>
      <c r="BY320" s="75"/>
      <c r="BZ320" s="75"/>
      <c r="CA320" s="75"/>
      <c r="CB320" s="75"/>
      <c r="CC320" s="75"/>
      <c r="CD320" s="75"/>
      <c r="CE320" s="75"/>
      <c r="CF320" s="81"/>
      <c r="CG320" s="74"/>
      <c r="CH320" s="75"/>
      <c r="CI320" s="75"/>
      <c r="CJ320" s="75"/>
      <c r="CK320" s="75"/>
      <c r="CL320" s="75"/>
      <c r="CM320" s="75"/>
      <c r="CN320" s="75"/>
      <c r="CO320" s="75"/>
      <c r="CP320" s="75"/>
      <c r="CQ320" s="75"/>
      <c r="CR320" s="81"/>
      <c r="CS320" s="74"/>
      <c r="CT320" s="75"/>
      <c r="CU320" s="75"/>
      <c r="CV320" s="75"/>
      <c r="CW320" s="75"/>
      <c r="CX320" s="75"/>
      <c r="CY320" s="75"/>
      <c r="CZ320" s="75"/>
      <c r="DA320" s="75"/>
      <c r="DB320" s="75"/>
      <c r="DC320" s="75"/>
      <c r="DD320" s="81"/>
      <c r="DE320" s="74"/>
      <c r="DF320" s="75"/>
      <c r="DG320" s="75"/>
      <c r="DH320" s="75"/>
      <c r="DI320" s="75"/>
      <c r="DJ320" s="75"/>
      <c r="DK320" s="75"/>
      <c r="DL320" s="75"/>
      <c r="DM320" s="75"/>
      <c r="DN320" s="75"/>
      <c r="DO320" s="75"/>
      <c r="DP320" s="81"/>
      <c r="DQ320" s="74"/>
      <c r="DR320" s="75"/>
      <c r="DS320" s="75"/>
      <c r="DT320" s="75"/>
      <c r="DU320" s="75"/>
      <c r="DV320" s="75"/>
      <c r="DW320" s="75"/>
      <c r="DX320" s="75"/>
      <c r="DY320" s="75"/>
      <c r="DZ320" s="75"/>
      <c r="EA320" s="75"/>
      <c r="EB320" s="81"/>
      <c r="EC320" s="74"/>
      <c r="ED320" s="75"/>
      <c r="EE320" s="75"/>
      <c r="EF320" s="75"/>
      <c r="EG320" s="75"/>
      <c r="EH320" s="75"/>
      <c r="EI320" s="75"/>
      <c r="EJ320" s="75"/>
      <c r="EK320" s="75"/>
      <c r="EL320" s="75"/>
      <c r="EM320" s="75"/>
      <c r="EN320" s="81"/>
      <c r="EO320" s="74"/>
      <c r="EP320" s="75"/>
      <c r="EQ320" s="75"/>
      <c r="ER320" s="75"/>
      <c r="ES320" s="75"/>
      <c r="ET320" s="75"/>
      <c r="EU320" s="75"/>
      <c r="EV320" s="75"/>
      <c r="EW320" s="75"/>
      <c r="EX320" s="75"/>
      <c r="EY320" s="75"/>
      <c r="EZ320" s="81"/>
      <c r="FA320" s="74"/>
      <c r="FB320" s="75"/>
      <c r="FC320" s="75"/>
      <c r="FD320" s="75"/>
      <c r="FE320" s="75"/>
      <c r="FF320" s="75"/>
      <c r="FG320" s="75"/>
      <c r="FH320" s="75"/>
      <c r="FI320" s="75"/>
      <c r="FJ320" s="75"/>
      <c r="FK320" s="75"/>
      <c r="FL320" s="81"/>
      <c r="FM320" s="74"/>
      <c r="FN320" s="75"/>
      <c r="FO320" s="75"/>
      <c r="FP320" s="75"/>
      <c r="FQ320" s="75"/>
      <c r="FR320" s="75"/>
      <c r="FS320" s="75"/>
      <c r="FT320" s="75"/>
      <c r="FU320" s="75"/>
      <c r="FV320" s="75"/>
      <c r="FW320" s="75"/>
      <c r="FX320" s="81"/>
      <c r="FY320" s="74"/>
      <c r="FZ320" s="75"/>
      <c r="GA320" s="75"/>
      <c r="GB320" s="75"/>
      <c r="GC320" s="75"/>
      <c r="GD320" s="75"/>
      <c r="GE320" s="75"/>
      <c r="GF320" s="75"/>
      <c r="GG320" s="75"/>
      <c r="GH320" s="75"/>
      <c r="GI320" s="75"/>
      <c r="GJ320" s="81"/>
      <c r="GK320" s="74"/>
      <c r="GL320" s="75"/>
      <c r="GM320" s="75"/>
      <c r="GN320" s="75"/>
      <c r="GO320" s="75"/>
      <c r="GP320" s="75"/>
      <c r="GQ320" s="75"/>
      <c r="GR320" s="75"/>
      <c r="GS320" s="75"/>
      <c r="GT320" s="75"/>
      <c r="GU320" s="75"/>
      <c r="GV320" s="81"/>
      <c r="GW320" s="74"/>
      <c r="GX320" s="75"/>
      <c r="GY320" s="75"/>
      <c r="GZ320" s="75"/>
      <c r="HA320" s="75"/>
      <c r="HB320" s="75"/>
      <c r="HC320" s="75"/>
      <c r="HD320" s="75"/>
      <c r="HE320" s="75"/>
      <c r="HF320" s="75"/>
      <c r="HG320" s="75"/>
      <c r="HH320" s="81"/>
      <c r="HI320" s="75"/>
    </row>
    <row r="321" ht="15.0" customHeight="1">
      <c r="A321" s="74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81"/>
      <c r="M321" s="74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81"/>
      <c r="Y321" s="74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81"/>
      <c r="AK321" s="74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81"/>
      <c r="AW321" s="74"/>
      <c r="AX321" s="75"/>
      <c r="AY321" s="75"/>
      <c r="AZ321" s="75"/>
      <c r="BA321" s="75"/>
      <c r="BB321" s="75"/>
      <c r="BC321" s="75"/>
      <c r="BD321" s="75"/>
      <c r="BE321" s="75"/>
      <c r="BF321" s="75"/>
      <c r="BG321" s="75"/>
      <c r="BH321" s="81"/>
      <c r="BI321" s="74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81"/>
      <c r="BU321" s="74"/>
      <c r="BV321" s="75"/>
      <c r="BW321" s="75"/>
      <c r="BX321" s="75"/>
      <c r="BY321" s="75"/>
      <c r="BZ321" s="75"/>
      <c r="CA321" s="75"/>
      <c r="CB321" s="75"/>
      <c r="CC321" s="75"/>
      <c r="CD321" s="75"/>
      <c r="CE321" s="75"/>
      <c r="CF321" s="81"/>
      <c r="CG321" s="74"/>
      <c r="CH321" s="75"/>
      <c r="CI321" s="75"/>
      <c r="CJ321" s="75"/>
      <c r="CK321" s="75"/>
      <c r="CL321" s="75"/>
      <c r="CM321" s="75"/>
      <c r="CN321" s="75"/>
      <c r="CO321" s="75"/>
      <c r="CP321" s="75"/>
      <c r="CQ321" s="75"/>
      <c r="CR321" s="81"/>
      <c r="CS321" s="74"/>
      <c r="CT321" s="75"/>
      <c r="CU321" s="75"/>
      <c r="CV321" s="75"/>
      <c r="CW321" s="75"/>
      <c r="CX321" s="75"/>
      <c r="CY321" s="75"/>
      <c r="CZ321" s="75"/>
      <c r="DA321" s="75"/>
      <c r="DB321" s="75"/>
      <c r="DC321" s="75"/>
      <c r="DD321" s="81"/>
      <c r="DE321" s="74"/>
      <c r="DF321" s="75"/>
      <c r="DG321" s="75"/>
      <c r="DH321" s="75"/>
      <c r="DI321" s="75"/>
      <c r="DJ321" s="75"/>
      <c r="DK321" s="75"/>
      <c r="DL321" s="75"/>
      <c r="DM321" s="75"/>
      <c r="DN321" s="75"/>
      <c r="DO321" s="75"/>
      <c r="DP321" s="81"/>
      <c r="DQ321" s="74"/>
      <c r="DR321" s="75"/>
      <c r="DS321" s="75"/>
      <c r="DT321" s="75"/>
      <c r="DU321" s="75"/>
      <c r="DV321" s="75"/>
      <c r="DW321" s="75"/>
      <c r="DX321" s="75"/>
      <c r="DY321" s="75"/>
      <c r="DZ321" s="75"/>
      <c r="EA321" s="75"/>
      <c r="EB321" s="81"/>
      <c r="EC321" s="74"/>
      <c r="ED321" s="75"/>
      <c r="EE321" s="75"/>
      <c r="EF321" s="75"/>
      <c r="EG321" s="75"/>
      <c r="EH321" s="75"/>
      <c r="EI321" s="75"/>
      <c r="EJ321" s="75"/>
      <c r="EK321" s="75"/>
      <c r="EL321" s="75"/>
      <c r="EM321" s="75"/>
      <c r="EN321" s="81"/>
      <c r="EO321" s="74"/>
      <c r="EP321" s="75"/>
      <c r="EQ321" s="75"/>
      <c r="ER321" s="75"/>
      <c r="ES321" s="75"/>
      <c r="ET321" s="75"/>
      <c r="EU321" s="75"/>
      <c r="EV321" s="75"/>
      <c r="EW321" s="75"/>
      <c r="EX321" s="75"/>
      <c r="EY321" s="75"/>
      <c r="EZ321" s="81"/>
      <c r="FA321" s="74"/>
      <c r="FB321" s="75"/>
      <c r="FC321" s="75"/>
      <c r="FD321" s="75"/>
      <c r="FE321" s="75"/>
      <c r="FF321" s="75"/>
      <c r="FG321" s="75"/>
      <c r="FH321" s="75"/>
      <c r="FI321" s="75"/>
      <c r="FJ321" s="75"/>
      <c r="FK321" s="75"/>
      <c r="FL321" s="81"/>
      <c r="FM321" s="74"/>
      <c r="FN321" s="75"/>
      <c r="FO321" s="75"/>
      <c r="FP321" s="75"/>
      <c r="FQ321" s="75"/>
      <c r="FR321" s="75"/>
      <c r="FS321" s="75"/>
      <c r="FT321" s="75"/>
      <c r="FU321" s="75"/>
      <c r="FV321" s="75"/>
      <c r="FW321" s="75"/>
      <c r="FX321" s="81"/>
      <c r="FY321" s="74"/>
      <c r="FZ321" s="75"/>
      <c r="GA321" s="75"/>
      <c r="GB321" s="75"/>
      <c r="GC321" s="75"/>
      <c r="GD321" s="75"/>
      <c r="GE321" s="75"/>
      <c r="GF321" s="75"/>
      <c r="GG321" s="75"/>
      <c r="GH321" s="75"/>
      <c r="GI321" s="75"/>
      <c r="GJ321" s="81"/>
      <c r="GK321" s="74"/>
      <c r="GL321" s="75"/>
      <c r="GM321" s="75"/>
      <c r="GN321" s="75"/>
      <c r="GO321" s="75"/>
      <c r="GP321" s="75"/>
      <c r="GQ321" s="75"/>
      <c r="GR321" s="75"/>
      <c r="GS321" s="75"/>
      <c r="GT321" s="75"/>
      <c r="GU321" s="75"/>
      <c r="GV321" s="81"/>
      <c r="GW321" s="74"/>
      <c r="GX321" s="75"/>
      <c r="GY321" s="75"/>
      <c r="GZ321" s="75"/>
      <c r="HA321" s="75"/>
      <c r="HB321" s="75"/>
      <c r="HC321" s="75"/>
      <c r="HD321" s="75"/>
      <c r="HE321" s="75"/>
      <c r="HF321" s="75"/>
      <c r="HG321" s="75"/>
      <c r="HH321" s="81"/>
      <c r="HI321" s="75"/>
    </row>
    <row r="322" ht="15.0" customHeight="1">
      <c r="A322" s="74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81"/>
      <c r="M322" s="74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81"/>
      <c r="Y322" s="74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81"/>
      <c r="AK322" s="74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81"/>
      <c r="AW322" s="74"/>
      <c r="AX322" s="75"/>
      <c r="AY322" s="75"/>
      <c r="AZ322" s="75"/>
      <c r="BA322" s="75"/>
      <c r="BB322" s="75"/>
      <c r="BC322" s="75"/>
      <c r="BD322" s="75"/>
      <c r="BE322" s="75"/>
      <c r="BF322" s="75"/>
      <c r="BG322" s="75"/>
      <c r="BH322" s="81"/>
      <c r="BI322" s="74"/>
      <c r="BJ322" s="75"/>
      <c r="BK322" s="75"/>
      <c r="BL322" s="75"/>
      <c r="BM322" s="75"/>
      <c r="BN322" s="75"/>
      <c r="BO322" s="75"/>
      <c r="BP322" s="75"/>
      <c r="BQ322" s="75"/>
      <c r="BR322" s="75"/>
      <c r="BS322" s="75"/>
      <c r="BT322" s="81"/>
      <c r="BU322" s="74"/>
      <c r="BV322" s="75"/>
      <c r="BW322" s="75"/>
      <c r="BX322" s="75"/>
      <c r="BY322" s="75"/>
      <c r="BZ322" s="75"/>
      <c r="CA322" s="75"/>
      <c r="CB322" s="75"/>
      <c r="CC322" s="75"/>
      <c r="CD322" s="75"/>
      <c r="CE322" s="75"/>
      <c r="CF322" s="81"/>
      <c r="CG322" s="74"/>
      <c r="CH322" s="75"/>
      <c r="CI322" s="75"/>
      <c r="CJ322" s="75"/>
      <c r="CK322" s="75"/>
      <c r="CL322" s="75"/>
      <c r="CM322" s="75"/>
      <c r="CN322" s="75"/>
      <c r="CO322" s="75"/>
      <c r="CP322" s="75"/>
      <c r="CQ322" s="75"/>
      <c r="CR322" s="81"/>
      <c r="CS322" s="74"/>
      <c r="CT322" s="75"/>
      <c r="CU322" s="75"/>
      <c r="CV322" s="75"/>
      <c r="CW322" s="75"/>
      <c r="CX322" s="75"/>
      <c r="CY322" s="75"/>
      <c r="CZ322" s="75"/>
      <c r="DA322" s="75"/>
      <c r="DB322" s="75"/>
      <c r="DC322" s="75"/>
      <c r="DD322" s="81"/>
      <c r="DE322" s="74"/>
      <c r="DF322" s="75"/>
      <c r="DG322" s="75"/>
      <c r="DH322" s="75"/>
      <c r="DI322" s="75"/>
      <c r="DJ322" s="75"/>
      <c r="DK322" s="75"/>
      <c r="DL322" s="75"/>
      <c r="DM322" s="75"/>
      <c r="DN322" s="75"/>
      <c r="DO322" s="75"/>
      <c r="DP322" s="81"/>
      <c r="DQ322" s="74"/>
      <c r="DR322" s="75"/>
      <c r="DS322" s="75"/>
      <c r="DT322" s="75"/>
      <c r="DU322" s="75"/>
      <c r="DV322" s="75"/>
      <c r="DW322" s="75"/>
      <c r="DX322" s="75"/>
      <c r="DY322" s="75"/>
      <c r="DZ322" s="75"/>
      <c r="EA322" s="75"/>
      <c r="EB322" s="81"/>
      <c r="EC322" s="74"/>
      <c r="ED322" s="75"/>
      <c r="EE322" s="75"/>
      <c r="EF322" s="75"/>
      <c r="EG322" s="75"/>
      <c r="EH322" s="75"/>
      <c r="EI322" s="75"/>
      <c r="EJ322" s="75"/>
      <c r="EK322" s="75"/>
      <c r="EL322" s="75"/>
      <c r="EM322" s="75"/>
      <c r="EN322" s="81"/>
      <c r="EO322" s="74"/>
      <c r="EP322" s="75"/>
      <c r="EQ322" s="75"/>
      <c r="ER322" s="75"/>
      <c r="ES322" s="75"/>
      <c r="ET322" s="75"/>
      <c r="EU322" s="75"/>
      <c r="EV322" s="75"/>
      <c r="EW322" s="75"/>
      <c r="EX322" s="75"/>
      <c r="EY322" s="75"/>
      <c r="EZ322" s="81"/>
      <c r="FA322" s="74"/>
      <c r="FB322" s="75"/>
      <c r="FC322" s="75"/>
      <c r="FD322" s="75"/>
      <c r="FE322" s="75"/>
      <c r="FF322" s="75"/>
      <c r="FG322" s="75"/>
      <c r="FH322" s="75"/>
      <c r="FI322" s="75"/>
      <c r="FJ322" s="75"/>
      <c r="FK322" s="75"/>
      <c r="FL322" s="81"/>
      <c r="FM322" s="74"/>
      <c r="FN322" s="75"/>
      <c r="FO322" s="75"/>
      <c r="FP322" s="75"/>
      <c r="FQ322" s="75"/>
      <c r="FR322" s="75"/>
      <c r="FS322" s="75"/>
      <c r="FT322" s="75"/>
      <c r="FU322" s="75"/>
      <c r="FV322" s="75"/>
      <c r="FW322" s="75"/>
      <c r="FX322" s="81"/>
      <c r="FY322" s="74"/>
      <c r="FZ322" s="75"/>
      <c r="GA322" s="75"/>
      <c r="GB322" s="75"/>
      <c r="GC322" s="75"/>
      <c r="GD322" s="75"/>
      <c r="GE322" s="75"/>
      <c r="GF322" s="75"/>
      <c r="GG322" s="75"/>
      <c r="GH322" s="75"/>
      <c r="GI322" s="75"/>
      <c r="GJ322" s="81"/>
      <c r="GK322" s="74"/>
      <c r="GL322" s="75"/>
      <c r="GM322" s="75"/>
      <c r="GN322" s="75"/>
      <c r="GO322" s="75"/>
      <c r="GP322" s="75"/>
      <c r="GQ322" s="75"/>
      <c r="GR322" s="75"/>
      <c r="GS322" s="75"/>
      <c r="GT322" s="75"/>
      <c r="GU322" s="75"/>
      <c r="GV322" s="81"/>
      <c r="GW322" s="74"/>
      <c r="GX322" s="75"/>
      <c r="GY322" s="75"/>
      <c r="GZ322" s="75"/>
      <c r="HA322" s="75"/>
      <c r="HB322" s="75"/>
      <c r="HC322" s="75"/>
      <c r="HD322" s="75"/>
      <c r="HE322" s="75"/>
      <c r="HF322" s="75"/>
      <c r="HG322" s="75"/>
      <c r="HH322" s="81"/>
      <c r="HI322" s="75"/>
    </row>
    <row r="323" ht="15.0" customHeight="1">
      <c r="A323" s="74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81"/>
      <c r="M323" s="74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81"/>
      <c r="Y323" s="74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81"/>
      <c r="AK323" s="74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81"/>
      <c r="AW323" s="74"/>
      <c r="AX323" s="75"/>
      <c r="AY323" s="75"/>
      <c r="AZ323" s="75"/>
      <c r="BA323" s="75"/>
      <c r="BB323" s="75"/>
      <c r="BC323" s="75"/>
      <c r="BD323" s="75"/>
      <c r="BE323" s="75"/>
      <c r="BF323" s="75"/>
      <c r="BG323" s="75"/>
      <c r="BH323" s="81"/>
      <c r="BI323" s="74"/>
      <c r="BJ323" s="75"/>
      <c r="BK323" s="75"/>
      <c r="BL323" s="75"/>
      <c r="BM323" s="75"/>
      <c r="BN323" s="75"/>
      <c r="BO323" s="75"/>
      <c r="BP323" s="75"/>
      <c r="BQ323" s="75"/>
      <c r="BR323" s="75"/>
      <c r="BS323" s="75"/>
      <c r="BT323" s="81"/>
      <c r="BU323" s="74"/>
      <c r="BV323" s="75"/>
      <c r="BW323" s="75"/>
      <c r="BX323" s="75"/>
      <c r="BY323" s="75"/>
      <c r="BZ323" s="75"/>
      <c r="CA323" s="75"/>
      <c r="CB323" s="75"/>
      <c r="CC323" s="75"/>
      <c r="CD323" s="75"/>
      <c r="CE323" s="75"/>
      <c r="CF323" s="81"/>
      <c r="CG323" s="74"/>
      <c r="CH323" s="75"/>
      <c r="CI323" s="75"/>
      <c r="CJ323" s="75"/>
      <c r="CK323" s="75"/>
      <c r="CL323" s="75"/>
      <c r="CM323" s="75"/>
      <c r="CN323" s="75"/>
      <c r="CO323" s="75"/>
      <c r="CP323" s="75"/>
      <c r="CQ323" s="75"/>
      <c r="CR323" s="81"/>
      <c r="CS323" s="74"/>
      <c r="CT323" s="75"/>
      <c r="CU323" s="75"/>
      <c r="CV323" s="75"/>
      <c r="CW323" s="75"/>
      <c r="CX323" s="75"/>
      <c r="CY323" s="75"/>
      <c r="CZ323" s="75"/>
      <c r="DA323" s="75"/>
      <c r="DB323" s="75"/>
      <c r="DC323" s="75"/>
      <c r="DD323" s="81"/>
      <c r="DE323" s="74"/>
      <c r="DF323" s="75"/>
      <c r="DG323" s="75"/>
      <c r="DH323" s="75"/>
      <c r="DI323" s="75"/>
      <c r="DJ323" s="75"/>
      <c r="DK323" s="75"/>
      <c r="DL323" s="75"/>
      <c r="DM323" s="75"/>
      <c r="DN323" s="75"/>
      <c r="DO323" s="75"/>
      <c r="DP323" s="81"/>
      <c r="DQ323" s="74"/>
      <c r="DR323" s="75"/>
      <c r="DS323" s="75"/>
      <c r="DT323" s="75"/>
      <c r="DU323" s="75"/>
      <c r="DV323" s="75"/>
      <c r="DW323" s="75"/>
      <c r="DX323" s="75"/>
      <c r="DY323" s="75"/>
      <c r="DZ323" s="75"/>
      <c r="EA323" s="75"/>
      <c r="EB323" s="81"/>
      <c r="EC323" s="74"/>
      <c r="ED323" s="75"/>
      <c r="EE323" s="75"/>
      <c r="EF323" s="75"/>
      <c r="EG323" s="75"/>
      <c r="EH323" s="75"/>
      <c r="EI323" s="75"/>
      <c r="EJ323" s="75"/>
      <c r="EK323" s="75"/>
      <c r="EL323" s="75"/>
      <c r="EM323" s="75"/>
      <c r="EN323" s="81"/>
      <c r="EO323" s="74"/>
      <c r="EP323" s="75"/>
      <c r="EQ323" s="75"/>
      <c r="ER323" s="75"/>
      <c r="ES323" s="75"/>
      <c r="ET323" s="75"/>
      <c r="EU323" s="75"/>
      <c r="EV323" s="75"/>
      <c r="EW323" s="75"/>
      <c r="EX323" s="75"/>
      <c r="EY323" s="75"/>
      <c r="EZ323" s="81"/>
      <c r="FA323" s="74"/>
      <c r="FB323" s="75"/>
      <c r="FC323" s="75"/>
      <c r="FD323" s="75"/>
      <c r="FE323" s="75"/>
      <c r="FF323" s="75"/>
      <c r="FG323" s="75"/>
      <c r="FH323" s="75"/>
      <c r="FI323" s="75"/>
      <c r="FJ323" s="75"/>
      <c r="FK323" s="75"/>
      <c r="FL323" s="81"/>
      <c r="FM323" s="74"/>
      <c r="FN323" s="75"/>
      <c r="FO323" s="75"/>
      <c r="FP323" s="75"/>
      <c r="FQ323" s="75"/>
      <c r="FR323" s="75"/>
      <c r="FS323" s="75"/>
      <c r="FT323" s="75"/>
      <c r="FU323" s="75"/>
      <c r="FV323" s="75"/>
      <c r="FW323" s="75"/>
      <c r="FX323" s="81"/>
      <c r="FY323" s="74"/>
      <c r="FZ323" s="75"/>
      <c r="GA323" s="75"/>
      <c r="GB323" s="75"/>
      <c r="GC323" s="75"/>
      <c r="GD323" s="75"/>
      <c r="GE323" s="75"/>
      <c r="GF323" s="75"/>
      <c r="GG323" s="75"/>
      <c r="GH323" s="75"/>
      <c r="GI323" s="75"/>
      <c r="GJ323" s="81"/>
      <c r="GK323" s="74"/>
      <c r="GL323" s="75"/>
      <c r="GM323" s="75"/>
      <c r="GN323" s="75"/>
      <c r="GO323" s="75"/>
      <c r="GP323" s="75"/>
      <c r="GQ323" s="75"/>
      <c r="GR323" s="75"/>
      <c r="GS323" s="75"/>
      <c r="GT323" s="75"/>
      <c r="GU323" s="75"/>
      <c r="GV323" s="81"/>
      <c r="GW323" s="74"/>
      <c r="GX323" s="75"/>
      <c r="GY323" s="75"/>
      <c r="GZ323" s="75"/>
      <c r="HA323" s="75"/>
      <c r="HB323" s="75"/>
      <c r="HC323" s="75"/>
      <c r="HD323" s="75"/>
      <c r="HE323" s="75"/>
      <c r="HF323" s="75"/>
      <c r="HG323" s="75"/>
      <c r="HH323" s="81"/>
      <c r="HI323" s="75"/>
    </row>
    <row r="324" ht="15.0" customHeight="1">
      <c r="A324" s="74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81"/>
      <c r="M324" s="74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81"/>
      <c r="Y324" s="74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81"/>
      <c r="AK324" s="74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81"/>
      <c r="AW324" s="74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81"/>
      <c r="BI324" s="74"/>
      <c r="BJ324" s="75"/>
      <c r="BK324" s="75"/>
      <c r="BL324" s="75"/>
      <c r="BM324" s="75"/>
      <c r="BN324" s="75"/>
      <c r="BO324" s="75"/>
      <c r="BP324" s="75"/>
      <c r="BQ324" s="75"/>
      <c r="BR324" s="75"/>
      <c r="BS324" s="75"/>
      <c r="BT324" s="81"/>
      <c r="BU324" s="74"/>
      <c r="BV324" s="75"/>
      <c r="BW324" s="75"/>
      <c r="BX324" s="75"/>
      <c r="BY324" s="75"/>
      <c r="BZ324" s="75"/>
      <c r="CA324" s="75"/>
      <c r="CB324" s="75"/>
      <c r="CC324" s="75"/>
      <c r="CD324" s="75"/>
      <c r="CE324" s="75"/>
      <c r="CF324" s="81"/>
      <c r="CG324" s="74"/>
      <c r="CH324" s="75"/>
      <c r="CI324" s="75"/>
      <c r="CJ324" s="75"/>
      <c r="CK324" s="75"/>
      <c r="CL324" s="75"/>
      <c r="CM324" s="75"/>
      <c r="CN324" s="75"/>
      <c r="CO324" s="75"/>
      <c r="CP324" s="75"/>
      <c r="CQ324" s="75"/>
      <c r="CR324" s="81"/>
      <c r="CS324" s="74"/>
      <c r="CT324" s="75"/>
      <c r="CU324" s="75"/>
      <c r="CV324" s="75"/>
      <c r="CW324" s="75"/>
      <c r="CX324" s="75"/>
      <c r="CY324" s="75"/>
      <c r="CZ324" s="75"/>
      <c r="DA324" s="75"/>
      <c r="DB324" s="75"/>
      <c r="DC324" s="75"/>
      <c r="DD324" s="81"/>
      <c r="DE324" s="74"/>
      <c r="DF324" s="75"/>
      <c r="DG324" s="75"/>
      <c r="DH324" s="75"/>
      <c r="DI324" s="75"/>
      <c r="DJ324" s="75"/>
      <c r="DK324" s="75"/>
      <c r="DL324" s="75"/>
      <c r="DM324" s="75"/>
      <c r="DN324" s="75"/>
      <c r="DO324" s="75"/>
      <c r="DP324" s="81"/>
      <c r="DQ324" s="74"/>
      <c r="DR324" s="75"/>
      <c r="DS324" s="75"/>
      <c r="DT324" s="75"/>
      <c r="DU324" s="75"/>
      <c r="DV324" s="75"/>
      <c r="DW324" s="75"/>
      <c r="DX324" s="75"/>
      <c r="DY324" s="75"/>
      <c r="DZ324" s="75"/>
      <c r="EA324" s="75"/>
      <c r="EB324" s="81"/>
      <c r="EC324" s="74"/>
      <c r="ED324" s="75"/>
      <c r="EE324" s="75"/>
      <c r="EF324" s="75"/>
      <c r="EG324" s="75"/>
      <c r="EH324" s="75"/>
      <c r="EI324" s="75"/>
      <c r="EJ324" s="75"/>
      <c r="EK324" s="75"/>
      <c r="EL324" s="75"/>
      <c r="EM324" s="75"/>
      <c r="EN324" s="81"/>
      <c r="EO324" s="74"/>
      <c r="EP324" s="75"/>
      <c r="EQ324" s="75"/>
      <c r="ER324" s="75"/>
      <c r="ES324" s="75"/>
      <c r="ET324" s="75"/>
      <c r="EU324" s="75"/>
      <c r="EV324" s="75"/>
      <c r="EW324" s="75"/>
      <c r="EX324" s="75"/>
      <c r="EY324" s="75"/>
      <c r="EZ324" s="81"/>
      <c r="FA324" s="74"/>
      <c r="FB324" s="75"/>
      <c r="FC324" s="75"/>
      <c r="FD324" s="75"/>
      <c r="FE324" s="75"/>
      <c r="FF324" s="75"/>
      <c r="FG324" s="75"/>
      <c r="FH324" s="75"/>
      <c r="FI324" s="75"/>
      <c r="FJ324" s="75"/>
      <c r="FK324" s="75"/>
      <c r="FL324" s="81"/>
      <c r="FM324" s="74"/>
      <c r="FN324" s="75"/>
      <c r="FO324" s="75"/>
      <c r="FP324" s="75"/>
      <c r="FQ324" s="75"/>
      <c r="FR324" s="75"/>
      <c r="FS324" s="75"/>
      <c r="FT324" s="75"/>
      <c r="FU324" s="75"/>
      <c r="FV324" s="75"/>
      <c r="FW324" s="75"/>
      <c r="FX324" s="81"/>
      <c r="FY324" s="74"/>
      <c r="FZ324" s="75"/>
      <c r="GA324" s="75"/>
      <c r="GB324" s="75"/>
      <c r="GC324" s="75"/>
      <c r="GD324" s="75"/>
      <c r="GE324" s="75"/>
      <c r="GF324" s="75"/>
      <c r="GG324" s="75"/>
      <c r="GH324" s="75"/>
      <c r="GI324" s="75"/>
      <c r="GJ324" s="81"/>
      <c r="GK324" s="74"/>
      <c r="GL324" s="75"/>
      <c r="GM324" s="75"/>
      <c r="GN324" s="75"/>
      <c r="GO324" s="75"/>
      <c r="GP324" s="75"/>
      <c r="GQ324" s="75"/>
      <c r="GR324" s="75"/>
      <c r="GS324" s="75"/>
      <c r="GT324" s="75"/>
      <c r="GU324" s="75"/>
      <c r="GV324" s="81"/>
      <c r="GW324" s="74"/>
      <c r="GX324" s="75"/>
      <c r="GY324" s="75"/>
      <c r="GZ324" s="75"/>
      <c r="HA324" s="75"/>
      <c r="HB324" s="75"/>
      <c r="HC324" s="75"/>
      <c r="HD324" s="75"/>
      <c r="HE324" s="75"/>
      <c r="HF324" s="75"/>
      <c r="HG324" s="75"/>
      <c r="HH324" s="81"/>
      <c r="HI324" s="75"/>
    </row>
  </sheetData>
  <mergeCells count="992">
    <mergeCell ref="F10:G10"/>
    <mergeCell ref="H10:H11"/>
    <mergeCell ref="O10:O11"/>
    <mergeCell ref="P10:P11"/>
    <mergeCell ref="Q10:Q11"/>
    <mergeCell ref="R10:S10"/>
    <mergeCell ref="W4:W5"/>
    <mergeCell ref="W6:W7"/>
    <mergeCell ref="A10:A11"/>
    <mergeCell ref="B10:B11"/>
    <mergeCell ref="C10:C11"/>
    <mergeCell ref="D10:D11"/>
    <mergeCell ref="E10:E11"/>
    <mergeCell ref="T10:T11"/>
    <mergeCell ref="FD10:FD11"/>
    <mergeCell ref="FE10:FE11"/>
    <mergeCell ref="ER10:ER11"/>
    <mergeCell ref="ES10:ES11"/>
    <mergeCell ref="ET10:EU10"/>
    <mergeCell ref="EV10:EV11"/>
    <mergeCell ref="FA10:FA11"/>
    <mergeCell ref="FB10:FB11"/>
    <mergeCell ref="FC10:FC11"/>
    <mergeCell ref="FR10:FS10"/>
    <mergeCell ref="FT10:FT11"/>
    <mergeCell ref="FF10:FG10"/>
    <mergeCell ref="FH10:FH11"/>
    <mergeCell ref="FM10:FM11"/>
    <mergeCell ref="FN10:FN11"/>
    <mergeCell ref="FO10:FO11"/>
    <mergeCell ref="FP10:FP11"/>
    <mergeCell ref="FQ10:FQ11"/>
    <mergeCell ref="GK10:GK11"/>
    <mergeCell ref="GL10:GL11"/>
    <mergeCell ref="FY10:FY11"/>
    <mergeCell ref="FZ10:FZ11"/>
    <mergeCell ref="GA10:GA11"/>
    <mergeCell ref="GB10:GB11"/>
    <mergeCell ref="GC10:GC11"/>
    <mergeCell ref="GD10:GE10"/>
    <mergeCell ref="GF10:GF11"/>
    <mergeCell ref="GY10:GY11"/>
    <mergeCell ref="GZ10:GZ11"/>
    <mergeCell ref="GM10:GM11"/>
    <mergeCell ref="GN10:GN11"/>
    <mergeCell ref="GO10:GO11"/>
    <mergeCell ref="GP10:GQ10"/>
    <mergeCell ref="GR10:GR11"/>
    <mergeCell ref="GW10:GW11"/>
    <mergeCell ref="GX10:GX11"/>
    <mergeCell ref="EY4:EY5"/>
    <mergeCell ref="FK4:FK5"/>
    <mergeCell ref="FW4:FW5"/>
    <mergeCell ref="GI4:GI5"/>
    <mergeCell ref="GU4:GU5"/>
    <mergeCell ref="HG4:HG5"/>
    <mergeCell ref="BS4:BS5"/>
    <mergeCell ref="CE4:CE5"/>
    <mergeCell ref="CQ4:CQ5"/>
    <mergeCell ref="DC4:DC5"/>
    <mergeCell ref="DO4:DO5"/>
    <mergeCell ref="EA4:EA5"/>
    <mergeCell ref="EM4:EM5"/>
    <mergeCell ref="A1:A2"/>
    <mergeCell ref="B1:B2"/>
    <mergeCell ref="K4:K5"/>
    <mergeCell ref="AI4:AI5"/>
    <mergeCell ref="BG4:BG5"/>
    <mergeCell ref="K6:K7"/>
    <mergeCell ref="AI6:AI7"/>
    <mergeCell ref="BG6:BG7"/>
    <mergeCell ref="BS6:BS7"/>
    <mergeCell ref="CE6:CE7"/>
    <mergeCell ref="CQ6:CQ7"/>
    <mergeCell ref="DC6:DC7"/>
    <mergeCell ref="DO6:DO7"/>
    <mergeCell ref="EA6:EA7"/>
    <mergeCell ref="AU4:AU5"/>
    <mergeCell ref="AU6:AU7"/>
    <mergeCell ref="AW10:AW11"/>
    <mergeCell ref="AX10:AX11"/>
    <mergeCell ref="AY10:AY11"/>
    <mergeCell ref="AZ10:AZ11"/>
    <mergeCell ref="BA10:BA11"/>
    <mergeCell ref="M10:M11"/>
    <mergeCell ref="N10:N11"/>
    <mergeCell ref="Y10:Y11"/>
    <mergeCell ref="Z10:Z11"/>
    <mergeCell ref="AA10:AA11"/>
    <mergeCell ref="AB10:AB11"/>
    <mergeCell ref="AC10:AC11"/>
    <mergeCell ref="HA10:HA11"/>
    <mergeCell ref="HB10:HC10"/>
    <mergeCell ref="HD10:HD11"/>
    <mergeCell ref="EM6:EM7"/>
    <mergeCell ref="EY6:EY7"/>
    <mergeCell ref="FK6:FK7"/>
    <mergeCell ref="FW6:FW7"/>
    <mergeCell ref="GI6:GI7"/>
    <mergeCell ref="GU6:GU7"/>
    <mergeCell ref="HG6:HG7"/>
    <mergeCell ref="BN10:BO10"/>
    <mergeCell ref="BP10:BP11"/>
    <mergeCell ref="BB10:BC10"/>
    <mergeCell ref="BD10:BD11"/>
    <mergeCell ref="BI10:BI11"/>
    <mergeCell ref="BJ10:BJ11"/>
    <mergeCell ref="BK10:BK11"/>
    <mergeCell ref="BL10:BL11"/>
    <mergeCell ref="BM10:BM11"/>
    <mergeCell ref="BU21:BV21"/>
    <mergeCell ref="BU25:BV25"/>
    <mergeCell ref="BS29:BS30"/>
    <mergeCell ref="BU10:BU11"/>
    <mergeCell ref="BV10:BV11"/>
    <mergeCell ref="BW10:BW11"/>
    <mergeCell ref="BX10:BX11"/>
    <mergeCell ref="BY10:BY11"/>
    <mergeCell ref="BZ10:CA10"/>
    <mergeCell ref="CB10:CB11"/>
    <mergeCell ref="CG10:CG11"/>
    <mergeCell ref="CH10:CH11"/>
    <mergeCell ref="CG21:CH21"/>
    <mergeCell ref="CG25:CH25"/>
    <mergeCell ref="CE29:CE30"/>
    <mergeCell ref="CQ29:CQ30"/>
    <mergeCell ref="DC29:DC30"/>
    <mergeCell ref="GU29:GU30"/>
    <mergeCell ref="HG29:HG30"/>
    <mergeCell ref="DO29:DO30"/>
    <mergeCell ref="EA29:EA30"/>
    <mergeCell ref="EM29:EM30"/>
    <mergeCell ref="EY29:EY30"/>
    <mergeCell ref="FK29:FK30"/>
    <mergeCell ref="FW29:FW30"/>
    <mergeCell ref="GI29:GI30"/>
    <mergeCell ref="CI10:CI11"/>
    <mergeCell ref="CJ10:CJ11"/>
    <mergeCell ref="CK10:CK11"/>
    <mergeCell ref="CL10:CM10"/>
    <mergeCell ref="CN10:CN11"/>
    <mergeCell ref="CS10:CS11"/>
    <mergeCell ref="CT10:CT11"/>
    <mergeCell ref="DQ21:DR21"/>
    <mergeCell ref="DQ25:DR25"/>
    <mergeCell ref="EO25:EP25"/>
    <mergeCell ref="FA25:FB25"/>
    <mergeCell ref="FM25:FN25"/>
    <mergeCell ref="FY25:FZ25"/>
    <mergeCell ref="GK25:GL25"/>
    <mergeCell ref="GW25:GX25"/>
    <mergeCell ref="CU10:CU11"/>
    <mergeCell ref="CV10:CV11"/>
    <mergeCell ref="CS21:CT21"/>
    <mergeCell ref="DE21:DF21"/>
    <mergeCell ref="EC21:ED21"/>
    <mergeCell ref="CS25:CT25"/>
    <mergeCell ref="DE25:DF25"/>
    <mergeCell ref="EC25:ED25"/>
    <mergeCell ref="DI10:DI11"/>
    <mergeCell ref="DJ10:DK10"/>
    <mergeCell ref="CW10:CW11"/>
    <mergeCell ref="CX10:CY10"/>
    <mergeCell ref="CZ10:CZ11"/>
    <mergeCell ref="DE10:DE11"/>
    <mergeCell ref="DF10:DF11"/>
    <mergeCell ref="DG10:DG11"/>
    <mergeCell ref="DH10:DH11"/>
    <mergeCell ref="DX10:DX11"/>
    <mergeCell ref="EC10:EC11"/>
    <mergeCell ref="DL10:DL11"/>
    <mergeCell ref="DQ10:DQ11"/>
    <mergeCell ref="DR10:DR11"/>
    <mergeCell ref="DS10:DS11"/>
    <mergeCell ref="DT10:DT11"/>
    <mergeCell ref="DU10:DU11"/>
    <mergeCell ref="DV10:DW10"/>
    <mergeCell ref="EP10:EP11"/>
    <mergeCell ref="EQ10:EQ11"/>
    <mergeCell ref="EO21:EP21"/>
    <mergeCell ref="FA21:FB21"/>
    <mergeCell ref="FM21:FN21"/>
    <mergeCell ref="FY21:FZ21"/>
    <mergeCell ref="GK21:GL21"/>
    <mergeCell ref="GW21:GX21"/>
    <mergeCell ref="ED10:ED11"/>
    <mergeCell ref="EE10:EE11"/>
    <mergeCell ref="EF10:EF11"/>
    <mergeCell ref="EG10:EG11"/>
    <mergeCell ref="EH10:EI10"/>
    <mergeCell ref="EJ10:EJ11"/>
    <mergeCell ref="EO10:EO11"/>
    <mergeCell ref="AP10:AQ10"/>
    <mergeCell ref="AR10:AR11"/>
    <mergeCell ref="AD10:AE10"/>
    <mergeCell ref="AF10:AF11"/>
    <mergeCell ref="AK10:AK11"/>
    <mergeCell ref="AL10:AL11"/>
    <mergeCell ref="AM10:AM11"/>
    <mergeCell ref="AN10:AN11"/>
    <mergeCell ref="AO10:AO11"/>
    <mergeCell ref="A21:B21"/>
    <mergeCell ref="M21:N21"/>
    <mergeCell ref="AK21:AL21"/>
    <mergeCell ref="BI21:BJ21"/>
    <mergeCell ref="A25:B25"/>
    <mergeCell ref="M25:N25"/>
    <mergeCell ref="AK25:AL25"/>
    <mergeCell ref="BI25:BJ25"/>
    <mergeCell ref="AW21:AX21"/>
    <mergeCell ref="AW25:AX25"/>
    <mergeCell ref="AU29:AU30"/>
    <mergeCell ref="BG29:BG30"/>
    <mergeCell ref="AU31:AU32"/>
    <mergeCell ref="BG31:BG32"/>
    <mergeCell ref="BS31:BS32"/>
    <mergeCell ref="FK31:FK32"/>
    <mergeCell ref="FW31:FW32"/>
    <mergeCell ref="GI31:GI32"/>
    <mergeCell ref="GU31:GU32"/>
    <mergeCell ref="HG31:HG32"/>
    <mergeCell ref="CE31:CE32"/>
    <mergeCell ref="CQ31:CQ32"/>
    <mergeCell ref="DC31:DC32"/>
    <mergeCell ref="DO31:DO32"/>
    <mergeCell ref="EA31:EA32"/>
    <mergeCell ref="EM31:EM32"/>
    <mergeCell ref="EY31:EY32"/>
    <mergeCell ref="Y21:Z21"/>
    <mergeCell ref="Y25:Z25"/>
    <mergeCell ref="K29:K30"/>
    <mergeCell ref="W29:W30"/>
    <mergeCell ref="AI29:AI30"/>
    <mergeCell ref="W31:W32"/>
    <mergeCell ref="AI31:AI32"/>
    <mergeCell ref="AK46:AL46"/>
    <mergeCell ref="AK50:AL50"/>
    <mergeCell ref="AI54:AI55"/>
    <mergeCell ref="AU54:AU55"/>
    <mergeCell ref="BI46:BJ46"/>
    <mergeCell ref="BI50:BJ50"/>
    <mergeCell ref="BG54:BG55"/>
    <mergeCell ref="BS54:BS55"/>
    <mergeCell ref="CE54:CE55"/>
    <mergeCell ref="CQ54:CQ55"/>
    <mergeCell ref="DC54:DC55"/>
    <mergeCell ref="A46:B46"/>
    <mergeCell ref="Y46:Z46"/>
    <mergeCell ref="AW46:AX46"/>
    <mergeCell ref="BU46:BV46"/>
    <mergeCell ref="A50:B50"/>
    <mergeCell ref="Y50:Z50"/>
    <mergeCell ref="AW50:AX50"/>
    <mergeCell ref="M46:N46"/>
    <mergeCell ref="M50:N50"/>
    <mergeCell ref="K54:K55"/>
    <mergeCell ref="W54:W55"/>
    <mergeCell ref="W56:W57"/>
    <mergeCell ref="AI56:AI57"/>
    <mergeCell ref="BS56:BS57"/>
    <mergeCell ref="H60:H61"/>
    <mergeCell ref="M60:M61"/>
    <mergeCell ref="N60:N61"/>
    <mergeCell ref="O60:O61"/>
    <mergeCell ref="P60:P61"/>
    <mergeCell ref="Q60:Q61"/>
    <mergeCell ref="R60:S60"/>
    <mergeCell ref="T60:T61"/>
    <mergeCell ref="Y60:Y61"/>
    <mergeCell ref="Z60:Z61"/>
    <mergeCell ref="AA60:AA61"/>
    <mergeCell ref="AB60:AB61"/>
    <mergeCell ref="AC60:AC61"/>
    <mergeCell ref="AD60:AE60"/>
    <mergeCell ref="AF60:AF61"/>
    <mergeCell ref="AK60:AK61"/>
    <mergeCell ref="AL60:AL61"/>
    <mergeCell ref="AM60:AM61"/>
    <mergeCell ref="AN60:AN61"/>
    <mergeCell ref="AO60:AO61"/>
    <mergeCell ref="AP60:AQ60"/>
    <mergeCell ref="AR60:AR61"/>
    <mergeCell ref="AW60:AW61"/>
    <mergeCell ref="AX60:AX61"/>
    <mergeCell ref="AY60:AY61"/>
    <mergeCell ref="AZ60:AZ61"/>
    <mergeCell ref="BA60:BA61"/>
    <mergeCell ref="BB60:BC60"/>
    <mergeCell ref="BV60:BV61"/>
    <mergeCell ref="K56:K57"/>
    <mergeCell ref="A60:A61"/>
    <mergeCell ref="B60:B61"/>
    <mergeCell ref="C60:C61"/>
    <mergeCell ref="D60:D61"/>
    <mergeCell ref="E60:E61"/>
    <mergeCell ref="F60:G60"/>
    <mergeCell ref="FH35:FH36"/>
    <mergeCell ref="FM35:FM36"/>
    <mergeCell ref="FN35:FN36"/>
    <mergeCell ref="FO35:FO36"/>
    <mergeCell ref="FP35:FP36"/>
    <mergeCell ref="FQ35:FQ36"/>
    <mergeCell ref="FR35:FS35"/>
    <mergeCell ref="FT35:FT36"/>
    <mergeCell ref="FY35:FY36"/>
    <mergeCell ref="FZ35:FZ36"/>
    <mergeCell ref="GA35:GA36"/>
    <mergeCell ref="GB35:GB36"/>
    <mergeCell ref="GC35:GC36"/>
    <mergeCell ref="GD35:GE35"/>
    <mergeCell ref="GR35:GR36"/>
    <mergeCell ref="GW35:GW36"/>
    <mergeCell ref="GX35:GX36"/>
    <mergeCell ref="GY35:GY36"/>
    <mergeCell ref="GZ35:GZ36"/>
    <mergeCell ref="HA35:HA36"/>
    <mergeCell ref="HB35:HC35"/>
    <mergeCell ref="HD35:HD36"/>
    <mergeCell ref="GF35:GF36"/>
    <mergeCell ref="GK35:GK36"/>
    <mergeCell ref="GL35:GL36"/>
    <mergeCell ref="GM35:GM36"/>
    <mergeCell ref="GN35:GN36"/>
    <mergeCell ref="GO35:GO36"/>
    <mergeCell ref="GP35:GQ35"/>
    <mergeCell ref="CB35:CB36"/>
    <mergeCell ref="CG35:CG36"/>
    <mergeCell ref="CH35:CH36"/>
    <mergeCell ref="CI35:CI36"/>
    <mergeCell ref="CJ35:CJ36"/>
    <mergeCell ref="CK35:CK36"/>
    <mergeCell ref="CL35:CM35"/>
    <mergeCell ref="CN35:CN36"/>
    <mergeCell ref="CS35:CS36"/>
    <mergeCell ref="CT35:CT36"/>
    <mergeCell ref="CU35:CU36"/>
    <mergeCell ref="CV35:CV36"/>
    <mergeCell ref="CW35:CW36"/>
    <mergeCell ref="CX35:CY35"/>
    <mergeCell ref="CZ35:CZ36"/>
    <mergeCell ref="DE35:DE36"/>
    <mergeCell ref="DF35:DF36"/>
    <mergeCell ref="DG35:DG36"/>
    <mergeCell ref="DH35:DH36"/>
    <mergeCell ref="DI35:DI36"/>
    <mergeCell ref="DJ35:DK35"/>
    <mergeCell ref="DL35:DL36"/>
    <mergeCell ref="DQ35:DQ36"/>
    <mergeCell ref="DR35:DR36"/>
    <mergeCell ref="DS35:DS36"/>
    <mergeCell ref="DT35:DT36"/>
    <mergeCell ref="DU35:DU36"/>
    <mergeCell ref="DV35:DW35"/>
    <mergeCell ref="DX35:DX36"/>
    <mergeCell ref="EC35:EC36"/>
    <mergeCell ref="ED35:ED36"/>
    <mergeCell ref="EE35:EE36"/>
    <mergeCell ref="EF35:EF36"/>
    <mergeCell ref="EG35:EG36"/>
    <mergeCell ref="EH35:EI35"/>
    <mergeCell ref="EJ35:EJ36"/>
    <mergeCell ref="EO35:EO36"/>
    <mergeCell ref="EP35:EP36"/>
    <mergeCell ref="EQ35:EQ36"/>
    <mergeCell ref="ER35:ER36"/>
    <mergeCell ref="ES35:ES36"/>
    <mergeCell ref="ET35:EU35"/>
    <mergeCell ref="EV35:EV36"/>
    <mergeCell ref="FA35:FA36"/>
    <mergeCell ref="FB35:FB36"/>
    <mergeCell ref="FC35:FC36"/>
    <mergeCell ref="FD35:FD36"/>
    <mergeCell ref="FE35:FE36"/>
    <mergeCell ref="FF35:FG35"/>
    <mergeCell ref="H35:H36"/>
    <mergeCell ref="M35:M36"/>
    <mergeCell ref="N35:N36"/>
    <mergeCell ref="O35:O36"/>
    <mergeCell ref="P35:P36"/>
    <mergeCell ref="Q35:Q36"/>
    <mergeCell ref="R35:S35"/>
    <mergeCell ref="T35:T36"/>
    <mergeCell ref="Y35:Y36"/>
    <mergeCell ref="Z35:Z36"/>
    <mergeCell ref="AA35:AA36"/>
    <mergeCell ref="AB35:AB36"/>
    <mergeCell ref="AC35:AC36"/>
    <mergeCell ref="AD35:AE35"/>
    <mergeCell ref="AF35:AF36"/>
    <mergeCell ref="AK35:AK36"/>
    <mergeCell ref="AL35:AL36"/>
    <mergeCell ref="AM35:AM36"/>
    <mergeCell ref="AN35:AN36"/>
    <mergeCell ref="AO35:AO36"/>
    <mergeCell ref="AP35:AQ35"/>
    <mergeCell ref="AR35:AR36"/>
    <mergeCell ref="AW35:AW36"/>
    <mergeCell ref="AX35:AX36"/>
    <mergeCell ref="AY35:AY36"/>
    <mergeCell ref="AZ35:AZ36"/>
    <mergeCell ref="BA35:BA36"/>
    <mergeCell ref="BB35:BC35"/>
    <mergeCell ref="BD35:BD36"/>
    <mergeCell ref="BI35:BI36"/>
    <mergeCell ref="BJ35:BJ36"/>
    <mergeCell ref="BK35:BK36"/>
    <mergeCell ref="BL35:BL36"/>
    <mergeCell ref="BM35:BM36"/>
    <mergeCell ref="BN35:BO35"/>
    <mergeCell ref="BP35:BP36"/>
    <mergeCell ref="BU35:BU36"/>
    <mergeCell ref="BV35:BV36"/>
    <mergeCell ref="BW35:BW36"/>
    <mergeCell ref="BX35:BX36"/>
    <mergeCell ref="BY35:BY36"/>
    <mergeCell ref="BZ35:CA35"/>
    <mergeCell ref="K31:K32"/>
    <mergeCell ref="A35:A36"/>
    <mergeCell ref="B35:B36"/>
    <mergeCell ref="C35:C36"/>
    <mergeCell ref="D35:D36"/>
    <mergeCell ref="E35:E36"/>
    <mergeCell ref="F35:G35"/>
    <mergeCell ref="FM46:FN46"/>
    <mergeCell ref="FY46:FZ46"/>
    <mergeCell ref="GK46:GL46"/>
    <mergeCell ref="GW46:GX46"/>
    <mergeCell ref="CG46:CH46"/>
    <mergeCell ref="CS46:CT46"/>
    <mergeCell ref="DE46:DF46"/>
    <mergeCell ref="DQ46:DR46"/>
    <mergeCell ref="EC46:ED46"/>
    <mergeCell ref="EO46:EP46"/>
    <mergeCell ref="FA46:FB46"/>
    <mergeCell ref="FA50:FB50"/>
    <mergeCell ref="FM50:FN50"/>
    <mergeCell ref="FY50:FZ50"/>
    <mergeCell ref="GK50:GL50"/>
    <mergeCell ref="GW50:GX50"/>
    <mergeCell ref="BU50:BV50"/>
    <mergeCell ref="CG50:CH50"/>
    <mergeCell ref="CS50:CT50"/>
    <mergeCell ref="DE50:DF50"/>
    <mergeCell ref="DQ50:DR50"/>
    <mergeCell ref="EC50:ED50"/>
    <mergeCell ref="EO50:EP50"/>
    <mergeCell ref="GU54:GU55"/>
    <mergeCell ref="HG54:HG55"/>
    <mergeCell ref="DO54:DO55"/>
    <mergeCell ref="EA54:EA55"/>
    <mergeCell ref="EM54:EM55"/>
    <mergeCell ref="EY54:EY55"/>
    <mergeCell ref="FK54:FK55"/>
    <mergeCell ref="FW54:FW55"/>
    <mergeCell ref="GI54:GI55"/>
    <mergeCell ref="EM56:EM57"/>
    <mergeCell ref="EY56:EY57"/>
    <mergeCell ref="FK56:FK57"/>
    <mergeCell ref="FW56:FW57"/>
    <mergeCell ref="GI56:GI57"/>
    <mergeCell ref="GU56:GU57"/>
    <mergeCell ref="HG56:HG57"/>
    <mergeCell ref="AU56:AU57"/>
    <mergeCell ref="BG56:BG57"/>
    <mergeCell ref="CE56:CE57"/>
    <mergeCell ref="CQ56:CQ57"/>
    <mergeCell ref="DC56:DC57"/>
    <mergeCell ref="DO56:DO57"/>
    <mergeCell ref="EA56:EA57"/>
    <mergeCell ref="EO60:EO61"/>
    <mergeCell ref="EP60:EP61"/>
    <mergeCell ref="EQ60:EQ61"/>
    <mergeCell ref="ER60:ER61"/>
    <mergeCell ref="ES60:ES61"/>
    <mergeCell ref="ET60:EU60"/>
    <mergeCell ref="EV60:EV61"/>
    <mergeCell ref="FA60:FA61"/>
    <mergeCell ref="FB60:FB61"/>
    <mergeCell ref="FC60:FC61"/>
    <mergeCell ref="FD60:FD61"/>
    <mergeCell ref="FE60:FE61"/>
    <mergeCell ref="FF60:FG60"/>
    <mergeCell ref="FH60:FH61"/>
    <mergeCell ref="FM60:FM61"/>
    <mergeCell ref="FN60:FN61"/>
    <mergeCell ref="FO60:FO61"/>
    <mergeCell ref="FP60:FP61"/>
    <mergeCell ref="FQ60:FQ61"/>
    <mergeCell ref="FR60:FS60"/>
    <mergeCell ref="FT60:FT61"/>
    <mergeCell ref="FY60:FY61"/>
    <mergeCell ref="FZ60:FZ61"/>
    <mergeCell ref="GA60:GA61"/>
    <mergeCell ref="GB60:GB61"/>
    <mergeCell ref="GC60:GC61"/>
    <mergeCell ref="GD60:GE60"/>
    <mergeCell ref="GF60:GF61"/>
    <mergeCell ref="GW60:GW61"/>
    <mergeCell ref="GX60:GX61"/>
    <mergeCell ref="GY60:GY61"/>
    <mergeCell ref="GZ60:GZ61"/>
    <mergeCell ref="HA60:HA61"/>
    <mergeCell ref="HB60:HC60"/>
    <mergeCell ref="HD60:HD61"/>
    <mergeCell ref="GK60:GK61"/>
    <mergeCell ref="GL60:GL61"/>
    <mergeCell ref="GM60:GM61"/>
    <mergeCell ref="GN60:GN61"/>
    <mergeCell ref="GO60:GO61"/>
    <mergeCell ref="GP60:GQ60"/>
    <mergeCell ref="GR60:GR61"/>
    <mergeCell ref="BD60:BD61"/>
    <mergeCell ref="BI60:BI61"/>
    <mergeCell ref="BJ60:BJ61"/>
    <mergeCell ref="BK60:BK61"/>
    <mergeCell ref="BL60:BL61"/>
    <mergeCell ref="BM60:BM61"/>
    <mergeCell ref="BN60:BO60"/>
    <mergeCell ref="BP60:BP61"/>
    <mergeCell ref="BU60:BU61"/>
    <mergeCell ref="BW60:BW61"/>
    <mergeCell ref="BX60:BX61"/>
    <mergeCell ref="BY60:BY61"/>
    <mergeCell ref="BZ60:CA60"/>
    <mergeCell ref="CB60:CB61"/>
    <mergeCell ref="CG60:CG61"/>
    <mergeCell ref="CH60:CH61"/>
    <mergeCell ref="CI60:CI61"/>
    <mergeCell ref="CJ60:CJ61"/>
    <mergeCell ref="CK60:CK61"/>
    <mergeCell ref="CL60:CM60"/>
    <mergeCell ref="CN60:CN61"/>
    <mergeCell ref="CS60:CS61"/>
    <mergeCell ref="CT60:CT61"/>
    <mergeCell ref="CU60:CU61"/>
    <mergeCell ref="CV60:CV61"/>
    <mergeCell ref="CW60:CW61"/>
    <mergeCell ref="CX60:CY60"/>
    <mergeCell ref="CZ60:CZ61"/>
    <mergeCell ref="DE60:DE61"/>
    <mergeCell ref="DF60:DF61"/>
    <mergeCell ref="DG60:DG61"/>
    <mergeCell ref="DH60:DH61"/>
    <mergeCell ref="DI60:DI61"/>
    <mergeCell ref="DJ60:DK60"/>
    <mergeCell ref="DL60:DL61"/>
    <mergeCell ref="DQ60:DQ61"/>
    <mergeCell ref="DR60:DR61"/>
    <mergeCell ref="DS60:DS61"/>
    <mergeCell ref="DT60:DT61"/>
    <mergeCell ref="DU60:DU61"/>
    <mergeCell ref="DV60:DW60"/>
    <mergeCell ref="DX60:DX61"/>
    <mergeCell ref="EC60:EC61"/>
    <mergeCell ref="ED60:ED61"/>
    <mergeCell ref="EE60:EE61"/>
    <mergeCell ref="EF60:EF61"/>
    <mergeCell ref="EG60:EG61"/>
    <mergeCell ref="EH60:EI60"/>
    <mergeCell ref="EJ60:EJ61"/>
    <mergeCell ref="T84:T85"/>
    <mergeCell ref="Y84:Y85"/>
    <mergeCell ref="Z84:Z85"/>
    <mergeCell ref="AA84:AA85"/>
    <mergeCell ref="AB84:AB85"/>
    <mergeCell ref="AC84:AC85"/>
    <mergeCell ref="AD84:AE84"/>
    <mergeCell ref="AF84:AF85"/>
    <mergeCell ref="AK84:AK85"/>
    <mergeCell ref="EV84:EV85"/>
    <mergeCell ref="FA84:FA85"/>
    <mergeCell ref="FB84:FB85"/>
    <mergeCell ref="FC84:FC85"/>
    <mergeCell ref="FD84:FD85"/>
    <mergeCell ref="FE84:FE85"/>
    <mergeCell ref="FF84:FG84"/>
    <mergeCell ref="FH84:FH85"/>
    <mergeCell ref="FM84:FM85"/>
    <mergeCell ref="FN84:FN85"/>
    <mergeCell ref="FO84:FO85"/>
    <mergeCell ref="FP84:FP85"/>
    <mergeCell ref="FQ84:FQ85"/>
    <mergeCell ref="FR84:FS84"/>
    <mergeCell ref="FT84:FT85"/>
    <mergeCell ref="FY84:FY85"/>
    <mergeCell ref="FZ84:FZ85"/>
    <mergeCell ref="GA84:GA85"/>
    <mergeCell ref="GB84:GB85"/>
    <mergeCell ref="GC84:GC85"/>
    <mergeCell ref="GD84:GE84"/>
    <mergeCell ref="GF84:GF85"/>
    <mergeCell ref="GK84:GK85"/>
    <mergeCell ref="GL84:GL85"/>
    <mergeCell ref="GM84:GM85"/>
    <mergeCell ref="GN84:GN85"/>
    <mergeCell ref="HA84:HA85"/>
    <mergeCell ref="HB84:HC84"/>
    <mergeCell ref="HD84:HD85"/>
    <mergeCell ref="GO84:GO85"/>
    <mergeCell ref="GP84:GQ84"/>
    <mergeCell ref="GR84:GR85"/>
    <mergeCell ref="GW84:GW85"/>
    <mergeCell ref="GX84:GX85"/>
    <mergeCell ref="GY84:GY85"/>
    <mergeCell ref="GZ84:GZ85"/>
    <mergeCell ref="FM71:FN71"/>
    <mergeCell ref="FY71:FZ71"/>
    <mergeCell ref="GK71:GL71"/>
    <mergeCell ref="GW71:GX71"/>
    <mergeCell ref="CG71:CH71"/>
    <mergeCell ref="CS71:CT71"/>
    <mergeCell ref="DE71:DF71"/>
    <mergeCell ref="DQ71:DR71"/>
    <mergeCell ref="EC71:ED71"/>
    <mergeCell ref="EO71:EP71"/>
    <mergeCell ref="FA71:FB71"/>
    <mergeCell ref="M71:N71"/>
    <mergeCell ref="M75:N75"/>
    <mergeCell ref="K78:K79"/>
    <mergeCell ref="W78:W79"/>
    <mergeCell ref="A71:B71"/>
    <mergeCell ref="Y71:Z71"/>
    <mergeCell ref="AW71:AX71"/>
    <mergeCell ref="BU71:BV71"/>
    <mergeCell ref="A75:B75"/>
    <mergeCell ref="Y75:Z75"/>
    <mergeCell ref="AW75:AX75"/>
    <mergeCell ref="FA75:FB75"/>
    <mergeCell ref="FM75:FN75"/>
    <mergeCell ref="FY75:FZ75"/>
    <mergeCell ref="GK75:GL75"/>
    <mergeCell ref="GW75:GX75"/>
    <mergeCell ref="BU75:BV75"/>
    <mergeCell ref="CG75:CH75"/>
    <mergeCell ref="CS75:CT75"/>
    <mergeCell ref="DE75:DF75"/>
    <mergeCell ref="DQ75:DR75"/>
    <mergeCell ref="EC75:ED75"/>
    <mergeCell ref="EO75:EP75"/>
    <mergeCell ref="GU78:GU79"/>
    <mergeCell ref="HG78:HG79"/>
    <mergeCell ref="DO78:DO79"/>
    <mergeCell ref="EA78:EA79"/>
    <mergeCell ref="EM78:EM79"/>
    <mergeCell ref="EY78:EY79"/>
    <mergeCell ref="FK78:FK79"/>
    <mergeCell ref="FW78:FW79"/>
    <mergeCell ref="GI78:GI79"/>
    <mergeCell ref="BI71:BJ71"/>
    <mergeCell ref="BI75:BJ75"/>
    <mergeCell ref="BG78:BG79"/>
    <mergeCell ref="CE78:CE79"/>
    <mergeCell ref="DC78:DC79"/>
    <mergeCell ref="BG80:BG81"/>
    <mergeCell ref="CE80:CE81"/>
    <mergeCell ref="DC80:DC81"/>
    <mergeCell ref="FW80:FW81"/>
    <mergeCell ref="GI80:GI81"/>
    <mergeCell ref="GU80:GU81"/>
    <mergeCell ref="HG80:HG81"/>
    <mergeCell ref="CQ78:CQ79"/>
    <mergeCell ref="CQ80:CQ81"/>
    <mergeCell ref="DO80:DO81"/>
    <mergeCell ref="EA80:EA81"/>
    <mergeCell ref="EM80:EM81"/>
    <mergeCell ref="EY80:EY81"/>
    <mergeCell ref="FK80:FK81"/>
    <mergeCell ref="AK71:AL71"/>
    <mergeCell ref="AK75:AL75"/>
    <mergeCell ref="AI78:AI79"/>
    <mergeCell ref="AU78:AU79"/>
    <mergeCell ref="W80:W81"/>
    <mergeCell ref="AI80:AI81"/>
    <mergeCell ref="AU80:AU81"/>
    <mergeCell ref="K80:K81"/>
    <mergeCell ref="A84:A85"/>
    <mergeCell ref="B84:B85"/>
    <mergeCell ref="C84:C85"/>
    <mergeCell ref="D84:D85"/>
    <mergeCell ref="E84:E85"/>
    <mergeCell ref="F84:G84"/>
    <mergeCell ref="BS78:BS79"/>
    <mergeCell ref="BS80:BS81"/>
    <mergeCell ref="BN84:BO84"/>
    <mergeCell ref="BP84:BP85"/>
    <mergeCell ref="BU84:BU85"/>
    <mergeCell ref="BV84:BV85"/>
    <mergeCell ref="BW84:BW85"/>
    <mergeCell ref="H84:H85"/>
    <mergeCell ref="M84:M85"/>
    <mergeCell ref="N84:N85"/>
    <mergeCell ref="O84:O85"/>
    <mergeCell ref="P84:P85"/>
    <mergeCell ref="Q84:Q85"/>
    <mergeCell ref="R84:S84"/>
    <mergeCell ref="AD109:AE109"/>
    <mergeCell ref="AF109:AF110"/>
    <mergeCell ref="AK109:AK110"/>
    <mergeCell ref="AL109:AL110"/>
    <mergeCell ref="AM109:AM110"/>
    <mergeCell ref="AN109:AN110"/>
    <mergeCell ref="AO109:AO110"/>
    <mergeCell ref="AP109:AQ109"/>
    <mergeCell ref="AR109:AR110"/>
    <mergeCell ref="AW109:AW110"/>
    <mergeCell ref="AX109:AX110"/>
    <mergeCell ref="AY109:AY110"/>
    <mergeCell ref="AZ109:AZ110"/>
    <mergeCell ref="BA109:BA110"/>
    <mergeCell ref="BB109:BC109"/>
    <mergeCell ref="BD109:BD110"/>
    <mergeCell ref="BI109:BI110"/>
    <mergeCell ref="BJ109:BJ110"/>
    <mergeCell ref="BK109:BK110"/>
    <mergeCell ref="BL109:BL110"/>
    <mergeCell ref="BM109:BM110"/>
    <mergeCell ref="BN109:BO109"/>
    <mergeCell ref="BP109:BP110"/>
    <mergeCell ref="BU109:BU110"/>
    <mergeCell ref="BV109:BV110"/>
    <mergeCell ref="BW109:BW110"/>
    <mergeCell ref="BX109:BX110"/>
    <mergeCell ref="BY109:BY110"/>
    <mergeCell ref="BZ109:CA109"/>
    <mergeCell ref="CB109:CB110"/>
    <mergeCell ref="CG109:CG110"/>
    <mergeCell ref="CH109:CH110"/>
    <mergeCell ref="CI109:CI110"/>
    <mergeCell ref="CJ109:CJ110"/>
    <mergeCell ref="CK109:CK110"/>
    <mergeCell ref="CL109:CM109"/>
    <mergeCell ref="CN109:CN110"/>
    <mergeCell ref="CS109:CS110"/>
    <mergeCell ref="CT109:CT110"/>
    <mergeCell ref="CU109:CU110"/>
    <mergeCell ref="CV109:CV110"/>
    <mergeCell ref="CW109:CW110"/>
    <mergeCell ref="CX109:CY109"/>
    <mergeCell ref="CZ109:CZ110"/>
    <mergeCell ref="DE109:DE110"/>
    <mergeCell ref="DF109:DF110"/>
    <mergeCell ref="DG109:DG110"/>
    <mergeCell ref="DH109:DH110"/>
    <mergeCell ref="DI109:DI110"/>
    <mergeCell ref="HB109:HC109"/>
    <mergeCell ref="HD109:HD110"/>
    <mergeCell ref="GP109:GQ109"/>
    <mergeCell ref="GR109:GR110"/>
    <mergeCell ref="GW109:GW110"/>
    <mergeCell ref="GX109:GX110"/>
    <mergeCell ref="GY109:GY110"/>
    <mergeCell ref="GZ109:GZ110"/>
    <mergeCell ref="HA109:HA110"/>
    <mergeCell ref="DJ109:DK109"/>
    <mergeCell ref="DL109:DL110"/>
    <mergeCell ref="DQ109:DQ110"/>
    <mergeCell ref="DR109:DR110"/>
    <mergeCell ref="DS109:DS110"/>
    <mergeCell ref="DT109:DT110"/>
    <mergeCell ref="DU109:DU110"/>
    <mergeCell ref="DV109:DW109"/>
    <mergeCell ref="DX109:DX110"/>
    <mergeCell ref="EC109:EC110"/>
    <mergeCell ref="ED109:ED110"/>
    <mergeCell ref="EE109:EE110"/>
    <mergeCell ref="EF109:EF110"/>
    <mergeCell ref="EG109:EG110"/>
    <mergeCell ref="EH109:EI109"/>
    <mergeCell ref="EJ109:EJ110"/>
    <mergeCell ref="EO109:EO110"/>
    <mergeCell ref="EP109:EP110"/>
    <mergeCell ref="EQ109:EQ110"/>
    <mergeCell ref="ER109:ER110"/>
    <mergeCell ref="ES109:ES110"/>
    <mergeCell ref="ET109:EU109"/>
    <mergeCell ref="EV109:EV110"/>
    <mergeCell ref="FA109:FA110"/>
    <mergeCell ref="FB109:FB110"/>
    <mergeCell ref="FC109:FC110"/>
    <mergeCell ref="FD109:FD110"/>
    <mergeCell ref="FE109:FE110"/>
    <mergeCell ref="FF109:FG109"/>
    <mergeCell ref="FH109:FH110"/>
    <mergeCell ref="FM109:FM110"/>
    <mergeCell ref="FN109:FN110"/>
    <mergeCell ref="FO109:FO110"/>
    <mergeCell ref="FP109:FP110"/>
    <mergeCell ref="FQ109:FQ110"/>
    <mergeCell ref="FR109:FS109"/>
    <mergeCell ref="FT109:FT110"/>
    <mergeCell ref="FY109:FY110"/>
    <mergeCell ref="FZ109:FZ110"/>
    <mergeCell ref="GA109:GA110"/>
    <mergeCell ref="GB109:GB110"/>
    <mergeCell ref="GC109:GC110"/>
    <mergeCell ref="GD109:GE109"/>
    <mergeCell ref="GF109:GF110"/>
    <mergeCell ref="GK109:GK110"/>
    <mergeCell ref="GL109:GL110"/>
    <mergeCell ref="GM109:GM110"/>
    <mergeCell ref="GN109:GN110"/>
    <mergeCell ref="GO109:GO110"/>
    <mergeCell ref="Y120:Z120"/>
    <mergeCell ref="AK120:AL120"/>
    <mergeCell ref="AW120:AX120"/>
    <mergeCell ref="BI120:BJ120"/>
    <mergeCell ref="BU120:BV120"/>
    <mergeCell ref="CG120:CH120"/>
    <mergeCell ref="CS120:CT120"/>
    <mergeCell ref="GK120:GL120"/>
    <mergeCell ref="GW120:GX120"/>
    <mergeCell ref="DE120:DF120"/>
    <mergeCell ref="DQ120:DR120"/>
    <mergeCell ref="EC120:ED120"/>
    <mergeCell ref="EO120:EP120"/>
    <mergeCell ref="FA120:FB120"/>
    <mergeCell ref="FM120:FN120"/>
    <mergeCell ref="FY120:FZ120"/>
    <mergeCell ref="Y124:Z124"/>
    <mergeCell ref="AK124:AL124"/>
    <mergeCell ref="AW124:AX124"/>
    <mergeCell ref="BI124:BJ124"/>
    <mergeCell ref="BU124:BV124"/>
    <mergeCell ref="CG124:CH124"/>
    <mergeCell ref="CS124:CT124"/>
    <mergeCell ref="GK124:GL124"/>
    <mergeCell ref="GW124:GX124"/>
    <mergeCell ref="DE124:DF124"/>
    <mergeCell ref="DQ124:DR124"/>
    <mergeCell ref="EC124:ED124"/>
    <mergeCell ref="EO124:EP124"/>
    <mergeCell ref="FA124:FB124"/>
    <mergeCell ref="FM124:FN124"/>
    <mergeCell ref="FY124:FZ124"/>
    <mergeCell ref="B109:B110"/>
    <mergeCell ref="C109:C110"/>
    <mergeCell ref="A120:B120"/>
    <mergeCell ref="A124:B124"/>
    <mergeCell ref="D109:D110"/>
    <mergeCell ref="E109:E110"/>
    <mergeCell ref="F109:G109"/>
    <mergeCell ref="H109:H110"/>
    <mergeCell ref="M109:M110"/>
    <mergeCell ref="N109:N110"/>
    <mergeCell ref="M120:N120"/>
    <mergeCell ref="M124:N124"/>
    <mergeCell ref="O109:O110"/>
    <mergeCell ref="P109:P110"/>
    <mergeCell ref="M95:N95"/>
    <mergeCell ref="M99:N99"/>
    <mergeCell ref="K103:K104"/>
    <mergeCell ref="W103:W104"/>
    <mergeCell ref="K105:K106"/>
    <mergeCell ref="W105:W106"/>
    <mergeCell ref="A109:A110"/>
    <mergeCell ref="T109:T110"/>
    <mergeCell ref="Q109:Q110"/>
    <mergeCell ref="R109:S109"/>
    <mergeCell ref="Y109:Y110"/>
    <mergeCell ref="Z109:Z110"/>
    <mergeCell ref="AA109:AA110"/>
    <mergeCell ref="AB109:AB110"/>
    <mergeCell ref="AC109:AC110"/>
    <mergeCell ref="BL84:BL85"/>
    <mergeCell ref="BM84:BM85"/>
    <mergeCell ref="AZ84:AZ85"/>
    <mergeCell ref="BA84:BA85"/>
    <mergeCell ref="BB84:BC84"/>
    <mergeCell ref="BD84:BD85"/>
    <mergeCell ref="BI84:BI85"/>
    <mergeCell ref="BJ84:BJ85"/>
    <mergeCell ref="BK84:BK85"/>
    <mergeCell ref="BX84:BX85"/>
    <mergeCell ref="BY84:BY85"/>
    <mergeCell ref="BZ84:CA84"/>
    <mergeCell ref="CB84:CB85"/>
    <mergeCell ref="CG84:CG85"/>
    <mergeCell ref="CH84:CH85"/>
    <mergeCell ref="CI84:CI85"/>
    <mergeCell ref="CJ84:CJ85"/>
    <mergeCell ref="CK84:CK85"/>
    <mergeCell ref="CG95:CH95"/>
    <mergeCell ref="CS95:CT95"/>
    <mergeCell ref="CG99:CH99"/>
    <mergeCell ref="CS99:CT99"/>
    <mergeCell ref="CE103:CE104"/>
    <mergeCell ref="FW103:FW104"/>
    <mergeCell ref="GI103:GI104"/>
    <mergeCell ref="GU103:GU104"/>
    <mergeCell ref="HG103:HG104"/>
    <mergeCell ref="CQ103:CQ104"/>
    <mergeCell ref="DC103:DC104"/>
    <mergeCell ref="DO103:DO104"/>
    <mergeCell ref="EA103:EA104"/>
    <mergeCell ref="EM103:EM104"/>
    <mergeCell ref="EY103:EY104"/>
    <mergeCell ref="FK103:FK104"/>
    <mergeCell ref="CX84:CY84"/>
    <mergeCell ref="CZ84:CZ85"/>
    <mergeCell ref="CL84:CM84"/>
    <mergeCell ref="CN84:CN85"/>
    <mergeCell ref="CS84:CS85"/>
    <mergeCell ref="CT84:CT85"/>
    <mergeCell ref="CU84:CU85"/>
    <mergeCell ref="CV84:CV85"/>
    <mergeCell ref="CW84:CW85"/>
    <mergeCell ref="DQ84:DQ85"/>
    <mergeCell ref="DR84:DR85"/>
    <mergeCell ref="DQ95:DR95"/>
    <mergeCell ref="DQ99:DR99"/>
    <mergeCell ref="DE84:DE85"/>
    <mergeCell ref="DF84:DF85"/>
    <mergeCell ref="DG84:DG85"/>
    <mergeCell ref="DH84:DH85"/>
    <mergeCell ref="DI84:DI85"/>
    <mergeCell ref="DJ84:DK84"/>
    <mergeCell ref="DL84:DL85"/>
    <mergeCell ref="GK99:GL99"/>
    <mergeCell ref="GW99:GX99"/>
    <mergeCell ref="DE95:DF95"/>
    <mergeCell ref="DE99:DF99"/>
    <mergeCell ref="EC99:ED99"/>
    <mergeCell ref="EO99:EP99"/>
    <mergeCell ref="FA99:FB99"/>
    <mergeCell ref="FM99:FN99"/>
    <mergeCell ref="FY99:FZ99"/>
    <mergeCell ref="DS84:DS85"/>
    <mergeCell ref="DT84:DT85"/>
    <mergeCell ref="DU84:DU85"/>
    <mergeCell ref="DV84:DW84"/>
    <mergeCell ref="DX84:DX85"/>
    <mergeCell ref="EC84:EC85"/>
    <mergeCell ref="ED84:ED85"/>
    <mergeCell ref="GK95:GL95"/>
    <mergeCell ref="GW95:GX95"/>
    <mergeCell ref="EE84:EE85"/>
    <mergeCell ref="EF84:EF85"/>
    <mergeCell ref="EC95:ED95"/>
    <mergeCell ref="EO95:EP95"/>
    <mergeCell ref="FA95:FB95"/>
    <mergeCell ref="FM95:FN95"/>
    <mergeCell ref="FY95:FZ95"/>
    <mergeCell ref="ES84:ES85"/>
    <mergeCell ref="ET84:EU84"/>
    <mergeCell ref="EG84:EG85"/>
    <mergeCell ref="EH84:EI84"/>
    <mergeCell ref="EJ84:EJ85"/>
    <mergeCell ref="EO84:EO85"/>
    <mergeCell ref="EP84:EP85"/>
    <mergeCell ref="EQ84:EQ85"/>
    <mergeCell ref="ER84:ER85"/>
    <mergeCell ref="AX84:AX85"/>
    <mergeCell ref="AY84:AY85"/>
    <mergeCell ref="AL84:AL85"/>
    <mergeCell ref="AM84:AM85"/>
    <mergeCell ref="AN84:AN85"/>
    <mergeCell ref="AO84:AO85"/>
    <mergeCell ref="AP84:AQ84"/>
    <mergeCell ref="AR84:AR85"/>
    <mergeCell ref="AW84:AW85"/>
    <mergeCell ref="AK95:AL95"/>
    <mergeCell ref="AK99:AL99"/>
    <mergeCell ref="AI103:AI104"/>
    <mergeCell ref="AU103:AU104"/>
    <mergeCell ref="AI105:AI106"/>
    <mergeCell ref="AU105:AU106"/>
    <mergeCell ref="A95:B95"/>
    <mergeCell ref="Y95:Z95"/>
    <mergeCell ref="AW95:AX95"/>
    <mergeCell ref="BU95:BV95"/>
    <mergeCell ref="A99:B99"/>
    <mergeCell ref="Y99:Z99"/>
    <mergeCell ref="AW99:AX99"/>
    <mergeCell ref="BU99:BV99"/>
    <mergeCell ref="BI95:BJ95"/>
    <mergeCell ref="BI99:BJ99"/>
    <mergeCell ref="BG103:BG104"/>
    <mergeCell ref="BS103:BS104"/>
    <mergeCell ref="BG105:BG106"/>
    <mergeCell ref="BS105:BS106"/>
    <mergeCell ref="CE105:CE106"/>
    <mergeCell ref="FW105:FW106"/>
    <mergeCell ref="GI105:GI106"/>
    <mergeCell ref="GU105:GU106"/>
    <mergeCell ref="HG105:HG106"/>
    <mergeCell ref="CQ105:CQ106"/>
    <mergeCell ref="DC105:DC106"/>
    <mergeCell ref="DO105:DO106"/>
    <mergeCell ref="EA105:EA106"/>
    <mergeCell ref="EM105:EM106"/>
    <mergeCell ref="EY105:EY106"/>
    <mergeCell ref="FK105:FK106"/>
  </mergeCells>
  <conditionalFormatting sqref="C48">
    <cfRule type="cellIs" dxfId="0" priority="1" operator="equal">
      <formula>0</formula>
    </cfRule>
  </conditionalFormatting>
  <conditionalFormatting sqref="C73">
    <cfRule type="cellIs" dxfId="0" priority="2" operator="equal">
      <formula>0</formula>
    </cfRule>
  </conditionalFormatting>
  <conditionalFormatting sqref="C97">
    <cfRule type="cellIs" dxfId="0" priority="3" operator="equal">
      <formula>0</formula>
    </cfRule>
  </conditionalFormatting>
  <conditionalFormatting sqref="C122">
    <cfRule type="cellIs" dxfId="0" priority="4" operator="equal">
      <formula>0</formula>
    </cfRule>
  </conditionalFormatting>
  <conditionalFormatting sqref="O48">
    <cfRule type="cellIs" dxfId="0" priority="5" operator="equal">
      <formula>0</formula>
    </cfRule>
  </conditionalFormatting>
  <conditionalFormatting sqref="O73">
    <cfRule type="cellIs" dxfId="0" priority="6" operator="equal">
      <formula>0</formula>
    </cfRule>
  </conditionalFormatting>
  <conditionalFormatting sqref="O97">
    <cfRule type="cellIs" dxfId="0" priority="7" operator="equal">
      <formula>0</formula>
    </cfRule>
  </conditionalFormatting>
  <conditionalFormatting sqref="O122">
    <cfRule type="cellIs" dxfId="0" priority="8" operator="equal">
      <formula>0</formula>
    </cfRule>
  </conditionalFormatting>
  <conditionalFormatting sqref="AA48">
    <cfRule type="cellIs" dxfId="0" priority="9" operator="equal">
      <formula>0</formula>
    </cfRule>
  </conditionalFormatting>
  <conditionalFormatting sqref="AA73">
    <cfRule type="cellIs" dxfId="0" priority="10" operator="equal">
      <formula>0</formula>
    </cfRule>
  </conditionalFormatting>
  <conditionalFormatting sqref="AA97">
    <cfRule type="cellIs" dxfId="0" priority="11" operator="equal">
      <formula>0</formula>
    </cfRule>
  </conditionalFormatting>
  <conditionalFormatting sqref="AA122">
    <cfRule type="cellIs" dxfId="0" priority="12" operator="equal">
      <formula>0</formula>
    </cfRule>
  </conditionalFormatting>
  <conditionalFormatting sqref="AM48">
    <cfRule type="cellIs" dxfId="0" priority="13" operator="equal">
      <formula>0</formula>
    </cfRule>
  </conditionalFormatting>
  <conditionalFormatting sqref="AM73">
    <cfRule type="cellIs" dxfId="0" priority="14" operator="equal">
      <formula>0</formula>
    </cfRule>
  </conditionalFormatting>
  <conditionalFormatting sqref="AM97">
    <cfRule type="cellIs" dxfId="0" priority="15" operator="equal">
      <formula>0</formula>
    </cfRule>
  </conditionalFormatting>
  <conditionalFormatting sqref="AM122">
    <cfRule type="cellIs" dxfId="0" priority="16" operator="equal">
      <formula>0</formula>
    </cfRule>
  </conditionalFormatting>
  <conditionalFormatting sqref="AY48">
    <cfRule type="cellIs" dxfId="0" priority="17" operator="equal">
      <formula>0</formula>
    </cfRule>
  </conditionalFormatting>
  <conditionalFormatting sqref="AY73">
    <cfRule type="cellIs" dxfId="0" priority="18" operator="equal">
      <formula>0</formula>
    </cfRule>
  </conditionalFormatting>
  <conditionalFormatting sqref="AY97">
    <cfRule type="cellIs" dxfId="0" priority="19" operator="equal">
      <formula>0</formula>
    </cfRule>
  </conditionalFormatting>
  <conditionalFormatting sqref="AY122">
    <cfRule type="cellIs" dxfId="0" priority="20" operator="equal">
      <formula>0</formula>
    </cfRule>
  </conditionalFormatting>
  <conditionalFormatting sqref="BK48">
    <cfRule type="cellIs" dxfId="0" priority="21" operator="equal">
      <formula>0</formula>
    </cfRule>
  </conditionalFormatting>
  <conditionalFormatting sqref="BK73">
    <cfRule type="cellIs" dxfId="0" priority="22" operator="equal">
      <formula>0</formula>
    </cfRule>
  </conditionalFormatting>
  <conditionalFormatting sqref="BK97">
    <cfRule type="cellIs" dxfId="0" priority="23" operator="equal">
      <formula>0</formula>
    </cfRule>
  </conditionalFormatting>
  <conditionalFormatting sqref="BK122">
    <cfRule type="cellIs" dxfId="0" priority="24" operator="equal">
      <formula>0</formula>
    </cfRule>
  </conditionalFormatting>
  <conditionalFormatting sqref="BW48">
    <cfRule type="cellIs" dxfId="0" priority="25" operator="equal">
      <formula>0</formula>
    </cfRule>
  </conditionalFormatting>
  <conditionalFormatting sqref="BW73">
    <cfRule type="cellIs" dxfId="0" priority="26" operator="equal">
      <formula>0</formula>
    </cfRule>
  </conditionalFormatting>
  <conditionalFormatting sqref="BW97">
    <cfRule type="cellIs" dxfId="0" priority="27" operator="equal">
      <formula>0</formula>
    </cfRule>
  </conditionalFormatting>
  <conditionalFormatting sqref="BW122">
    <cfRule type="cellIs" dxfId="0" priority="28" operator="equal">
      <formula>0</formula>
    </cfRule>
  </conditionalFormatting>
  <conditionalFormatting sqref="CI48">
    <cfRule type="cellIs" dxfId="0" priority="29" operator="equal">
      <formula>0</formula>
    </cfRule>
  </conditionalFormatting>
  <conditionalFormatting sqref="CI73">
    <cfRule type="cellIs" dxfId="0" priority="30" operator="equal">
      <formula>0</formula>
    </cfRule>
  </conditionalFormatting>
  <conditionalFormatting sqref="CI97">
    <cfRule type="cellIs" dxfId="0" priority="31" operator="equal">
      <formula>0</formula>
    </cfRule>
  </conditionalFormatting>
  <conditionalFormatting sqref="CI122">
    <cfRule type="cellIs" dxfId="0" priority="32" operator="equal">
      <formula>0</formula>
    </cfRule>
  </conditionalFormatting>
  <conditionalFormatting sqref="CU48">
    <cfRule type="cellIs" dxfId="0" priority="33" operator="equal">
      <formula>0</formula>
    </cfRule>
  </conditionalFormatting>
  <conditionalFormatting sqref="CU73">
    <cfRule type="cellIs" dxfId="0" priority="34" operator="equal">
      <formula>0</formula>
    </cfRule>
  </conditionalFormatting>
  <conditionalFormatting sqref="CU97">
    <cfRule type="cellIs" dxfId="0" priority="35" operator="equal">
      <formula>0</formula>
    </cfRule>
  </conditionalFormatting>
  <conditionalFormatting sqref="CU122">
    <cfRule type="cellIs" dxfId="0" priority="36" operator="equal">
      <formula>0</formula>
    </cfRule>
  </conditionalFormatting>
  <conditionalFormatting sqref="DG48">
    <cfRule type="cellIs" dxfId="0" priority="37" operator="equal">
      <formula>0</formula>
    </cfRule>
  </conditionalFormatting>
  <conditionalFormatting sqref="DG73">
    <cfRule type="cellIs" dxfId="0" priority="38" operator="equal">
      <formula>0</formula>
    </cfRule>
  </conditionalFormatting>
  <conditionalFormatting sqref="DG97">
    <cfRule type="cellIs" dxfId="0" priority="39" operator="equal">
      <formula>0</formula>
    </cfRule>
  </conditionalFormatting>
  <conditionalFormatting sqref="DG122">
    <cfRule type="cellIs" dxfId="0" priority="40" operator="equal">
      <formula>0</formula>
    </cfRule>
  </conditionalFormatting>
  <conditionalFormatting sqref="DS23">
    <cfRule type="cellIs" dxfId="0" priority="41" operator="equal">
      <formula>0</formula>
    </cfRule>
  </conditionalFormatting>
  <conditionalFormatting sqref="DS48">
    <cfRule type="cellIs" dxfId="0" priority="42" operator="equal">
      <formula>0</formula>
    </cfRule>
  </conditionalFormatting>
  <conditionalFormatting sqref="DS73">
    <cfRule type="cellIs" dxfId="0" priority="43" operator="equal">
      <formula>0</formula>
    </cfRule>
  </conditionalFormatting>
  <conditionalFormatting sqref="DS97">
    <cfRule type="cellIs" dxfId="0" priority="44" operator="equal">
      <formula>0</formula>
    </cfRule>
  </conditionalFormatting>
  <conditionalFormatting sqref="DS122">
    <cfRule type="cellIs" dxfId="0" priority="45" operator="equal">
      <formula>0</formula>
    </cfRule>
  </conditionalFormatting>
  <conditionalFormatting sqref="EE48">
    <cfRule type="cellIs" dxfId="0" priority="46" operator="equal">
      <formula>0</formula>
    </cfRule>
  </conditionalFormatting>
  <conditionalFormatting sqref="EE73">
    <cfRule type="cellIs" dxfId="0" priority="47" operator="equal">
      <formula>0</formula>
    </cfRule>
  </conditionalFormatting>
  <conditionalFormatting sqref="EE97">
    <cfRule type="cellIs" dxfId="0" priority="48" operator="equal">
      <formula>0</formula>
    </cfRule>
  </conditionalFormatting>
  <conditionalFormatting sqref="EE122">
    <cfRule type="cellIs" dxfId="0" priority="49" operator="equal">
      <formula>0</formula>
    </cfRule>
  </conditionalFormatting>
  <conditionalFormatting sqref="EQ48">
    <cfRule type="cellIs" dxfId="0" priority="50" operator="equal">
      <formula>0</formula>
    </cfRule>
  </conditionalFormatting>
  <conditionalFormatting sqref="EQ73">
    <cfRule type="cellIs" dxfId="0" priority="51" operator="equal">
      <formula>0</formula>
    </cfRule>
  </conditionalFormatting>
  <conditionalFormatting sqref="EQ97">
    <cfRule type="cellIs" dxfId="0" priority="52" operator="equal">
      <formula>0</formula>
    </cfRule>
  </conditionalFormatting>
  <conditionalFormatting sqref="EQ122">
    <cfRule type="cellIs" dxfId="0" priority="53" operator="equal">
      <formula>0</formula>
    </cfRule>
  </conditionalFormatting>
  <conditionalFormatting sqref="FC48">
    <cfRule type="cellIs" dxfId="0" priority="54" operator="equal">
      <formula>0</formula>
    </cfRule>
  </conditionalFormatting>
  <conditionalFormatting sqref="FC73">
    <cfRule type="cellIs" dxfId="0" priority="55" operator="equal">
      <formula>0</formula>
    </cfRule>
  </conditionalFormatting>
  <conditionalFormatting sqref="FC97">
    <cfRule type="cellIs" dxfId="0" priority="56" operator="equal">
      <formula>0</formula>
    </cfRule>
  </conditionalFormatting>
  <conditionalFormatting sqref="FC122">
    <cfRule type="cellIs" dxfId="0" priority="57" operator="equal">
      <formula>0</formula>
    </cfRule>
  </conditionalFormatting>
  <conditionalFormatting sqref="FO48">
    <cfRule type="cellIs" dxfId="0" priority="58" operator="equal">
      <formula>0</formula>
    </cfRule>
  </conditionalFormatting>
  <conditionalFormatting sqref="FO73">
    <cfRule type="cellIs" dxfId="0" priority="59" operator="equal">
      <formula>0</formula>
    </cfRule>
  </conditionalFormatting>
  <conditionalFormatting sqref="FO97">
    <cfRule type="cellIs" dxfId="0" priority="60" operator="equal">
      <formula>0</formula>
    </cfRule>
  </conditionalFormatting>
  <conditionalFormatting sqref="FO122">
    <cfRule type="cellIs" dxfId="0" priority="61" operator="equal">
      <formula>0</formula>
    </cfRule>
  </conditionalFormatting>
  <conditionalFormatting sqref="GA48 GM48 GY48">
    <cfRule type="cellIs" dxfId="0" priority="62" operator="equal">
      <formula>0</formula>
    </cfRule>
  </conditionalFormatting>
  <conditionalFormatting sqref="GA73 GM73 GY73">
    <cfRule type="cellIs" dxfId="0" priority="63" operator="equal">
      <formula>0</formula>
    </cfRule>
  </conditionalFormatting>
  <conditionalFormatting sqref="GA97 GM97 GY97">
    <cfRule type="cellIs" dxfId="0" priority="64" operator="equal">
      <formula>0</formula>
    </cfRule>
  </conditionalFormatting>
  <conditionalFormatting sqref="GA122 GM122 GY122">
    <cfRule type="cellIs" dxfId="0" priority="65" operator="equal">
      <formula>0</formula>
    </cfRule>
  </conditionalFormatting>
  <hyperlinks>
    <hyperlink display="Home" location="Home!A1" ref="A1"/>
    <hyperlink display="2010" location="ADHK!A3:K100" ref="C1"/>
    <hyperlink display="2012" location="ADHK!AA3:AI100" ref="D1"/>
    <hyperlink display="2014" location="ADHK!AY3:BG100" ref="E1"/>
    <hyperlink display="2016" location="ADHK!BW3:CE100" ref="F1"/>
    <hyperlink display="2018" location="ADHK!CU3:DC100" ref="G1"/>
    <hyperlink display="2020" location="ADHK!DS3:EA100" ref="H1"/>
    <hyperlink display="2022" location="ADHK!EQ3:EY100" ref="I1"/>
    <hyperlink display="2024" location="ADHK!FO3:FW100" ref="J1"/>
    <hyperlink display="2010" location="ADHK!A3:K100" ref="O1"/>
    <hyperlink display="2012" location="ADHK!AA3:AI100" ref="P1"/>
    <hyperlink display="2014" location="ADHK!AY3:BG100" ref="Q1"/>
    <hyperlink display="2016" location="ADHK!BW3:CE100" ref="R1"/>
    <hyperlink display="2018" location="ADHK!CU3:DC100" ref="S1"/>
    <hyperlink display="2020" location="ADHK!DS3:EA100" ref="T1"/>
    <hyperlink display="2022" location="ADHK!EQ3:EY100" ref="U1"/>
    <hyperlink display="2024" location="ADHK!FO3:FW100" ref="V1"/>
    <hyperlink display="2010" location="ADHK!A3:K100" ref="AA1"/>
    <hyperlink display="2012" location="ADHK!AA3:AI100" ref="AB1"/>
    <hyperlink display="2014" location="ADHK!AY3:BG100" ref="AC1"/>
    <hyperlink display="2016" location="ADHK!BW3:CE100" ref="AD1"/>
    <hyperlink display="2018" location="ADHK!CU3:DC100" ref="AE1"/>
    <hyperlink display="2020" location="ADHK!DS3:EA100" ref="AF1"/>
    <hyperlink display="2022" location="ADHK!EQ3:EY100" ref="AG1"/>
    <hyperlink display="2024" location="ADHK!FO3:FW100" ref="AH1"/>
    <hyperlink display="2010" location="ADHK!A3:K100" ref="AM1"/>
    <hyperlink display="2012" location="ADHK!AA3:AI100" ref="AN1"/>
    <hyperlink display="2014" location="ADHK!AY3:BG100" ref="AO1"/>
    <hyperlink display="2016" location="ADHK!BW3:CE100" ref="AP1"/>
    <hyperlink display="2018" location="ADHK!CU3:DC100" ref="AQ1"/>
    <hyperlink display="2020" location="ADHK!DS3:EA100" ref="AR1"/>
    <hyperlink display="2022" location="ADHK!EQ3:EY100" ref="AS1"/>
    <hyperlink display="2024" location="ADHK!FO3:FW100" ref="AT1"/>
    <hyperlink display="2010" location="ADHK!A3:K100" ref="AY1"/>
    <hyperlink display="2012" location="ADHK!AA3:AI100" ref="AZ1"/>
    <hyperlink display="2014" location="ADHK!AY3:BG100" ref="BA1"/>
    <hyperlink display="2016" location="ADHK!BW3:CE100" ref="BB1"/>
    <hyperlink display="2018" location="ADHK!CU3:DC100" ref="BC1"/>
    <hyperlink display="2020" location="ADHK!DS3:EA100" ref="BD1"/>
    <hyperlink display="2022" location="ADHK!EQ3:EY100" ref="BE1"/>
    <hyperlink display="2024" location="ADHK!FO3:FW100" ref="BF1"/>
    <hyperlink display="2010" location="ADHK!A3:K100" ref="BK1"/>
    <hyperlink display="2012" location="ADHK!AA3:AI100" ref="BL1"/>
    <hyperlink display="2014" location="ADHK!AY3:BG100" ref="BM1"/>
    <hyperlink display="2016" location="ADHK!BW3:CE100" ref="BN1"/>
    <hyperlink display="2018" location="ADHK!CU3:DC100" ref="BO1"/>
    <hyperlink display="2020" location="ADHK!DS3:EA100" ref="BP1"/>
    <hyperlink display="2022" location="ADHK!EQ3:EY100" ref="BQ1"/>
    <hyperlink display="2024" location="ADHK!FO3:FW100" ref="BR1"/>
    <hyperlink display="2010" location="ADHK!A3:K100" ref="BW1"/>
    <hyperlink display="2012" location="ADHK!AA3:AI100" ref="BX1"/>
    <hyperlink display="2014" location="ADHK!AY3:BG100" ref="BY1"/>
    <hyperlink display="2016" location="ADHK!BW3:CE100" ref="BZ1"/>
    <hyperlink display="2018" location="ADHK!CU3:DC100" ref="CA1"/>
    <hyperlink display="2020" location="ADHK!DS3:EA100" ref="CB1"/>
    <hyperlink display="2022" location="ADHK!EQ3:EY100" ref="CC1"/>
    <hyperlink display="2024" location="ADHK!FO3:FW100" ref="CD1"/>
    <hyperlink display="2010" location="ADHK!A3:K100" ref="CI1"/>
    <hyperlink display="2012" location="ADHK!AA3:AI100" ref="CJ1"/>
    <hyperlink display="2014" location="ADHK!AY3:BG100" ref="CK1"/>
    <hyperlink display="2016" location="ADHK!BW3:CE100" ref="CL1"/>
    <hyperlink display="2018" location="ADHK!CU3:DC100" ref="CM1"/>
    <hyperlink display="2020" location="ADHK!DS3:EA100" ref="CN1"/>
    <hyperlink display="2022" location="ADHK!EQ3:EY100" ref="CO1"/>
    <hyperlink display="2024" location="ADHK!FO3:FW100" ref="CP1"/>
    <hyperlink display="2010" location="ADHK!A3:K100" ref="CU1"/>
    <hyperlink display="2012" location="ADHK!AA3:AI100" ref="CV1"/>
    <hyperlink display="2014" location="ADHK!AY3:BG100" ref="CW1"/>
    <hyperlink display="2016" location="ADHK!BW3:CE100" ref="CX1"/>
    <hyperlink display="2018" location="ADHK!CU3:DC100" ref="CY1"/>
    <hyperlink display="2020" location="ADHK!DS3:EA100" ref="CZ1"/>
    <hyperlink display="2022" location="ADHK!EQ3:EY100" ref="DA1"/>
    <hyperlink display="2024" location="ADHK!FO3:FW100" ref="DB1"/>
    <hyperlink display="2010" location="ADHK!A3:K100" ref="DG1"/>
    <hyperlink display="2012" location="ADHK!AA3:AI100" ref="DH1"/>
    <hyperlink display="2014" location="ADHK!AY3:BG100" ref="DI1"/>
    <hyperlink display="2016" location="ADHK!BW3:CE100" ref="DJ1"/>
    <hyperlink display="2018" location="ADHK!CU3:DC100" ref="DK1"/>
    <hyperlink display="2020" location="ADHK!DS3:EA100" ref="DL1"/>
    <hyperlink display="2022" location="ADHK!EQ3:EY100" ref="DM1"/>
    <hyperlink display="2024" location="ADHK!FO3:FW100" ref="DN1"/>
    <hyperlink display="2010" location="ADHK!A3:K100" ref="DS1"/>
    <hyperlink display="2012" location="ADHK!AA3:AI100" ref="DT1"/>
    <hyperlink display="2014" location="ADHK!AY3:BG100" ref="DU1"/>
    <hyperlink display="2016" location="ADHK!BW3:CE100" ref="DV1"/>
    <hyperlink display="2018" location="ADHK!CU3:DC100" ref="DW1"/>
    <hyperlink display="2020" location="ADHK!DS3:EA100" ref="DX1"/>
    <hyperlink display="2022" location="ADHK!EQ3:EY100" ref="DY1"/>
    <hyperlink display="2024" location="ADHK!FO3:FW100" ref="DZ1"/>
    <hyperlink display="2010" location="ADHK!A3:K100" ref="EE1"/>
    <hyperlink display="2012" location="ADHK!AA3:AI100" ref="EF1"/>
    <hyperlink display="2014" location="ADHK!AY3:BG100" ref="EG1"/>
    <hyperlink display="2016" location="ADHK!BW3:CE100" ref="EH1"/>
    <hyperlink display="2018" location="ADHK!CU3:DC100" ref="EI1"/>
    <hyperlink display="2020" location="ADHK!DS3:EA100" ref="EJ1"/>
    <hyperlink display="2022" location="ADHK!EQ3:EY100" ref="EK1"/>
    <hyperlink display="2024" location="ADHK!FO3:FW100" ref="EL1"/>
    <hyperlink display="2010" location="ADHK!A3:K100" ref="EQ1"/>
    <hyperlink display="2012" location="ADHK!AA3:AI100" ref="ER1"/>
    <hyperlink display="2014" location="ADHK!AY3:BG100" ref="ES1"/>
    <hyperlink display="2016" location="ADHK!BW3:CE100" ref="ET1"/>
    <hyperlink display="2018" location="ADHK!CU3:DC100" ref="EU1"/>
    <hyperlink display="2020" location="ADHK!DS3:EA100" ref="EV1"/>
    <hyperlink display="2022" location="ADHK!EQ3:EY100" ref="EW1"/>
    <hyperlink display="2024" location="ADHK!FO3:FW100" ref="EX1"/>
    <hyperlink display="2010" location="ADHK!A3:K100" ref="FC1"/>
    <hyperlink display="2012" location="ADHK!AA3:AI100" ref="FD1"/>
    <hyperlink display="2014" location="ADHK!AY3:BG100" ref="FE1"/>
    <hyperlink display="2016" location="ADHK!BW3:CE100" ref="FF1"/>
    <hyperlink display="2018" location="ADHK!CU3:DC100" ref="FG1"/>
    <hyperlink display="2020" location="ADHK!DS3:EA100" ref="FH1"/>
    <hyperlink display="2022" location="ADHK!EQ3:EY100" ref="FI1"/>
    <hyperlink display="2024" location="ADHK!FO3:FW100" ref="FJ1"/>
    <hyperlink display="2010" location="ADHK!A3:K100" ref="FO1"/>
    <hyperlink display="2012" location="ADHK!AA3:AI100" ref="FP1"/>
    <hyperlink display="2014" location="ADHK!AY3:BG100" ref="FQ1"/>
    <hyperlink display="2016" location="ADHK!BW3:CE100" ref="FR1"/>
    <hyperlink display="2018" location="ADHK!CU3:DC100" ref="FS1"/>
    <hyperlink display="2020" location="ADHK!DS3:EA100" ref="FT1"/>
    <hyperlink display="2022" location="ADHK!EQ3:EY100" ref="FU1"/>
    <hyperlink display="2024" location="ADHK!FO3:FW100" ref="FV1"/>
    <hyperlink display="2010" location="ADHK!A3:K100" ref="GA1"/>
    <hyperlink display="2012" location="ADHK!AA3:AI100" ref="GB1"/>
    <hyperlink display="2014" location="ADHK!AY3:BG100" ref="GC1"/>
    <hyperlink display="2016" location="ADHK!BW3:CE100" ref="GD1"/>
    <hyperlink display="2018" location="ADHK!CU3:DC100" ref="GE1"/>
    <hyperlink display="2020" location="ADHK!DS3:EA100" ref="GF1"/>
    <hyperlink display="2022" location="ADHK!EQ3:EY100" ref="GG1"/>
    <hyperlink display="2024" location="ADHK!FO3:FW100" ref="GH1"/>
    <hyperlink display="2010" location="ADHK!A3:K100" ref="GM1"/>
    <hyperlink display="2012" location="ADHK!AA3:AI100" ref="GN1"/>
    <hyperlink display="2014" location="ADHK!AY3:BG100" ref="GO1"/>
    <hyperlink display="2016" location="ADHK!BW3:CE100" ref="GP1"/>
    <hyperlink display="2018" location="ADHK!CU3:DC100" ref="GQ1"/>
    <hyperlink display="2020" location="ADHK!DS3:EA100" ref="GR1"/>
    <hyperlink display="2022" location="ADHK!EQ3:EY100" ref="GS1"/>
    <hyperlink display="2024" location="ADHK!FO3:FW100" ref="GT1"/>
    <hyperlink display="2010" location="ADHK!A3:K100" ref="GY1"/>
    <hyperlink display="2012" location="ADHK!AA3:AI100" ref="GZ1"/>
    <hyperlink display="2014" location="ADHK!AY3:BG100" ref="HA1"/>
    <hyperlink display="2016" location="ADHK!BW3:CE100" ref="HB1"/>
    <hyperlink display="2018" location="ADHK!CU3:DC100" ref="HC1"/>
    <hyperlink display="2020" location="ADHK!DS3:EA100" ref="HD1"/>
    <hyperlink display="2022" location="ADHK!EQ3:EY100" ref="HE1"/>
    <hyperlink display="2024" location="ADHK!FO3:FW100" ref="HF1"/>
    <hyperlink display="2011" location="ADHK!O3:W100" ref="C2"/>
    <hyperlink display="2013" location="ADHK!AM3:AU100" ref="D2"/>
    <hyperlink display="2015" location="ADHK!BK3:BS100" ref="E2"/>
    <hyperlink display="2017" location="ADHK!CI3:CQ100" ref="F2"/>
    <hyperlink display="2019" location="ADHK!DG3:DO100" ref="G2"/>
    <hyperlink display="2021" location="ADHK!EE3:EM100" ref="H2"/>
    <hyperlink display="2023" location="ADHK!FC3:FK100" ref="I2"/>
    <hyperlink display="2025" location="ADHK!GA3:GI100" ref="J2"/>
    <hyperlink display="2011" location="ADHK!O3:W100" ref="O2"/>
    <hyperlink display="2013" location="ADHK!AM3:AU100" ref="P2"/>
    <hyperlink display="2015" location="ADHK!BK3:BS100" ref="Q2"/>
    <hyperlink display="2017" location="ADHK!CI3:CQ100" ref="R2"/>
    <hyperlink display="2019" location="ADHK!DG3:DO100" ref="S2"/>
    <hyperlink display="2021" location="ADHK!EE3:EM100" ref="T2"/>
    <hyperlink display="2023" location="ADHK!FC3:FK100" ref="U2"/>
    <hyperlink display="2025" location="ADHK!GA3:GI100" ref="V2"/>
    <hyperlink display="2011" location="ADHK!O3:W100" ref="AA2"/>
    <hyperlink display="2013" location="ADHK!AM3:AU100" ref="AB2"/>
    <hyperlink display="2015" location="ADHK!BK3:BS100" ref="AC2"/>
    <hyperlink display="2017" location="ADHK!CI3:CQ100" ref="AD2"/>
    <hyperlink display="2019" location="ADHK!DG3:DO100" ref="AE2"/>
    <hyperlink display="2021" location="ADHK!EE3:EM100" ref="AF2"/>
    <hyperlink display="2023" location="ADHK!FC3:FK100" ref="AG2"/>
    <hyperlink display="2025" location="ADHK!GA3:GI100" ref="AH2"/>
    <hyperlink display="2011" location="ADHK!O3:W100" ref="AM2"/>
    <hyperlink display="2013" location="ADHK!AM3:AU100" ref="AN2"/>
    <hyperlink display="2015" location="ADHK!BK3:BS100" ref="AO2"/>
    <hyperlink display="2017" location="ADHK!CI3:CQ100" ref="AP2"/>
    <hyperlink display="2019" location="ADHK!DG3:DO100" ref="AQ2"/>
    <hyperlink display="2021" location="ADHK!EE3:EM100" ref="AR2"/>
    <hyperlink display="2023" location="ADHK!FC3:FK100" ref="AS2"/>
    <hyperlink display="2025" location="ADHK!GA3:GI100" ref="AT2"/>
    <hyperlink display="2011" location="ADHK!O3:W100" ref="AY2"/>
    <hyperlink display="2013" location="ADHK!AM3:AU100" ref="AZ2"/>
    <hyperlink display="2015" location="ADHK!BK3:BS100" ref="BA2"/>
    <hyperlink display="2017" location="ADHK!CI3:CQ100" ref="BB2"/>
    <hyperlink display="2019" location="ADHK!DG3:DO100" ref="BC2"/>
    <hyperlink display="2021" location="ADHK!EE3:EM100" ref="BD2"/>
    <hyperlink display="2023" location="ADHK!FC3:FK100" ref="BE2"/>
    <hyperlink display="2025" location="ADHK!GA3:GI100" ref="BF2"/>
    <hyperlink display="2011" location="ADHK!O3:W100" ref="BK2"/>
    <hyperlink display="2013" location="ADHK!AM3:AU100" ref="BL2"/>
    <hyperlink display="2015" location="ADHK!BK3:BS100" ref="BM2"/>
    <hyperlink display="2017" location="ADHK!CI3:CQ100" ref="BN2"/>
    <hyperlink display="2019" location="ADHK!DG3:DO100" ref="BO2"/>
    <hyperlink display="2021" location="ADHK!EE3:EM100" ref="BP2"/>
    <hyperlink display="2023" location="ADHK!FC3:FK100" ref="BQ2"/>
    <hyperlink display="2025" location="ADHK!GA3:GI100" ref="BR2"/>
    <hyperlink display="2011" location="ADHK!O3:W100" ref="BW2"/>
    <hyperlink display="2013" location="ADHK!AM3:AU100" ref="BX2"/>
    <hyperlink display="2015" location="ADHK!BK3:BS100" ref="BY2"/>
    <hyperlink display="2017" location="ADHK!CI3:CQ100" ref="BZ2"/>
    <hyperlink display="2019" location="ADHK!DG3:DO100" ref="CA2"/>
    <hyperlink display="2021" location="ADHK!EE3:EM100" ref="CB2"/>
    <hyperlink display="2023" location="ADHK!FC3:FK100" ref="CC2"/>
    <hyperlink display="2025" location="ADHK!GA3:GI100" ref="CD2"/>
    <hyperlink display="2011" location="ADHK!O3:W100" ref="CI2"/>
    <hyperlink display="2013" location="ADHK!AM3:AU100" ref="CJ2"/>
    <hyperlink display="2015" location="ADHK!BK3:BS100" ref="CK2"/>
    <hyperlink display="2017" location="ADHK!CI3:CQ100" ref="CL2"/>
    <hyperlink display="2019" location="ADHK!DG3:DO100" ref="CM2"/>
    <hyperlink display="2021" location="ADHK!EE3:EM100" ref="CN2"/>
    <hyperlink display="2023" location="ADHK!FC3:FK100" ref="CO2"/>
    <hyperlink display="2025" location="ADHK!GA3:GI100" ref="CP2"/>
    <hyperlink display="2011" location="ADHK!O3:W100" ref="CU2"/>
    <hyperlink display="2013" location="ADHK!AM3:AU100" ref="CV2"/>
    <hyperlink display="2015" location="ADHK!BK3:BS100" ref="CW2"/>
    <hyperlink display="2017" location="ADHK!CI3:CQ100" ref="CX2"/>
    <hyperlink display="2019" location="ADHK!DG3:DO100" ref="CY2"/>
    <hyperlink display="2021" location="ADHK!EE3:EM100" ref="CZ2"/>
    <hyperlink display="2023" location="ADHK!FC3:FK100" ref="DA2"/>
    <hyperlink display="2025" location="ADHK!GA3:GI100" ref="DB2"/>
    <hyperlink display="2011" location="ADHK!O3:W100" ref="DG2"/>
    <hyperlink display="2013" location="ADHK!AM3:AU100" ref="DH2"/>
    <hyperlink display="2015" location="ADHK!BK3:BS100" ref="DI2"/>
    <hyperlink display="2017" location="ADHK!CI3:CQ100" ref="DJ2"/>
    <hyperlink display="2019" location="ADHK!DG3:DO100" ref="DK2"/>
    <hyperlink display="2021" location="ADHK!EE3:EM100" ref="DL2"/>
    <hyperlink display="2023" location="ADHK!FC3:FK100" ref="DM2"/>
    <hyperlink display="2025" location="ADHK!GA3:GI100" ref="DN2"/>
    <hyperlink display="2011" location="ADHK!O3:W100" ref="DS2"/>
    <hyperlink display="2013" location="ADHK!AM3:AU100" ref="DT2"/>
    <hyperlink display="2015" location="ADHK!BK3:BS100" ref="DU2"/>
    <hyperlink display="2017" location="ADHK!CI3:CQ100" ref="DV2"/>
    <hyperlink display="2019" location="ADHK!DG3:DO100" ref="DW2"/>
    <hyperlink display="2021" location="ADHK!EE3:EM100" ref="DX2"/>
    <hyperlink display="2023" location="ADHK!FC3:FK100" ref="DY2"/>
    <hyperlink display="2025" location="ADHK!GA3:GI100" ref="DZ2"/>
    <hyperlink display="2011" location="ADHK!O3:W100" ref="EE2"/>
    <hyperlink display="2013" location="ADHK!AM3:AU100" ref="EF2"/>
    <hyperlink display="2015" location="ADHK!BK3:BS100" ref="EG2"/>
    <hyperlink display="2017" location="ADHK!CI3:CQ100" ref="EH2"/>
    <hyperlink display="2019" location="ADHK!DG3:DO100" ref="EI2"/>
    <hyperlink display="2021" location="ADHK!EE3:EM100" ref="EJ2"/>
    <hyperlink display="2023" location="ADHK!FC3:FK100" ref="EK2"/>
    <hyperlink display="2025" location="ADHK!GA3:GI100" ref="EL2"/>
    <hyperlink display="2011" location="ADHK!O3:W100" ref="EQ2"/>
    <hyperlink display="2013" location="ADHK!AM3:AU100" ref="ER2"/>
    <hyperlink display="2015" location="ADHK!BK3:BS100" ref="ES2"/>
    <hyperlink display="2017" location="ADHK!CI3:CQ100" ref="ET2"/>
    <hyperlink display="2019" location="ADHK!DG3:DO100" ref="EU2"/>
    <hyperlink display="2021" location="ADHK!EE3:EM100" ref="EV2"/>
    <hyperlink display="2023" location="ADHK!FC3:FK100" ref="EW2"/>
    <hyperlink display="2025" location="ADHK!GA3:GI100" ref="EX2"/>
    <hyperlink display="2011" location="ADHK!O3:W100" ref="FC2"/>
    <hyperlink display="2013" location="ADHK!AM3:AU100" ref="FD2"/>
    <hyperlink display="2015" location="ADHK!BK3:BS100" ref="FE2"/>
    <hyperlink display="2017" location="ADHK!CI3:CQ100" ref="FF2"/>
    <hyperlink display="2019" location="ADHK!DG3:DO100" ref="FG2"/>
    <hyperlink display="2021" location="ADHK!EE3:EM100" ref="FH2"/>
    <hyperlink display="2023" location="ADHK!FC3:FK100" ref="FI2"/>
    <hyperlink display="2025" location="ADHK!GA3:GI100" ref="FJ2"/>
    <hyperlink display="2011" location="ADHK!O3:W100" ref="FO2"/>
    <hyperlink display="2013" location="ADHK!AM3:AU100" ref="FP2"/>
    <hyperlink display="2015" location="ADHK!BK3:BS100" ref="FQ2"/>
    <hyperlink display="2017" location="ADHK!CI3:CQ100" ref="FR2"/>
    <hyperlink display="2019" location="ADHK!DG3:DO100" ref="FS2"/>
    <hyperlink display="2021" location="ADHK!EE3:EM100" ref="FT2"/>
    <hyperlink display="2023" location="ADHK!FC3:FK100" ref="FU2"/>
    <hyperlink display="2025" location="ADHK!GA3:GI100" ref="FV2"/>
    <hyperlink display="2011" location="ADHK!O3:W100" ref="GA2"/>
    <hyperlink display="2013" location="ADHK!AM3:AU100" ref="GB2"/>
    <hyperlink display="2015" location="ADHK!BK3:BS100" ref="GC2"/>
    <hyperlink display="2017" location="ADHK!CI3:CQ100" ref="GD2"/>
    <hyperlink display="2019" location="ADHK!DG3:DO100" ref="GE2"/>
    <hyperlink display="2021" location="ADHK!EE3:EM100" ref="GF2"/>
    <hyperlink display="2023" location="ADHK!FC3:FK100" ref="GG2"/>
    <hyperlink display="2025" location="ADHK!GA3:GI100" ref="GH2"/>
    <hyperlink display="2011" location="ADHK!O3:W100" ref="GM2"/>
    <hyperlink display="2013" location="ADHK!AM3:AU100" ref="GN2"/>
    <hyperlink display="2015" location="ADHK!BK3:BS100" ref="GO2"/>
    <hyperlink display="2017" location="ADHK!CI3:CQ100" ref="GP2"/>
    <hyperlink display="2019" location="ADHK!DG3:DO100" ref="GQ2"/>
    <hyperlink display="2021" location="ADHK!EE3:EM100" ref="GR2"/>
    <hyperlink display="2023" location="ADHK!FC3:FK100" ref="GS2"/>
    <hyperlink display="2025" location="ADHK!GA3:GI100" ref="GT2"/>
    <hyperlink display="2011" location="ADHK!O3:W100" ref="GY2"/>
    <hyperlink display="2013" location="ADHK!AM3:AU100" ref="GZ2"/>
    <hyperlink display="2015" location="ADHK!BK3:BS100" ref="HA2"/>
    <hyperlink display="2017" location="ADHK!CI3:CQ100" ref="HB2"/>
    <hyperlink display="2019" location="ADHK!DG3:DO100" ref="HC2"/>
    <hyperlink display="2021" location="ADHK!EE3:EM100" ref="HD2"/>
    <hyperlink display="2023" location="ADHK!FC3:FK100" ref="HE2"/>
    <hyperlink display="2025" location="ADHK!GA3:GI100" ref="HF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43"/>
    <col customWidth="1" min="2" max="2" width="44.14"/>
    <col customWidth="1" min="3" max="3" width="22.0"/>
    <col customWidth="1" min="4" max="4" width="13.57"/>
    <col customWidth="1" min="5" max="5" width="18.29"/>
    <col customWidth="1" min="6" max="6" width="14.14"/>
    <col customWidth="1" min="7" max="7" width="17.29"/>
    <col customWidth="1" min="8" max="8" width="20.57"/>
    <col customWidth="1" min="9" max="9" width="13.29"/>
    <col customWidth="1" min="10" max="10" width="12.86"/>
    <col customWidth="1" min="11" max="11" width="16.0"/>
    <col customWidth="1" min="12" max="12" width="2.71"/>
    <col customWidth="1" min="13" max="13" width="5.71"/>
    <col customWidth="1" min="14" max="14" width="44.14"/>
    <col customWidth="1" min="15" max="15" width="22.0"/>
    <col customWidth="1" min="16" max="16" width="13.57"/>
    <col customWidth="1" min="17" max="17" width="18.29"/>
    <col customWidth="1" min="18" max="18" width="14.14"/>
    <col customWidth="1" min="19" max="19" width="17.29"/>
    <col customWidth="1" min="20" max="20" width="20.57"/>
    <col customWidth="1" min="21" max="21" width="13.29"/>
    <col customWidth="1" min="22" max="22" width="12.86"/>
    <col customWidth="1" min="23" max="23" width="16.0"/>
    <col customWidth="1" min="24" max="24" width="2.71"/>
    <col customWidth="1" min="25" max="25" width="5.71"/>
    <col customWidth="1" min="26" max="26" width="44.14"/>
    <col customWidth="1" min="27" max="27" width="22.0"/>
    <col customWidth="1" min="28" max="28" width="13.57"/>
    <col customWidth="1" min="29" max="29" width="18.29"/>
    <col customWidth="1" min="30" max="30" width="14.14"/>
    <col customWidth="1" min="31" max="31" width="17.29"/>
    <col customWidth="1" min="32" max="32" width="20.57"/>
    <col customWidth="1" min="33" max="33" width="13.29"/>
    <col customWidth="1" min="34" max="34" width="12.86"/>
    <col customWidth="1" min="35" max="35" width="16.0"/>
    <col customWidth="1" min="36" max="36" width="2.71"/>
    <col customWidth="1" min="37" max="37" width="5.71"/>
    <col customWidth="1" min="38" max="38" width="44.14"/>
    <col customWidth="1" min="39" max="39" width="22.0"/>
    <col customWidth="1" min="40" max="40" width="13.57"/>
    <col customWidth="1" min="41" max="41" width="18.29"/>
    <col customWidth="1" min="42" max="42" width="14.14"/>
    <col customWidth="1" min="43" max="43" width="17.29"/>
    <col customWidth="1" min="44" max="44" width="20.57"/>
    <col customWidth="1" min="45" max="45" width="13.29"/>
    <col customWidth="1" min="46" max="46" width="12.86"/>
    <col customWidth="1" min="47" max="47" width="16.0"/>
    <col customWidth="1" min="48" max="48" width="2.71"/>
    <col customWidth="1" min="49" max="49" width="5.71"/>
    <col customWidth="1" min="50" max="50" width="44.14"/>
    <col customWidth="1" min="51" max="51" width="22.0"/>
    <col customWidth="1" min="52" max="52" width="13.57"/>
    <col customWidth="1" min="53" max="53" width="18.29"/>
    <col customWidth="1" min="54" max="54" width="14.14"/>
    <col customWidth="1" min="55" max="55" width="17.29"/>
    <col customWidth="1" min="56" max="56" width="20.57"/>
    <col customWidth="1" min="57" max="57" width="13.29"/>
    <col customWidth="1" min="58" max="58" width="12.86"/>
    <col customWidth="1" min="59" max="59" width="16.0"/>
    <col customWidth="1" min="60" max="60" width="2.71"/>
    <col customWidth="1" min="61" max="61" width="5.71"/>
    <col customWidth="1" min="62" max="62" width="44.14"/>
    <col customWidth="1" min="63" max="63" width="22.0"/>
    <col customWidth="1" min="64" max="64" width="13.57"/>
    <col customWidth="1" min="65" max="65" width="18.29"/>
    <col customWidth="1" min="66" max="66" width="14.14"/>
    <col customWidth="1" min="67" max="67" width="17.29"/>
    <col customWidth="1" min="68" max="68" width="20.57"/>
    <col customWidth="1" min="69" max="69" width="13.29"/>
    <col customWidth="1" min="70" max="70" width="12.86"/>
    <col customWidth="1" min="71" max="71" width="16.0"/>
    <col customWidth="1" min="72" max="72" width="2.71"/>
    <col customWidth="1" min="73" max="73" width="5.71"/>
    <col customWidth="1" min="74" max="74" width="44.14"/>
    <col customWidth="1" min="75" max="75" width="22.0"/>
    <col customWidth="1" min="76" max="76" width="13.57"/>
    <col customWidth="1" min="77" max="77" width="18.29"/>
    <col customWidth="1" min="78" max="78" width="14.14"/>
    <col customWidth="1" min="79" max="79" width="17.29"/>
    <col customWidth="1" min="80" max="80" width="20.57"/>
    <col customWidth="1" min="81" max="81" width="13.29"/>
    <col customWidth="1" min="82" max="82" width="12.86"/>
    <col customWidth="1" min="83" max="83" width="16.0"/>
    <col customWidth="1" min="84" max="84" width="2.71"/>
    <col customWidth="1" min="85" max="85" width="5.71"/>
    <col customWidth="1" min="86" max="86" width="44.14"/>
    <col customWidth="1" min="87" max="87" width="22.0"/>
    <col customWidth="1" min="88" max="88" width="13.57"/>
    <col customWidth="1" min="89" max="89" width="18.29"/>
    <col customWidth="1" min="90" max="90" width="14.14"/>
    <col customWidth="1" min="91" max="91" width="17.29"/>
    <col customWidth="1" min="92" max="92" width="20.57"/>
    <col customWidth="1" min="93" max="93" width="13.29"/>
    <col customWidth="1" min="94" max="94" width="12.86"/>
    <col customWidth="1" min="95" max="95" width="16.0"/>
    <col customWidth="1" min="96" max="96" width="2.71"/>
    <col customWidth="1" min="97" max="97" width="5.71"/>
    <col customWidth="1" min="98" max="98" width="44.14"/>
    <col customWidth="1" min="99" max="99" width="22.0"/>
    <col customWidth="1" min="100" max="100" width="13.57"/>
    <col customWidth="1" min="101" max="101" width="18.29"/>
    <col customWidth="1" min="102" max="102" width="14.14"/>
    <col customWidth="1" min="103" max="103" width="17.29"/>
    <col customWidth="1" min="104" max="104" width="20.57"/>
    <col customWidth="1" min="105" max="105" width="13.29"/>
    <col customWidth="1" min="106" max="106" width="12.86"/>
    <col customWidth="1" min="107" max="107" width="16.0"/>
    <col customWidth="1" min="108" max="108" width="2.71"/>
    <col customWidth="1" min="109" max="109" width="5.71"/>
    <col customWidth="1" min="110" max="110" width="44.14"/>
    <col customWidth="1" min="111" max="111" width="22.0"/>
    <col customWidth="1" min="112" max="112" width="13.57"/>
    <col customWidth="1" min="113" max="113" width="18.29"/>
    <col customWidth="1" min="114" max="114" width="14.14"/>
    <col customWidth="1" min="115" max="115" width="17.29"/>
    <col customWidth="1" min="116" max="116" width="20.57"/>
    <col customWidth="1" min="117" max="117" width="13.29"/>
    <col customWidth="1" min="118" max="118" width="12.86"/>
    <col customWidth="1" min="119" max="119" width="16.0"/>
    <col customWidth="1" min="120" max="120" width="2.71"/>
    <col customWidth="1" min="121" max="121" width="5.71"/>
    <col customWidth="1" min="122" max="122" width="44.14"/>
    <col customWidth="1" min="123" max="123" width="22.0"/>
    <col customWidth="1" min="124" max="124" width="13.57"/>
    <col customWidth="1" min="125" max="125" width="18.29"/>
    <col customWidth="1" min="126" max="126" width="14.14"/>
    <col customWidth="1" min="127" max="127" width="17.29"/>
    <col customWidth="1" min="128" max="128" width="20.57"/>
    <col customWidth="1" min="129" max="129" width="13.29"/>
    <col customWidth="1" min="130" max="130" width="12.86"/>
    <col customWidth="1" min="131" max="131" width="16.0"/>
    <col customWidth="1" min="132" max="132" width="2.71"/>
    <col customWidth="1" min="133" max="133" width="5.71"/>
    <col customWidth="1" min="134" max="134" width="44.14"/>
    <col customWidth="1" min="135" max="135" width="22.0"/>
    <col customWidth="1" min="136" max="136" width="13.57"/>
    <col customWidth="1" min="137" max="137" width="18.29"/>
    <col customWidth="1" min="138" max="138" width="14.14"/>
    <col customWidth="1" min="139" max="139" width="17.29"/>
    <col customWidth="1" min="140" max="140" width="20.57"/>
    <col customWidth="1" min="141" max="141" width="13.29"/>
    <col customWidth="1" min="142" max="142" width="12.86"/>
    <col customWidth="1" min="143" max="143" width="16.0"/>
    <col customWidth="1" min="144" max="144" width="2.71"/>
    <col customWidth="1" min="145" max="145" width="5.71"/>
    <col customWidth="1" min="146" max="146" width="44.14"/>
    <col customWidth="1" min="147" max="147" width="22.0"/>
    <col customWidth="1" min="148" max="148" width="13.57"/>
    <col customWidth="1" min="149" max="149" width="18.29"/>
    <col customWidth="1" min="150" max="150" width="14.14"/>
    <col customWidth="1" min="151" max="151" width="17.29"/>
    <col customWidth="1" min="152" max="152" width="20.57"/>
    <col customWidth="1" min="153" max="153" width="13.29"/>
    <col customWidth="1" min="154" max="154" width="12.86"/>
    <col customWidth="1" min="155" max="155" width="16.0"/>
    <col customWidth="1" min="156" max="156" width="2.71"/>
    <col customWidth="1" min="157" max="157" width="5.71"/>
    <col customWidth="1" min="158" max="158" width="44.14"/>
    <col customWidth="1" min="159" max="159" width="22.0"/>
    <col customWidth="1" min="160" max="160" width="13.57"/>
    <col customWidth="1" min="161" max="161" width="18.29"/>
    <col customWidth="1" min="162" max="162" width="14.14"/>
    <col customWidth="1" min="163" max="163" width="17.29"/>
    <col customWidth="1" min="164" max="164" width="20.57"/>
    <col customWidth="1" min="165" max="165" width="13.29"/>
    <col customWidth="1" min="166" max="166" width="12.86"/>
    <col customWidth="1" min="167" max="167" width="16.0"/>
    <col customWidth="1" min="168" max="168" width="2.71"/>
    <col customWidth="1" min="169" max="169" width="5.71"/>
    <col customWidth="1" min="170" max="170" width="44.14"/>
    <col customWidth="1" min="171" max="171" width="22.0"/>
    <col customWidth="1" min="172" max="172" width="13.57"/>
    <col customWidth="1" min="173" max="173" width="18.29"/>
    <col customWidth="1" min="174" max="174" width="14.14"/>
    <col customWidth="1" min="175" max="175" width="17.29"/>
    <col customWidth="1" min="176" max="176" width="20.57"/>
    <col customWidth="1" min="177" max="177" width="13.29"/>
    <col customWidth="1" min="178" max="178" width="12.86"/>
    <col customWidth="1" min="179" max="179" width="16.0"/>
    <col customWidth="1" min="180" max="180" width="2.71"/>
    <col customWidth="1" min="181" max="181" width="5.71"/>
    <col customWidth="1" min="182" max="182" width="44.14"/>
    <col customWidth="1" min="183" max="183" width="22.0"/>
    <col customWidth="1" min="184" max="184" width="13.57"/>
    <col customWidth="1" min="185" max="185" width="18.29"/>
    <col customWidth="1" min="186" max="186" width="14.14"/>
    <col customWidth="1" min="187" max="187" width="17.29"/>
    <col customWidth="1" min="188" max="188" width="20.57"/>
    <col customWidth="1" min="189" max="189" width="13.29"/>
    <col customWidth="1" min="190" max="190" width="12.86"/>
    <col customWidth="1" min="191" max="191" width="16.0"/>
    <col customWidth="1" min="192" max="192" width="2.71"/>
    <col customWidth="1" min="193" max="193" width="5.71"/>
    <col customWidth="1" min="194" max="194" width="44.14"/>
    <col customWidth="1" min="195" max="195" width="22.0"/>
    <col customWidth="1" min="196" max="196" width="13.57"/>
    <col customWidth="1" min="197" max="197" width="18.29"/>
    <col customWidth="1" min="198" max="198" width="14.14"/>
    <col customWidth="1" min="199" max="199" width="17.29"/>
    <col customWidth="1" min="200" max="200" width="20.57"/>
    <col customWidth="1" min="201" max="201" width="13.29"/>
    <col customWidth="1" min="202" max="202" width="12.86"/>
    <col customWidth="1" min="203" max="203" width="16.0"/>
    <col customWidth="1" min="204" max="204" width="2.71"/>
    <col customWidth="1" min="205" max="205" width="5.71"/>
    <col customWidth="1" min="206" max="206" width="44.14"/>
    <col customWidth="1" min="207" max="207" width="22.0"/>
    <col customWidth="1" min="208" max="208" width="13.57"/>
    <col customWidth="1" min="209" max="209" width="18.29"/>
    <col customWidth="1" min="210" max="210" width="14.14"/>
    <col customWidth="1" min="211" max="211" width="17.29"/>
    <col customWidth="1" min="212" max="212" width="20.57"/>
    <col customWidth="1" min="213" max="213" width="13.29"/>
    <col customWidth="1" min="214" max="214" width="12.86"/>
    <col customWidth="1" min="215" max="215" width="16.0"/>
    <col customWidth="1" min="216" max="216" width="2.71"/>
    <col customWidth="1" min="217" max="217" width="4.86"/>
  </cols>
  <sheetData>
    <row r="1" ht="21.0" customHeight="1">
      <c r="A1" s="68" t="s">
        <v>47</v>
      </c>
      <c r="B1" s="69" t="s">
        <v>48</v>
      </c>
      <c r="C1" s="70">
        <v>2010.0</v>
      </c>
      <c r="D1" s="71">
        <v>2012.0</v>
      </c>
      <c r="E1" s="71">
        <v>2014.0</v>
      </c>
      <c r="F1" s="71">
        <v>2016.0</v>
      </c>
      <c r="G1" s="71">
        <v>2018.0</v>
      </c>
      <c r="H1" s="71">
        <v>2020.0</v>
      </c>
      <c r="I1" s="71">
        <v>2022.0</v>
      </c>
      <c r="J1" s="71">
        <v>2024.0</v>
      </c>
      <c r="K1" s="72"/>
      <c r="L1" s="73"/>
      <c r="M1" s="74"/>
      <c r="N1" s="75"/>
      <c r="O1" s="71">
        <v>2010.0</v>
      </c>
      <c r="P1" s="71">
        <v>2012.0</v>
      </c>
      <c r="Q1" s="71">
        <v>2014.0</v>
      </c>
      <c r="R1" s="71">
        <v>2016.0</v>
      </c>
      <c r="S1" s="71">
        <v>2018.0</v>
      </c>
      <c r="T1" s="71">
        <v>2020.0</v>
      </c>
      <c r="U1" s="71">
        <v>2022.0</v>
      </c>
      <c r="V1" s="71">
        <v>2024.0</v>
      </c>
      <c r="W1" s="75"/>
      <c r="X1" s="73"/>
      <c r="Y1" s="74"/>
      <c r="Z1" s="75"/>
      <c r="AA1" s="71">
        <v>2010.0</v>
      </c>
      <c r="AB1" s="71">
        <v>2012.0</v>
      </c>
      <c r="AC1" s="71">
        <v>2014.0</v>
      </c>
      <c r="AD1" s="71">
        <v>2016.0</v>
      </c>
      <c r="AE1" s="71">
        <v>2018.0</v>
      </c>
      <c r="AF1" s="71">
        <v>2020.0</v>
      </c>
      <c r="AG1" s="71">
        <v>2022.0</v>
      </c>
      <c r="AH1" s="71">
        <v>2024.0</v>
      </c>
      <c r="AI1" s="75"/>
      <c r="AJ1" s="73"/>
      <c r="AK1" s="74"/>
      <c r="AL1" s="75"/>
      <c r="AM1" s="71">
        <v>2010.0</v>
      </c>
      <c r="AN1" s="71">
        <v>2012.0</v>
      </c>
      <c r="AO1" s="71">
        <v>2014.0</v>
      </c>
      <c r="AP1" s="71">
        <v>2016.0</v>
      </c>
      <c r="AQ1" s="71">
        <v>2018.0</v>
      </c>
      <c r="AR1" s="71">
        <v>2020.0</v>
      </c>
      <c r="AS1" s="71">
        <v>2022.0</v>
      </c>
      <c r="AT1" s="71">
        <v>2024.0</v>
      </c>
      <c r="AU1" s="75"/>
      <c r="AV1" s="73"/>
      <c r="AW1" s="74"/>
      <c r="AX1" s="75"/>
      <c r="AY1" s="71">
        <v>2010.0</v>
      </c>
      <c r="AZ1" s="71">
        <v>2012.0</v>
      </c>
      <c r="BA1" s="71">
        <v>2014.0</v>
      </c>
      <c r="BB1" s="71">
        <v>2016.0</v>
      </c>
      <c r="BC1" s="71">
        <v>2018.0</v>
      </c>
      <c r="BD1" s="71">
        <v>2020.0</v>
      </c>
      <c r="BE1" s="71">
        <v>2022.0</v>
      </c>
      <c r="BF1" s="71">
        <v>2024.0</v>
      </c>
      <c r="BG1" s="75"/>
      <c r="BH1" s="73"/>
      <c r="BI1" s="74"/>
      <c r="BJ1" s="75"/>
      <c r="BK1" s="71">
        <v>2010.0</v>
      </c>
      <c r="BL1" s="71">
        <v>2012.0</v>
      </c>
      <c r="BM1" s="71">
        <v>2014.0</v>
      </c>
      <c r="BN1" s="71">
        <v>2016.0</v>
      </c>
      <c r="BO1" s="71">
        <v>2018.0</v>
      </c>
      <c r="BP1" s="71">
        <v>2020.0</v>
      </c>
      <c r="BQ1" s="71">
        <v>2022.0</v>
      </c>
      <c r="BR1" s="71">
        <v>2024.0</v>
      </c>
      <c r="BS1" s="75"/>
      <c r="BT1" s="73"/>
      <c r="BU1" s="74"/>
      <c r="BV1" s="75"/>
      <c r="BW1" s="71">
        <v>2010.0</v>
      </c>
      <c r="BX1" s="71">
        <v>2012.0</v>
      </c>
      <c r="BY1" s="71">
        <v>2014.0</v>
      </c>
      <c r="BZ1" s="71">
        <v>2016.0</v>
      </c>
      <c r="CA1" s="71">
        <v>2018.0</v>
      </c>
      <c r="CB1" s="71">
        <v>2020.0</v>
      </c>
      <c r="CC1" s="71">
        <v>2022.0</v>
      </c>
      <c r="CD1" s="71">
        <v>2024.0</v>
      </c>
      <c r="CE1" s="75"/>
      <c r="CF1" s="73"/>
      <c r="CG1" s="74"/>
      <c r="CH1" s="75"/>
      <c r="CI1" s="71">
        <v>2010.0</v>
      </c>
      <c r="CJ1" s="71">
        <v>2012.0</v>
      </c>
      <c r="CK1" s="71">
        <v>2014.0</v>
      </c>
      <c r="CL1" s="71">
        <v>2016.0</v>
      </c>
      <c r="CM1" s="71">
        <v>2018.0</v>
      </c>
      <c r="CN1" s="71">
        <v>2020.0</v>
      </c>
      <c r="CO1" s="71">
        <v>2022.0</v>
      </c>
      <c r="CP1" s="71">
        <v>2024.0</v>
      </c>
      <c r="CQ1" s="75"/>
      <c r="CR1" s="73"/>
      <c r="CS1" s="74"/>
      <c r="CT1" s="75"/>
      <c r="CU1" s="71">
        <v>2010.0</v>
      </c>
      <c r="CV1" s="71">
        <v>2012.0</v>
      </c>
      <c r="CW1" s="71">
        <v>2014.0</v>
      </c>
      <c r="CX1" s="71">
        <v>2016.0</v>
      </c>
      <c r="CY1" s="71">
        <v>2018.0</v>
      </c>
      <c r="CZ1" s="71">
        <v>2020.0</v>
      </c>
      <c r="DA1" s="71">
        <v>2022.0</v>
      </c>
      <c r="DB1" s="71">
        <v>2024.0</v>
      </c>
      <c r="DC1" s="75"/>
      <c r="DD1" s="73"/>
      <c r="DE1" s="74"/>
      <c r="DF1" s="75"/>
      <c r="DG1" s="71">
        <v>2010.0</v>
      </c>
      <c r="DH1" s="71">
        <v>2012.0</v>
      </c>
      <c r="DI1" s="71">
        <v>2014.0</v>
      </c>
      <c r="DJ1" s="71">
        <v>2016.0</v>
      </c>
      <c r="DK1" s="71">
        <v>2018.0</v>
      </c>
      <c r="DL1" s="71">
        <v>2020.0</v>
      </c>
      <c r="DM1" s="71">
        <v>2022.0</v>
      </c>
      <c r="DN1" s="71">
        <v>2024.0</v>
      </c>
      <c r="DO1" s="75"/>
      <c r="DP1" s="73"/>
      <c r="DQ1" s="74"/>
      <c r="DR1" s="75"/>
      <c r="DS1" s="71">
        <v>2010.0</v>
      </c>
      <c r="DT1" s="71">
        <v>2012.0</v>
      </c>
      <c r="DU1" s="71">
        <v>2014.0</v>
      </c>
      <c r="DV1" s="71">
        <v>2016.0</v>
      </c>
      <c r="DW1" s="71">
        <v>2018.0</v>
      </c>
      <c r="DX1" s="71">
        <v>2020.0</v>
      </c>
      <c r="DY1" s="71">
        <v>2022.0</v>
      </c>
      <c r="DZ1" s="71">
        <v>2024.0</v>
      </c>
      <c r="EA1" s="75"/>
      <c r="EB1" s="73"/>
      <c r="EC1" s="74"/>
      <c r="ED1" s="75"/>
      <c r="EE1" s="71">
        <v>2010.0</v>
      </c>
      <c r="EF1" s="71">
        <v>2012.0</v>
      </c>
      <c r="EG1" s="71">
        <v>2014.0</v>
      </c>
      <c r="EH1" s="71">
        <v>2016.0</v>
      </c>
      <c r="EI1" s="71">
        <v>2018.0</v>
      </c>
      <c r="EJ1" s="71">
        <v>2020.0</v>
      </c>
      <c r="EK1" s="71">
        <v>2022.0</v>
      </c>
      <c r="EL1" s="71">
        <v>2024.0</v>
      </c>
      <c r="EM1" s="75"/>
      <c r="EN1" s="73"/>
      <c r="EO1" s="74"/>
      <c r="EP1" s="75"/>
      <c r="EQ1" s="71">
        <v>2010.0</v>
      </c>
      <c r="ER1" s="71">
        <v>2012.0</v>
      </c>
      <c r="ES1" s="71">
        <v>2014.0</v>
      </c>
      <c r="ET1" s="71">
        <v>2016.0</v>
      </c>
      <c r="EU1" s="71">
        <v>2018.0</v>
      </c>
      <c r="EV1" s="71">
        <v>2020.0</v>
      </c>
      <c r="EW1" s="71">
        <v>2022.0</v>
      </c>
      <c r="EX1" s="71">
        <v>2024.0</v>
      </c>
      <c r="EY1" s="75"/>
      <c r="EZ1" s="73"/>
      <c r="FA1" s="74"/>
      <c r="FB1" s="75"/>
      <c r="FC1" s="71">
        <v>2010.0</v>
      </c>
      <c r="FD1" s="71">
        <v>2012.0</v>
      </c>
      <c r="FE1" s="71">
        <v>2014.0</v>
      </c>
      <c r="FF1" s="71">
        <v>2016.0</v>
      </c>
      <c r="FG1" s="71">
        <v>2018.0</v>
      </c>
      <c r="FH1" s="71">
        <v>2020.0</v>
      </c>
      <c r="FI1" s="71">
        <v>2022.0</v>
      </c>
      <c r="FJ1" s="71">
        <v>2024.0</v>
      </c>
      <c r="FK1" s="75"/>
      <c r="FL1" s="73"/>
      <c r="FM1" s="74"/>
      <c r="FN1" s="75"/>
      <c r="FO1" s="71">
        <v>2010.0</v>
      </c>
      <c r="FP1" s="71">
        <v>2012.0</v>
      </c>
      <c r="FQ1" s="71">
        <v>2014.0</v>
      </c>
      <c r="FR1" s="71">
        <v>2016.0</v>
      </c>
      <c r="FS1" s="71">
        <v>2018.0</v>
      </c>
      <c r="FT1" s="71">
        <v>2020.0</v>
      </c>
      <c r="FU1" s="71">
        <v>2022.0</v>
      </c>
      <c r="FV1" s="71">
        <v>2024.0</v>
      </c>
      <c r="FW1" s="75"/>
      <c r="FX1" s="73"/>
      <c r="FY1" s="74"/>
      <c r="FZ1" s="75"/>
      <c r="GA1" s="71">
        <v>2010.0</v>
      </c>
      <c r="GB1" s="71">
        <v>2012.0</v>
      </c>
      <c r="GC1" s="71">
        <v>2014.0</v>
      </c>
      <c r="GD1" s="71">
        <v>2016.0</v>
      </c>
      <c r="GE1" s="71">
        <v>2018.0</v>
      </c>
      <c r="GF1" s="71">
        <v>2020.0</v>
      </c>
      <c r="GG1" s="71">
        <v>2022.0</v>
      </c>
      <c r="GH1" s="71">
        <v>2024.0</v>
      </c>
      <c r="GI1" s="75"/>
      <c r="GJ1" s="73"/>
      <c r="GK1" s="74"/>
      <c r="GL1" s="75"/>
      <c r="GM1" s="71">
        <v>2010.0</v>
      </c>
      <c r="GN1" s="71">
        <v>2012.0</v>
      </c>
      <c r="GO1" s="71">
        <v>2014.0</v>
      </c>
      <c r="GP1" s="71">
        <v>2016.0</v>
      </c>
      <c r="GQ1" s="71">
        <v>2018.0</v>
      </c>
      <c r="GR1" s="71">
        <v>2020.0</v>
      </c>
      <c r="GS1" s="71">
        <v>2022.0</v>
      </c>
      <c r="GT1" s="71">
        <v>2024.0</v>
      </c>
      <c r="GU1" s="75"/>
      <c r="GV1" s="73"/>
      <c r="GW1" s="74"/>
      <c r="GX1" s="75"/>
      <c r="GY1" s="71">
        <v>2010.0</v>
      </c>
      <c r="GZ1" s="71">
        <v>2012.0</v>
      </c>
      <c r="HA1" s="71">
        <v>2014.0</v>
      </c>
      <c r="HB1" s="71">
        <v>2016.0</v>
      </c>
      <c r="HC1" s="71">
        <v>2018.0</v>
      </c>
      <c r="HD1" s="71">
        <v>2020.0</v>
      </c>
      <c r="HE1" s="71">
        <v>2022.0</v>
      </c>
      <c r="HF1" s="71">
        <v>2024.0</v>
      </c>
      <c r="HG1" s="75"/>
      <c r="HH1" s="73"/>
      <c r="HI1" s="76"/>
    </row>
    <row r="2" ht="21.0" customHeight="1">
      <c r="B2" s="77"/>
      <c r="C2" s="78">
        <v>2011.0</v>
      </c>
      <c r="D2" s="79">
        <v>2013.0</v>
      </c>
      <c r="E2" s="79">
        <v>2015.0</v>
      </c>
      <c r="F2" s="79">
        <v>2017.0</v>
      </c>
      <c r="G2" s="79">
        <v>2019.0</v>
      </c>
      <c r="H2" s="79">
        <v>2021.0</v>
      </c>
      <c r="I2" s="79">
        <v>2023.0</v>
      </c>
      <c r="J2" s="79">
        <v>2025.0</v>
      </c>
      <c r="K2" s="72"/>
      <c r="L2" s="73"/>
      <c r="M2" s="74"/>
      <c r="N2" s="75"/>
      <c r="O2" s="79">
        <v>2011.0</v>
      </c>
      <c r="P2" s="79">
        <v>2013.0</v>
      </c>
      <c r="Q2" s="79">
        <v>2015.0</v>
      </c>
      <c r="R2" s="79">
        <v>2017.0</v>
      </c>
      <c r="S2" s="79">
        <v>2019.0</v>
      </c>
      <c r="T2" s="79">
        <v>2021.0</v>
      </c>
      <c r="U2" s="79">
        <v>2023.0</v>
      </c>
      <c r="V2" s="79">
        <v>2025.0</v>
      </c>
      <c r="W2" s="75"/>
      <c r="X2" s="73"/>
      <c r="Y2" s="74"/>
      <c r="Z2" s="75"/>
      <c r="AA2" s="79">
        <v>2011.0</v>
      </c>
      <c r="AB2" s="79">
        <v>2013.0</v>
      </c>
      <c r="AC2" s="79">
        <v>2015.0</v>
      </c>
      <c r="AD2" s="79">
        <v>2017.0</v>
      </c>
      <c r="AE2" s="79">
        <v>2019.0</v>
      </c>
      <c r="AF2" s="79">
        <v>2021.0</v>
      </c>
      <c r="AG2" s="79">
        <v>2023.0</v>
      </c>
      <c r="AH2" s="79">
        <v>2025.0</v>
      </c>
      <c r="AI2" s="75"/>
      <c r="AJ2" s="73"/>
      <c r="AK2" s="74"/>
      <c r="AL2" s="75"/>
      <c r="AM2" s="79">
        <v>2011.0</v>
      </c>
      <c r="AN2" s="79">
        <v>2013.0</v>
      </c>
      <c r="AO2" s="79">
        <v>2015.0</v>
      </c>
      <c r="AP2" s="79">
        <v>2017.0</v>
      </c>
      <c r="AQ2" s="79">
        <v>2019.0</v>
      </c>
      <c r="AR2" s="79">
        <v>2021.0</v>
      </c>
      <c r="AS2" s="79">
        <v>2023.0</v>
      </c>
      <c r="AT2" s="79">
        <v>2025.0</v>
      </c>
      <c r="AU2" s="75"/>
      <c r="AV2" s="73"/>
      <c r="AW2" s="74"/>
      <c r="AX2" s="75"/>
      <c r="AY2" s="79">
        <v>2011.0</v>
      </c>
      <c r="AZ2" s="79">
        <v>2013.0</v>
      </c>
      <c r="BA2" s="79">
        <v>2015.0</v>
      </c>
      <c r="BB2" s="79">
        <v>2017.0</v>
      </c>
      <c r="BC2" s="79">
        <v>2019.0</v>
      </c>
      <c r="BD2" s="79">
        <v>2021.0</v>
      </c>
      <c r="BE2" s="79">
        <v>2023.0</v>
      </c>
      <c r="BF2" s="79">
        <v>2025.0</v>
      </c>
      <c r="BG2" s="75"/>
      <c r="BH2" s="73"/>
      <c r="BI2" s="74"/>
      <c r="BJ2" s="75"/>
      <c r="BK2" s="79">
        <v>2011.0</v>
      </c>
      <c r="BL2" s="79">
        <v>2013.0</v>
      </c>
      <c r="BM2" s="79">
        <v>2015.0</v>
      </c>
      <c r="BN2" s="79">
        <v>2017.0</v>
      </c>
      <c r="BO2" s="79">
        <v>2019.0</v>
      </c>
      <c r="BP2" s="79">
        <v>2021.0</v>
      </c>
      <c r="BQ2" s="79">
        <v>2023.0</v>
      </c>
      <c r="BR2" s="79">
        <v>2025.0</v>
      </c>
      <c r="BS2" s="75"/>
      <c r="BT2" s="73"/>
      <c r="BU2" s="74"/>
      <c r="BV2" s="75"/>
      <c r="BW2" s="79">
        <v>2011.0</v>
      </c>
      <c r="BX2" s="79">
        <v>2013.0</v>
      </c>
      <c r="BY2" s="79">
        <v>2015.0</v>
      </c>
      <c r="BZ2" s="79">
        <v>2017.0</v>
      </c>
      <c r="CA2" s="79">
        <v>2019.0</v>
      </c>
      <c r="CB2" s="79">
        <v>2021.0</v>
      </c>
      <c r="CC2" s="79">
        <v>2023.0</v>
      </c>
      <c r="CD2" s="79">
        <v>2025.0</v>
      </c>
      <c r="CE2" s="75"/>
      <c r="CF2" s="73"/>
      <c r="CG2" s="74"/>
      <c r="CH2" s="75"/>
      <c r="CI2" s="79">
        <v>2011.0</v>
      </c>
      <c r="CJ2" s="79">
        <v>2013.0</v>
      </c>
      <c r="CK2" s="79">
        <v>2015.0</v>
      </c>
      <c r="CL2" s="79">
        <v>2017.0</v>
      </c>
      <c r="CM2" s="79">
        <v>2019.0</v>
      </c>
      <c r="CN2" s="79">
        <v>2021.0</v>
      </c>
      <c r="CO2" s="79">
        <v>2023.0</v>
      </c>
      <c r="CP2" s="79">
        <v>2025.0</v>
      </c>
      <c r="CQ2" s="75"/>
      <c r="CR2" s="73"/>
      <c r="CS2" s="74"/>
      <c r="CT2" s="75"/>
      <c r="CU2" s="79">
        <v>2011.0</v>
      </c>
      <c r="CV2" s="79">
        <v>2013.0</v>
      </c>
      <c r="CW2" s="79">
        <v>2015.0</v>
      </c>
      <c r="CX2" s="79">
        <v>2017.0</v>
      </c>
      <c r="CY2" s="79">
        <v>2019.0</v>
      </c>
      <c r="CZ2" s="79">
        <v>2021.0</v>
      </c>
      <c r="DA2" s="79">
        <v>2023.0</v>
      </c>
      <c r="DB2" s="79">
        <v>2025.0</v>
      </c>
      <c r="DC2" s="75"/>
      <c r="DD2" s="73"/>
      <c r="DE2" s="74"/>
      <c r="DF2" s="75"/>
      <c r="DG2" s="79">
        <v>2011.0</v>
      </c>
      <c r="DH2" s="79">
        <v>2013.0</v>
      </c>
      <c r="DI2" s="79">
        <v>2015.0</v>
      </c>
      <c r="DJ2" s="79">
        <v>2017.0</v>
      </c>
      <c r="DK2" s="79">
        <v>2019.0</v>
      </c>
      <c r="DL2" s="79">
        <v>2021.0</v>
      </c>
      <c r="DM2" s="79">
        <v>2023.0</v>
      </c>
      <c r="DN2" s="79">
        <v>2025.0</v>
      </c>
      <c r="DO2" s="75"/>
      <c r="DP2" s="73"/>
      <c r="DQ2" s="74"/>
      <c r="DR2" s="75"/>
      <c r="DS2" s="79">
        <v>2011.0</v>
      </c>
      <c r="DT2" s="79">
        <v>2013.0</v>
      </c>
      <c r="DU2" s="79">
        <v>2015.0</v>
      </c>
      <c r="DV2" s="79">
        <v>2017.0</v>
      </c>
      <c r="DW2" s="79">
        <v>2019.0</v>
      </c>
      <c r="DX2" s="79">
        <v>2021.0</v>
      </c>
      <c r="DY2" s="79">
        <v>2023.0</v>
      </c>
      <c r="DZ2" s="79">
        <v>2025.0</v>
      </c>
      <c r="EA2" s="75"/>
      <c r="EB2" s="73"/>
      <c r="EC2" s="74"/>
      <c r="ED2" s="75"/>
      <c r="EE2" s="79">
        <v>2011.0</v>
      </c>
      <c r="EF2" s="79">
        <v>2013.0</v>
      </c>
      <c r="EG2" s="79">
        <v>2015.0</v>
      </c>
      <c r="EH2" s="79">
        <v>2017.0</v>
      </c>
      <c r="EI2" s="79">
        <v>2019.0</v>
      </c>
      <c r="EJ2" s="79">
        <v>2021.0</v>
      </c>
      <c r="EK2" s="79">
        <v>2023.0</v>
      </c>
      <c r="EL2" s="79">
        <v>2025.0</v>
      </c>
      <c r="EM2" s="75"/>
      <c r="EN2" s="73"/>
      <c r="EO2" s="74"/>
      <c r="EP2" s="75"/>
      <c r="EQ2" s="79">
        <v>2011.0</v>
      </c>
      <c r="ER2" s="79">
        <v>2013.0</v>
      </c>
      <c r="ES2" s="79">
        <v>2015.0</v>
      </c>
      <c r="ET2" s="79">
        <v>2017.0</v>
      </c>
      <c r="EU2" s="79">
        <v>2019.0</v>
      </c>
      <c r="EV2" s="79">
        <v>2021.0</v>
      </c>
      <c r="EW2" s="79">
        <v>2023.0</v>
      </c>
      <c r="EX2" s="79">
        <v>2025.0</v>
      </c>
      <c r="EY2" s="75"/>
      <c r="EZ2" s="73"/>
      <c r="FA2" s="74"/>
      <c r="FB2" s="75"/>
      <c r="FC2" s="79">
        <v>2011.0</v>
      </c>
      <c r="FD2" s="79">
        <v>2013.0</v>
      </c>
      <c r="FE2" s="79">
        <v>2015.0</v>
      </c>
      <c r="FF2" s="79">
        <v>2017.0</v>
      </c>
      <c r="FG2" s="79">
        <v>2019.0</v>
      </c>
      <c r="FH2" s="79">
        <v>2021.0</v>
      </c>
      <c r="FI2" s="79">
        <v>2023.0</v>
      </c>
      <c r="FJ2" s="79">
        <v>2025.0</v>
      </c>
      <c r="FK2" s="75"/>
      <c r="FL2" s="73"/>
      <c r="FM2" s="74"/>
      <c r="FN2" s="75"/>
      <c r="FO2" s="79">
        <v>2011.0</v>
      </c>
      <c r="FP2" s="79">
        <v>2013.0</v>
      </c>
      <c r="FQ2" s="79">
        <v>2015.0</v>
      </c>
      <c r="FR2" s="79">
        <v>2017.0</v>
      </c>
      <c r="FS2" s="79">
        <v>2019.0</v>
      </c>
      <c r="FT2" s="79">
        <v>2021.0</v>
      </c>
      <c r="FU2" s="79">
        <v>2023.0</v>
      </c>
      <c r="FV2" s="79">
        <v>2025.0</v>
      </c>
      <c r="FW2" s="75"/>
      <c r="FX2" s="73"/>
      <c r="FY2" s="74"/>
      <c r="FZ2" s="75"/>
      <c r="GA2" s="79">
        <v>2011.0</v>
      </c>
      <c r="GB2" s="79">
        <v>2013.0</v>
      </c>
      <c r="GC2" s="79">
        <v>2015.0</v>
      </c>
      <c r="GD2" s="79">
        <v>2017.0</v>
      </c>
      <c r="GE2" s="79">
        <v>2019.0</v>
      </c>
      <c r="GF2" s="79">
        <v>2021.0</v>
      </c>
      <c r="GG2" s="79">
        <v>2023.0</v>
      </c>
      <c r="GH2" s="79">
        <v>2025.0</v>
      </c>
      <c r="GI2" s="75"/>
      <c r="GJ2" s="73"/>
      <c r="GK2" s="74"/>
      <c r="GL2" s="75"/>
      <c r="GM2" s="79">
        <v>2011.0</v>
      </c>
      <c r="GN2" s="79">
        <v>2013.0</v>
      </c>
      <c r="GO2" s="79">
        <v>2015.0</v>
      </c>
      <c r="GP2" s="79">
        <v>2017.0</v>
      </c>
      <c r="GQ2" s="79">
        <v>2019.0</v>
      </c>
      <c r="GR2" s="79">
        <v>2021.0</v>
      </c>
      <c r="GS2" s="79">
        <v>2023.0</v>
      </c>
      <c r="GT2" s="79">
        <v>2025.0</v>
      </c>
      <c r="GU2" s="75"/>
      <c r="GV2" s="73"/>
      <c r="GW2" s="74"/>
      <c r="GX2" s="75"/>
      <c r="GY2" s="79">
        <v>2011.0</v>
      </c>
      <c r="GZ2" s="79">
        <v>2013.0</v>
      </c>
      <c r="HA2" s="79">
        <v>2015.0</v>
      </c>
      <c r="HB2" s="79">
        <v>2017.0</v>
      </c>
      <c r="HC2" s="79">
        <v>2019.0</v>
      </c>
      <c r="HD2" s="79">
        <v>2021.0</v>
      </c>
      <c r="HE2" s="79">
        <v>2023.0</v>
      </c>
      <c r="HF2" s="79">
        <v>2025.0</v>
      </c>
      <c r="HG2" s="75"/>
      <c r="HH2" s="73"/>
      <c r="HI2" s="76"/>
    </row>
    <row r="3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81"/>
      <c r="M3" s="74"/>
      <c r="N3" s="75"/>
      <c r="O3" s="75"/>
      <c r="P3" s="75"/>
      <c r="Q3" s="75"/>
      <c r="R3" s="75"/>
      <c r="S3" s="75"/>
      <c r="T3" s="75"/>
      <c r="U3" s="75"/>
      <c r="V3" s="75"/>
      <c r="W3" s="75"/>
      <c r="X3" s="81"/>
      <c r="Y3" s="74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81"/>
      <c r="AK3" s="74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81"/>
      <c r="AW3" s="74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81"/>
      <c r="BI3" s="74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81"/>
      <c r="BU3" s="74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81"/>
      <c r="CG3" s="74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81"/>
      <c r="CS3" s="74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81"/>
      <c r="DE3" s="74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81"/>
      <c r="DQ3" s="74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81"/>
      <c r="EC3" s="74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81"/>
      <c r="EO3" s="74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81"/>
      <c r="FA3" s="74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81"/>
      <c r="FM3" s="74"/>
      <c r="FN3" s="75"/>
      <c r="FO3" s="75"/>
      <c r="FP3" s="75"/>
      <c r="FQ3" s="75"/>
      <c r="FR3" s="75"/>
      <c r="FS3" s="75"/>
      <c r="FT3" s="75"/>
      <c r="FU3" s="75"/>
      <c r="FV3" s="75"/>
      <c r="FW3" s="75"/>
      <c r="FX3" s="81"/>
      <c r="FY3" s="74"/>
      <c r="FZ3" s="75"/>
      <c r="GA3" s="75"/>
      <c r="GB3" s="75"/>
      <c r="GC3" s="75"/>
      <c r="GD3" s="75"/>
      <c r="GE3" s="75"/>
      <c r="GF3" s="75"/>
      <c r="GG3" s="75"/>
      <c r="GH3" s="75"/>
      <c r="GI3" s="75"/>
      <c r="GJ3" s="81"/>
      <c r="GK3" s="74"/>
      <c r="GL3" s="75"/>
      <c r="GM3" s="75"/>
      <c r="GN3" s="75"/>
      <c r="GO3" s="75"/>
      <c r="GP3" s="75"/>
      <c r="GQ3" s="75"/>
      <c r="GR3" s="75"/>
      <c r="GS3" s="75"/>
      <c r="GT3" s="75"/>
      <c r="GU3" s="75"/>
      <c r="GV3" s="81"/>
      <c r="GW3" s="74"/>
      <c r="GX3" s="75"/>
      <c r="GY3" s="75"/>
      <c r="GZ3" s="75"/>
      <c r="HA3" s="75"/>
      <c r="HB3" s="75"/>
      <c r="HC3" s="75"/>
      <c r="HD3" s="75"/>
      <c r="HE3" s="75"/>
      <c r="HF3" s="75"/>
      <c r="HG3" s="75"/>
      <c r="HH3" s="81"/>
      <c r="HI3" s="75"/>
    </row>
    <row r="4" ht="15.0" customHeight="1">
      <c r="A4" s="376"/>
      <c r="B4" s="377" t="s">
        <v>49</v>
      </c>
      <c r="C4" s="378" t="s">
        <v>50</v>
      </c>
      <c r="D4" s="379"/>
      <c r="E4" s="379"/>
      <c r="F4" s="379"/>
      <c r="G4" s="377" t="s">
        <v>51</v>
      </c>
      <c r="H4" s="379"/>
      <c r="I4" s="380"/>
      <c r="J4" s="87"/>
      <c r="K4" s="88" t="s">
        <v>83</v>
      </c>
      <c r="L4" s="89"/>
      <c r="M4" s="376"/>
      <c r="N4" s="377" t="s">
        <v>49</v>
      </c>
      <c r="O4" s="378" t="s">
        <v>50</v>
      </c>
      <c r="P4" s="379"/>
      <c r="Q4" s="379"/>
      <c r="R4" s="379"/>
      <c r="S4" s="377" t="s">
        <v>51</v>
      </c>
      <c r="T4" s="379"/>
      <c r="U4" s="380"/>
      <c r="V4" s="87"/>
      <c r="W4" s="88" t="s">
        <v>83</v>
      </c>
      <c r="X4" s="89"/>
      <c r="Y4" s="376"/>
      <c r="Z4" s="377" t="s">
        <v>49</v>
      </c>
      <c r="AA4" s="378" t="s">
        <v>50</v>
      </c>
      <c r="AB4" s="379"/>
      <c r="AC4" s="379"/>
      <c r="AD4" s="379"/>
      <c r="AE4" s="377" t="s">
        <v>51</v>
      </c>
      <c r="AF4" s="379"/>
      <c r="AG4" s="380"/>
      <c r="AH4" s="87"/>
      <c r="AI4" s="88" t="s">
        <v>83</v>
      </c>
      <c r="AJ4" s="89"/>
      <c r="AK4" s="376"/>
      <c r="AL4" s="377" t="s">
        <v>49</v>
      </c>
      <c r="AM4" s="378" t="s">
        <v>50</v>
      </c>
      <c r="AN4" s="379"/>
      <c r="AO4" s="379"/>
      <c r="AP4" s="379"/>
      <c r="AQ4" s="377" t="s">
        <v>51</v>
      </c>
      <c r="AR4" s="379"/>
      <c r="AS4" s="380"/>
      <c r="AT4" s="87"/>
      <c r="AU4" s="88" t="s">
        <v>83</v>
      </c>
      <c r="AV4" s="89"/>
      <c r="AW4" s="376"/>
      <c r="AX4" s="377" t="s">
        <v>49</v>
      </c>
      <c r="AY4" s="378" t="s">
        <v>50</v>
      </c>
      <c r="AZ4" s="379"/>
      <c r="BA4" s="379"/>
      <c r="BB4" s="379"/>
      <c r="BC4" s="377" t="s">
        <v>51</v>
      </c>
      <c r="BD4" s="379"/>
      <c r="BE4" s="380"/>
      <c r="BF4" s="87"/>
      <c r="BG4" s="88" t="s">
        <v>83</v>
      </c>
      <c r="BH4" s="89"/>
      <c r="BI4" s="376"/>
      <c r="BJ4" s="377" t="s">
        <v>49</v>
      </c>
      <c r="BK4" s="378" t="s">
        <v>50</v>
      </c>
      <c r="BL4" s="379"/>
      <c r="BM4" s="379"/>
      <c r="BN4" s="379"/>
      <c r="BO4" s="377" t="s">
        <v>51</v>
      </c>
      <c r="BP4" s="379"/>
      <c r="BQ4" s="380"/>
      <c r="BR4" s="87"/>
      <c r="BS4" s="88" t="s">
        <v>83</v>
      </c>
      <c r="BT4" s="89"/>
      <c r="BU4" s="376"/>
      <c r="BV4" s="377" t="s">
        <v>49</v>
      </c>
      <c r="BW4" s="378" t="s">
        <v>50</v>
      </c>
      <c r="BX4" s="379"/>
      <c r="BY4" s="379"/>
      <c r="BZ4" s="379"/>
      <c r="CA4" s="377" t="s">
        <v>51</v>
      </c>
      <c r="CB4" s="379"/>
      <c r="CC4" s="380"/>
      <c r="CD4" s="87"/>
      <c r="CE4" s="88" t="s">
        <v>83</v>
      </c>
      <c r="CF4" s="89"/>
      <c r="CG4" s="376"/>
      <c r="CH4" s="377" t="s">
        <v>49</v>
      </c>
      <c r="CI4" s="378" t="s">
        <v>50</v>
      </c>
      <c r="CJ4" s="379"/>
      <c r="CK4" s="379"/>
      <c r="CL4" s="379"/>
      <c r="CM4" s="377" t="s">
        <v>51</v>
      </c>
      <c r="CN4" s="379"/>
      <c r="CO4" s="380"/>
      <c r="CP4" s="87"/>
      <c r="CQ4" s="88" t="s">
        <v>83</v>
      </c>
      <c r="CR4" s="89"/>
      <c r="CS4" s="376"/>
      <c r="CT4" s="377" t="s">
        <v>49</v>
      </c>
      <c r="CU4" s="378" t="s">
        <v>50</v>
      </c>
      <c r="CV4" s="379"/>
      <c r="CW4" s="379"/>
      <c r="CX4" s="379"/>
      <c r="CY4" s="377" t="s">
        <v>51</v>
      </c>
      <c r="CZ4" s="379"/>
      <c r="DA4" s="380"/>
      <c r="DB4" s="87"/>
      <c r="DC4" s="88" t="s">
        <v>83</v>
      </c>
      <c r="DD4" s="89"/>
      <c r="DE4" s="376"/>
      <c r="DF4" s="377" t="s">
        <v>49</v>
      </c>
      <c r="DG4" s="378" t="s">
        <v>50</v>
      </c>
      <c r="DH4" s="379"/>
      <c r="DI4" s="379"/>
      <c r="DJ4" s="379"/>
      <c r="DK4" s="377" t="s">
        <v>51</v>
      </c>
      <c r="DL4" s="379"/>
      <c r="DM4" s="380"/>
      <c r="DN4" s="87"/>
      <c r="DO4" s="88" t="s">
        <v>83</v>
      </c>
      <c r="DP4" s="89"/>
      <c r="DQ4" s="376"/>
      <c r="DR4" s="377" t="s">
        <v>49</v>
      </c>
      <c r="DS4" s="378" t="s">
        <v>50</v>
      </c>
      <c r="DT4" s="379"/>
      <c r="DU4" s="379"/>
      <c r="DV4" s="379"/>
      <c r="DW4" s="377" t="s">
        <v>51</v>
      </c>
      <c r="DX4" s="379"/>
      <c r="DY4" s="380"/>
      <c r="DZ4" s="87"/>
      <c r="EA4" s="88" t="s">
        <v>83</v>
      </c>
      <c r="EB4" s="89"/>
      <c r="EC4" s="376"/>
      <c r="ED4" s="377" t="s">
        <v>49</v>
      </c>
      <c r="EE4" s="378" t="s">
        <v>50</v>
      </c>
      <c r="EF4" s="379"/>
      <c r="EG4" s="379"/>
      <c r="EH4" s="379"/>
      <c r="EI4" s="377" t="s">
        <v>51</v>
      </c>
      <c r="EJ4" s="379"/>
      <c r="EK4" s="380"/>
      <c r="EL4" s="87"/>
      <c r="EM4" s="88" t="s">
        <v>83</v>
      </c>
      <c r="EN4" s="89"/>
      <c r="EO4" s="376"/>
      <c r="EP4" s="377" t="s">
        <v>49</v>
      </c>
      <c r="EQ4" s="378" t="s">
        <v>50</v>
      </c>
      <c r="ER4" s="379"/>
      <c r="ES4" s="379"/>
      <c r="ET4" s="379"/>
      <c r="EU4" s="377" t="s">
        <v>51</v>
      </c>
      <c r="EV4" s="379"/>
      <c r="EW4" s="380"/>
      <c r="EX4" s="87"/>
      <c r="EY4" s="88" t="s">
        <v>83</v>
      </c>
      <c r="EZ4" s="89"/>
      <c r="FA4" s="376"/>
      <c r="FB4" s="377" t="s">
        <v>49</v>
      </c>
      <c r="FC4" s="378" t="s">
        <v>50</v>
      </c>
      <c r="FD4" s="379"/>
      <c r="FE4" s="379"/>
      <c r="FF4" s="379"/>
      <c r="FG4" s="377" t="s">
        <v>51</v>
      </c>
      <c r="FH4" s="379"/>
      <c r="FI4" s="380"/>
      <c r="FJ4" s="87"/>
      <c r="FK4" s="88" t="s">
        <v>83</v>
      </c>
      <c r="FL4" s="89"/>
      <c r="FM4" s="376"/>
      <c r="FN4" s="377" t="s">
        <v>49</v>
      </c>
      <c r="FO4" s="378" t="s">
        <v>50</v>
      </c>
      <c r="FP4" s="379"/>
      <c r="FQ4" s="379"/>
      <c r="FR4" s="379"/>
      <c r="FS4" s="377" t="s">
        <v>51</v>
      </c>
      <c r="FT4" s="379"/>
      <c r="FU4" s="380"/>
      <c r="FV4" s="87"/>
      <c r="FW4" s="88" t="s">
        <v>83</v>
      </c>
      <c r="FX4" s="89"/>
      <c r="FY4" s="376"/>
      <c r="FZ4" s="377" t="s">
        <v>49</v>
      </c>
      <c r="GA4" s="378" t="s">
        <v>50</v>
      </c>
      <c r="GB4" s="379"/>
      <c r="GC4" s="379"/>
      <c r="GD4" s="379"/>
      <c r="GE4" s="377" t="s">
        <v>51</v>
      </c>
      <c r="GF4" s="379"/>
      <c r="GG4" s="380"/>
      <c r="GH4" s="87"/>
      <c r="GI4" s="88" t="s">
        <v>83</v>
      </c>
      <c r="GJ4" s="89"/>
      <c r="GK4" s="376"/>
      <c r="GL4" s="377" t="s">
        <v>49</v>
      </c>
      <c r="GM4" s="378" t="s">
        <v>50</v>
      </c>
      <c r="GN4" s="379"/>
      <c r="GO4" s="379"/>
      <c r="GP4" s="379"/>
      <c r="GQ4" s="377" t="s">
        <v>51</v>
      </c>
      <c r="GR4" s="379"/>
      <c r="GS4" s="380"/>
      <c r="GT4" s="87"/>
      <c r="GU4" s="88" t="s">
        <v>83</v>
      </c>
      <c r="GV4" s="89"/>
      <c r="GW4" s="376"/>
      <c r="GX4" s="377" t="s">
        <v>49</v>
      </c>
      <c r="GY4" s="378" t="s">
        <v>50</v>
      </c>
      <c r="GZ4" s="379"/>
      <c r="HA4" s="379"/>
      <c r="HB4" s="379"/>
      <c r="HC4" s="377" t="s">
        <v>51</v>
      </c>
      <c r="HD4" s="379"/>
      <c r="HE4" s="380"/>
      <c r="HF4" s="87"/>
      <c r="HG4" s="88" t="s">
        <v>83</v>
      </c>
      <c r="HH4" s="89"/>
      <c r="HI4" s="87"/>
    </row>
    <row r="5" ht="15.0" customHeight="1">
      <c r="A5" s="381"/>
      <c r="B5" s="382" t="s">
        <v>23</v>
      </c>
      <c r="C5" s="383" t="s">
        <v>53</v>
      </c>
      <c r="D5" s="383"/>
      <c r="E5" s="383"/>
      <c r="F5" s="383"/>
      <c r="G5" s="382" t="s">
        <v>54</v>
      </c>
      <c r="H5" s="383"/>
      <c r="I5" s="384"/>
      <c r="J5" s="87"/>
      <c r="K5" s="94"/>
      <c r="L5" s="89"/>
      <c r="M5" s="381"/>
      <c r="N5" s="382" t="s">
        <v>23</v>
      </c>
      <c r="O5" s="383" t="s">
        <v>53</v>
      </c>
      <c r="P5" s="383"/>
      <c r="Q5" s="383"/>
      <c r="R5" s="383"/>
      <c r="S5" s="382" t="s">
        <v>54</v>
      </c>
      <c r="T5" s="383"/>
      <c r="U5" s="384"/>
      <c r="V5" s="87"/>
      <c r="W5" s="94"/>
      <c r="X5" s="89"/>
      <c r="Y5" s="381"/>
      <c r="Z5" s="382" t="s">
        <v>23</v>
      </c>
      <c r="AA5" s="383" t="s">
        <v>53</v>
      </c>
      <c r="AB5" s="383"/>
      <c r="AC5" s="383"/>
      <c r="AD5" s="383"/>
      <c r="AE5" s="382" t="s">
        <v>54</v>
      </c>
      <c r="AF5" s="383"/>
      <c r="AG5" s="384"/>
      <c r="AH5" s="87"/>
      <c r="AI5" s="94"/>
      <c r="AJ5" s="89"/>
      <c r="AK5" s="381"/>
      <c r="AL5" s="382" t="s">
        <v>23</v>
      </c>
      <c r="AM5" s="383" t="s">
        <v>53</v>
      </c>
      <c r="AN5" s="383"/>
      <c r="AO5" s="383"/>
      <c r="AP5" s="383"/>
      <c r="AQ5" s="382" t="s">
        <v>54</v>
      </c>
      <c r="AR5" s="383"/>
      <c r="AS5" s="384"/>
      <c r="AT5" s="87"/>
      <c r="AU5" s="94"/>
      <c r="AV5" s="89"/>
      <c r="AW5" s="381"/>
      <c r="AX5" s="382" t="s">
        <v>23</v>
      </c>
      <c r="AY5" s="383" t="s">
        <v>53</v>
      </c>
      <c r="AZ5" s="383"/>
      <c r="BA5" s="383"/>
      <c r="BB5" s="383"/>
      <c r="BC5" s="382" t="s">
        <v>54</v>
      </c>
      <c r="BD5" s="383"/>
      <c r="BE5" s="384"/>
      <c r="BF5" s="87"/>
      <c r="BG5" s="94"/>
      <c r="BH5" s="89"/>
      <c r="BI5" s="381"/>
      <c r="BJ5" s="382" t="s">
        <v>23</v>
      </c>
      <c r="BK5" s="383" t="s">
        <v>53</v>
      </c>
      <c r="BL5" s="383"/>
      <c r="BM5" s="383"/>
      <c r="BN5" s="383"/>
      <c r="BO5" s="382" t="s">
        <v>54</v>
      </c>
      <c r="BP5" s="383"/>
      <c r="BQ5" s="384"/>
      <c r="BR5" s="87"/>
      <c r="BS5" s="94"/>
      <c r="BT5" s="89"/>
      <c r="BU5" s="381"/>
      <c r="BV5" s="382" t="s">
        <v>23</v>
      </c>
      <c r="BW5" s="383" t="s">
        <v>53</v>
      </c>
      <c r="BX5" s="383"/>
      <c r="BY5" s="383"/>
      <c r="BZ5" s="383"/>
      <c r="CA5" s="382" t="s">
        <v>54</v>
      </c>
      <c r="CB5" s="383"/>
      <c r="CC5" s="384"/>
      <c r="CD5" s="87"/>
      <c r="CE5" s="94"/>
      <c r="CF5" s="89"/>
      <c r="CG5" s="381"/>
      <c r="CH5" s="382" t="s">
        <v>23</v>
      </c>
      <c r="CI5" s="383" t="s">
        <v>53</v>
      </c>
      <c r="CJ5" s="383"/>
      <c r="CK5" s="383"/>
      <c r="CL5" s="383"/>
      <c r="CM5" s="382" t="s">
        <v>54</v>
      </c>
      <c r="CN5" s="383"/>
      <c r="CO5" s="384"/>
      <c r="CP5" s="87"/>
      <c r="CQ5" s="94"/>
      <c r="CR5" s="89"/>
      <c r="CS5" s="381"/>
      <c r="CT5" s="382" t="s">
        <v>23</v>
      </c>
      <c r="CU5" s="383" t="s">
        <v>53</v>
      </c>
      <c r="CV5" s="383"/>
      <c r="CW5" s="383"/>
      <c r="CX5" s="383"/>
      <c r="CY5" s="382" t="s">
        <v>54</v>
      </c>
      <c r="CZ5" s="383"/>
      <c r="DA5" s="384"/>
      <c r="DB5" s="87"/>
      <c r="DC5" s="94"/>
      <c r="DD5" s="89"/>
      <c r="DE5" s="381"/>
      <c r="DF5" s="382" t="s">
        <v>23</v>
      </c>
      <c r="DG5" s="383" t="s">
        <v>53</v>
      </c>
      <c r="DH5" s="383"/>
      <c r="DI5" s="383"/>
      <c r="DJ5" s="383"/>
      <c r="DK5" s="382" t="s">
        <v>54</v>
      </c>
      <c r="DL5" s="383"/>
      <c r="DM5" s="384"/>
      <c r="DN5" s="87"/>
      <c r="DO5" s="94"/>
      <c r="DP5" s="89"/>
      <c r="DQ5" s="381"/>
      <c r="DR5" s="382" t="s">
        <v>23</v>
      </c>
      <c r="DS5" s="383" t="s">
        <v>53</v>
      </c>
      <c r="DT5" s="383"/>
      <c r="DU5" s="383"/>
      <c r="DV5" s="383"/>
      <c r="DW5" s="382" t="s">
        <v>54</v>
      </c>
      <c r="DX5" s="383"/>
      <c r="DY5" s="384"/>
      <c r="DZ5" s="87"/>
      <c r="EA5" s="94"/>
      <c r="EB5" s="89"/>
      <c r="EC5" s="381"/>
      <c r="ED5" s="382" t="s">
        <v>23</v>
      </c>
      <c r="EE5" s="383" t="s">
        <v>53</v>
      </c>
      <c r="EF5" s="383"/>
      <c r="EG5" s="383"/>
      <c r="EH5" s="383"/>
      <c r="EI5" s="382" t="s">
        <v>54</v>
      </c>
      <c r="EJ5" s="383"/>
      <c r="EK5" s="384"/>
      <c r="EL5" s="87"/>
      <c r="EM5" s="94"/>
      <c r="EN5" s="89"/>
      <c r="EO5" s="381"/>
      <c r="EP5" s="382" t="s">
        <v>23</v>
      </c>
      <c r="EQ5" s="383" t="s">
        <v>53</v>
      </c>
      <c r="ER5" s="383"/>
      <c r="ES5" s="383"/>
      <c r="ET5" s="383"/>
      <c r="EU5" s="382" t="s">
        <v>54</v>
      </c>
      <c r="EV5" s="383"/>
      <c r="EW5" s="384"/>
      <c r="EX5" s="87"/>
      <c r="EY5" s="94"/>
      <c r="EZ5" s="89"/>
      <c r="FA5" s="381"/>
      <c r="FB5" s="382" t="s">
        <v>23</v>
      </c>
      <c r="FC5" s="383" t="s">
        <v>53</v>
      </c>
      <c r="FD5" s="383"/>
      <c r="FE5" s="383"/>
      <c r="FF5" s="383"/>
      <c r="FG5" s="382" t="s">
        <v>54</v>
      </c>
      <c r="FH5" s="383"/>
      <c r="FI5" s="384"/>
      <c r="FJ5" s="87"/>
      <c r="FK5" s="94"/>
      <c r="FL5" s="89"/>
      <c r="FM5" s="381"/>
      <c r="FN5" s="382" t="s">
        <v>23</v>
      </c>
      <c r="FO5" s="383" t="s">
        <v>53</v>
      </c>
      <c r="FP5" s="383"/>
      <c r="FQ5" s="383"/>
      <c r="FR5" s="383"/>
      <c r="FS5" s="382" t="s">
        <v>54</v>
      </c>
      <c r="FT5" s="383"/>
      <c r="FU5" s="384"/>
      <c r="FV5" s="87"/>
      <c r="FW5" s="94"/>
      <c r="FX5" s="89"/>
      <c r="FY5" s="381"/>
      <c r="FZ5" s="382" t="s">
        <v>23</v>
      </c>
      <c r="GA5" s="383" t="s">
        <v>53</v>
      </c>
      <c r="GB5" s="383"/>
      <c r="GC5" s="383"/>
      <c r="GD5" s="383"/>
      <c r="GE5" s="382" t="s">
        <v>54</v>
      </c>
      <c r="GF5" s="383"/>
      <c r="GG5" s="384"/>
      <c r="GH5" s="87"/>
      <c r="GI5" s="94"/>
      <c r="GJ5" s="89"/>
      <c r="GK5" s="381"/>
      <c r="GL5" s="382" t="s">
        <v>23</v>
      </c>
      <c r="GM5" s="383" t="s">
        <v>53</v>
      </c>
      <c r="GN5" s="383"/>
      <c r="GO5" s="383"/>
      <c r="GP5" s="383"/>
      <c r="GQ5" s="382" t="s">
        <v>54</v>
      </c>
      <c r="GR5" s="383"/>
      <c r="GS5" s="384"/>
      <c r="GT5" s="87"/>
      <c r="GU5" s="94"/>
      <c r="GV5" s="89"/>
      <c r="GW5" s="381"/>
      <c r="GX5" s="382" t="s">
        <v>23</v>
      </c>
      <c r="GY5" s="383" t="s">
        <v>53</v>
      </c>
      <c r="GZ5" s="383"/>
      <c r="HA5" s="383"/>
      <c r="HB5" s="383"/>
      <c r="HC5" s="382" t="s">
        <v>54</v>
      </c>
      <c r="HD5" s="383"/>
      <c r="HE5" s="384"/>
      <c r="HF5" s="87"/>
      <c r="HG5" s="94"/>
      <c r="HH5" s="89"/>
      <c r="HI5" s="87"/>
    </row>
    <row r="6" ht="15.0" customHeight="1">
      <c r="A6" s="381"/>
      <c r="B6" s="382" t="s">
        <v>55</v>
      </c>
      <c r="C6" s="383" t="s">
        <v>56</v>
      </c>
      <c r="D6" s="383"/>
      <c r="E6" s="383"/>
      <c r="F6" s="383"/>
      <c r="G6" s="382" t="s">
        <v>84</v>
      </c>
      <c r="H6" s="383"/>
      <c r="I6" s="384"/>
      <c r="J6" s="87"/>
      <c r="K6" s="95">
        <v>2010.0</v>
      </c>
      <c r="L6" s="89"/>
      <c r="M6" s="381"/>
      <c r="N6" s="382" t="s">
        <v>55</v>
      </c>
      <c r="O6" s="383" t="s">
        <v>56</v>
      </c>
      <c r="P6" s="383"/>
      <c r="Q6" s="383"/>
      <c r="R6" s="383"/>
      <c r="S6" s="382" t="s">
        <v>84</v>
      </c>
      <c r="T6" s="383"/>
      <c r="U6" s="384"/>
      <c r="V6" s="87"/>
      <c r="W6" s="95">
        <f>K6+1</f>
        <v>2011</v>
      </c>
      <c r="X6" s="89"/>
      <c r="Y6" s="381"/>
      <c r="Z6" s="382" t="s">
        <v>55</v>
      </c>
      <c r="AA6" s="383" t="s">
        <v>56</v>
      </c>
      <c r="AB6" s="383"/>
      <c r="AC6" s="383"/>
      <c r="AD6" s="383"/>
      <c r="AE6" s="382" t="s">
        <v>84</v>
      </c>
      <c r="AF6" s="383"/>
      <c r="AG6" s="384"/>
      <c r="AH6" s="87"/>
      <c r="AI6" s="95">
        <f>W6+1</f>
        <v>2012</v>
      </c>
      <c r="AJ6" s="89"/>
      <c r="AK6" s="381"/>
      <c r="AL6" s="382" t="s">
        <v>55</v>
      </c>
      <c r="AM6" s="383" t="s">
        <v>56</v>
      </c>
      <c r="AN6" s="383"/>
      <c r="AO6" s="383"/>
      <c r="AP6" s="383"/>
      <c r="AQ6" s="382" t="s">
        <v>84</v>
      </c>
      <c r="AR6" s="383"/>
      <c r="AS6" s="384"/>
      <c r="AT6" s="87"/>
      <c r="AU6" s="95">
        <f>AI6+1</f>
        <v>2013</v>
      </c>
      <c r="AV6" s="89"/>
      <c r="AW6" s="381"/>
      <c r="AX6" s="382" t="s">
        <v>55</v>
      </c>
      <c r="AY6" s="383" t="s">
        <v>56</v>
      </c>
      <c r="AZ6" s="383"/>
      <c r="BA6" s="383"/>
      <c r="BB6" s="383"/>
      <c r="BC6" s="382" t="s">
        <v>84</v>
      </c>
      <c r="BD6" s="383"/>
      <c r="BE6" s="384"/>
      <c r="BF6" s="87"/>
      <c r="BG6" s="95">
        <f>AU6+1</f>
        <v>2014</v>
      </c>
      <c r="BH6" s="89"/>
      <c r="BI6" s="381"/>
      <c r="BJ6" s="382" t="s">
        <v>55</v>
      </c>
      <c r="BK6" s="383" t="s">
        <v>56</v>
      </c>
      <c r="BL6" s="383"/>
      <c r="BM6" s="383"/>
      <c r="BN6" s="383"/>
      <c r="BO6" s="382" t="s">
        <v>84</v>
      </c>
      <c r="BP6" s="383"/>
      <c r="BQ6" s="384"/>
      <c r="BR6" s="87"/>
      <c r="BS6" s="95">
        <f>BG6+1</f>
        <v>2015</v>
      </c>
      <c r="BT6" s="89"/>
      <c r="BU6" s="381"/>
      <c r="BV6" s="382" t="s">
        <v>55</v>
      </c>
      <c r="BW6" s="383" t="s">
        <v>56</v>
      </c>
      <c r="BX6" s="383"/>
      <c r="BY6" s="383"/>
      <c r="BZ6" s="383"/>
      <c r="CA6" s="382" t="s">
        <v>84</v>
      </c>
      <c r="CB6" s="383"/>
      <c r="CC6" s="384"/>
      <c r="CD6" s="87"/>
      <c r="CE6" s="95">
        <f>BS6+1</f>
        <v>2016</v>
      </c>
      <c r="CF6" s="89"/>
      <c r="CG6" s="381"/>
      <c r="CH6" s="382" t="s">
        <v>55</v>
      </c>
      <c r="CI6" s="383" t="s">
        <v>56</v>
      </c>
      <c r="CJ6" s="383"/>
      <c r="CK6" s="383"/>
      <c r="CL6" s="383"/>
      <c r="CM6" s="382" t="s">
        <v>84</v>
      </c>
      <c r="CN6" s="383"/>
      <c r="CO6" s="384"/>
      <c r="CP6" s="87"/>
      <c r="CQ6" s="95">
        <f>CE6+1</f>
        <v>2017</v>
      </c>
      <c r="CR6" s="89"/>
      <c r="CS6" s="381"/>
      <c r="CT6" s="382" t="s">
        <v>55</v>
      </c>
      <c r="CU6" s="383" t="s">
        <v>56</v>
      </c>
      <c r="CV6" s="383"/>
      <c r="CW6" s="383"/>
      <c r="CX6" s="383"/>
      <c r="CY6" s="382" t="s">
        <v>84</v>
      </c>
      <c r="CZ6" s="383"/>
      <c r="DA6" s="384"/>
      <c r="DB6" s="87"/>
      <c r="DC6" s="95">
        <f>CQ6+1</f>
        <v>2018</v>
      </c>
      <c r="DD6" s="89"/>
      <c r="DE6" s="381"/>
      <c r="DF6" s="382" t="s">
        <v>55</v>
      </c>
      <c r="DG6" s="383" t="s">
        <v>56</v>
      </c>
      <c r="DH6" s="383"/>
      <c r="DI6" s="383"/>
      <c r="DJ6" s="383"/>
      <c r="DK6" s="382" t="s">
        <v>84</v>
      </c>
      <c r="DL6" s="383"/>
      <c r="DM6" s="384"/>
      <c r="DN6" s="87"/>
      <c r="DO6" s="95">
        <f>DC6+1</f>
        <v>2019</v>
      </c>
      <c r="DP6" s="89"/>
      <c r="DQ6" s="381"/>
      <c r="DR6" s="382" t="s">
        <v>55</v>
      </c>
      <c r="DS6" s="383" t="s">
        <v>56</v>
      </c>
      <c r="DT6" s="383"/>
      <c r="DU6" s="383"/>
      <c r="DV6" s="383"/>
      <c r="DW6" s="382" t="s">
        <v>84</v>
      </c>
      <c r="DX6" s="383"/>
      <c r="DY6" s="384"/>
      <c r="DZ6" s="87"/>
      <c r="EA6" s="95">
        <f>DO6+1</f>
        <v>2020</v>
      </c>
      <c r="EB6" s="89"/>
      <c r="EC6" s="381"/>
      <c r="ED6" s="382" t="s">
        <v>55</v>
      </c>
      <c r="EE6" s="383" t="s">
        <v>56</v>
      </c>
      <c r="EF6" s="383"/>
      <c r="EG6" s="383"/>
      <c r="EH6" s="383"/>
      <c r="EI6" s="382" t="s">
        <v>84</v>
      </c>
      <c r="EJ6" s="383"/>
      <c r="EK6" s="384"/>
      <c r="EL6" s="87"/>
      <c r="EM6" s="95">
        <f>EA6+1</f>
        <v>2021</v>
      </c>
      <c r="EN6" s="89"/>
      <c r="EO6" s="381"/>
      <c r="EP6" s="382" t="s">
        <v>55</v>
      </c>
      <c r="EQ6" s="383" t="s">
        <v>56</v>
      </c>
      <c r="ER6" s="383"/>
      <c r="ES6" s="383"/>
      <c r="ET6" s="383"/>
      <c r="EU6" s="382" t="s">
        <v>84</v>
      </c>
      <c r="EV6" s="383"/>
      <c r="EW6" s="384"/>
      <c r="EX6" s="87"/>
      <c r="EY6" s="95">
        <f>EM6+1</f>
        <v>2022</v>
      </c>
      <c r="EZ6" s="89"/>
      <c r="FA6" s="381"/>
      <c r="FB6" s="382" t="s">
        <v>55</v>
      </c>
      <c r="FC6" s="383" t="s">
        <v>56</v>
      </c>
      <c r="FD6" s="383"/>
      <c r="FE6" s="383"/>
      <c r="FF6" s="383"/>
      <c r="FG6" s="382" t="s">
        <v>84</v>
      </c>
      <c r="FH6" s="383"/>
      <c r="FI6" s="384"/>
      <c r="FJ6" s="87"/>
      <c r="FK6" s="95">
        <f>EY6+1</f>
        <v>2023</v>
      </c>
      <c r="FL6" s="89"/>
      <c r="FM6" s="381"/>
      <c r="FN6" s="382" t="s">
        <v>55</v>
      </c>
      <c r="FO6" s="383" t="s">
        <v>56</v>
      </c>
      <c r="FP6" s="383"/>
      <c r="FQ6" s="383"/>
      <c r="FR6" s="383"/>
      <c r="FS6" s="382" t="s">
        <v>84</v>
      </c>
      <c r="FT6" s="383"/>
      <c r="FU6" s="384"/>
      <c r="FV6" s="87"/>
      <c r="FW6" s="95">
        <f>FK6+1</f>
        <v>2024</v>
      </c>
      <c r="FX6" s="89"/>
      <c r="FY6" s="381"/>
      <c r="FZ6" s="382" t="s">
        <v>55</v>
      </c>
      <c r="GA6" s="383" t="s">
        <v>56</v>
      </c>
      <c r="GB6" s="383"/>
      <c r="GC6" s="383"/>
      <c r="GD6" s="383"/>
      <c r="GE6" s="382" t="s">
        <v>84</v>
      </c>
      <c r="GF6" s="383"/>
      <c r="GG6" s="384"/>
      <c r="GH6" s="87"/>
      <c r="GI6" s="95">
        <f>FW6+1</f>
        <v>2025</v>
      </c>
      <c r="GJ6" s="89"/>
      <c r="GK6" s="381"/>
      <c r="GL6" s="382" t="s">
        <v>55</v>
      </c>
      <c r="GM6" s="383" t="s">
        <v>56</v>
      </c>
      <c r="GN6" s="383"/>
      <c r="GO6" s="383"/>
      <c r="GP6" s="383"/>
      <c r="GQ6" s="382" t="s">
        <v>84</v>
      </c>
      <c r="GR6" s="383"/>
      <c r="GS6" s="384"/>
      <c r="GT6" s="87"/>
      <c r="GU6" s="95">
        <f>GI6+1</f>
        <v>2026</v>
      </c>
      <c r="GV6" s="89"/>
      <c r="GW6" s="381"/>
      <c r="GX6" s="382" t="s">
        <v>55</v>
      </c>
      <c r="GY6" s="383" t="s">
        <v>56</v>
      </c>
      <c r="GZ6" s="383"/>
      <c r="HA6" s="383"/>
      <c r="HB6" s="383"/>
      <c r="HC6" s="382" t="s">
        <v>84</v>
      </c>
      <c r="HD6" s="383"/>
      <c r="HE6" s="384"/>
      <c r="HF6" s="87"/>
      <c r="HG6" s="95">
        <f>GU6+1</f>
        <v>2027</v>
      </c>
      <c r="HH6" s="89"/>
      <c r="HI6" s="87"/>
    </row>
    <row r="7" ht="15.0" customHeight="1">
      <c r="A7" s="381"/>
      <c r="B7" s="382" t="s">
        <v>58</v>
      </c>
      <c r="C7" s="383" t="s">
        <v>59</v>
      </c>
      <c r="D7" s="383"/>
      <c r="E7" s="383"/>
      <c r="F7" s="383"/>
      <c r="G7" s="385" t="str">
        <f>"Tahun "&amp;K$6</f>
        <v>Tahun 2010</v>
      </c>
      <c r="H7" s="383"/>
      <c r="I7" s="384"/>
      <c r="J7" s="87"/>
      <c r="K7" s="94"/>
      <c r="L7" s="89"/>
      <c r="M7" s="381"/>
      <c r="N7" s="382" t="s">
        <v>58</v>
      </c>
      <c r="O7" s="383" t="s">
        <v>59</v>
      </c>
      <c r="P7" s="383"/>
      <c r="Q7" s="383"/>
      <c r="R7" s="383"/>
      <c r="S7" s="385" t="str">
        <f>"Tahun "&amp;W$6</f>
        <v>Tahun 2011</v>
      </c>
      <c r="T7" s="383"/>
      <c r="U7" s="384"/>
      <c r="V7" s="87"/>
      <c r="W7" s="94"/>
      <c r="X7" s="89"/>
      <c r="Y7" s="381"/>
      <c r="Z7" s="382" t="s">
        <v>58</v>
      </c>
      <c r="AA7" s="383" t="s">
        <v>59</v>
      </c>
      <c r="AB7" s="383"/>
      <c r="AC7" s="383"/>
      <c r="AD7" s="383"/>
      <c r="AE7" s="385" t="str">
        <f>"Tahun "&amp;AI$6</f>
        <v>Tahun 2012</v>
      </c>
      <c r="AF7" s="383"/>
      <c r="AG7" s="384"/>
      <c r="AH7" s="87"/>
      <c r="AI7" s="94"/>
      <c r="AJ7" s="89"/>
      <c r="AK7" s="381"/>
      <c r="AL7" s="382" t="s">
        <v>58</v>
      </c>
      <c r="AM7" s="383" t="s">
        <v>59</v>
      </c>
      <c r="AN7" s="383"/>
      <c r="AO7" s="383"/>
      <c r="AP7" s="383"/>
      <c r="AQ7" s="385" t="str">
        <f>"Tahun "&amp;AU$6</f>
        <v>Tahun 2013</v>
      </c>
      <c r="AR7" s="383"/>
      <c r="AS7" s="384"/>
      <c r="AT7" s="87"/>
      <c r="AU7" s="94"/>
      <c r="AV7" s="89"/>
      <c r="AW7" s="381"/>
      <c r="AX7" s="382" t="s">
        <v>58</v>
      </c>
      <c r="AY7" s="383" t="s">
        <v>59</v>
      </c>
      <c r="AZ7" s="383"/>
      <c r="BA7" s="383"/>
      <c r="BB7" s="383"/>
      <c r="BC7" s="385" t="str">
        <f>"Tahun "&amp;BG$6</f>
        <v>Tahun 2014</v>
      </c>
      <c r="BD7" s="383"/>
      <c r="BE7" s="384"/>
      <c r="BF7" s="87"/>
      <c r="BG7" s="94"/>
      <c r="BH7" s="89"/>
      <c r="BI7" s="381"/>
      <c r="BJ7" s="382" t="s">
        <v>58</v>
      </c>
      <c r="BK7" s="383" t="s">
        <v>59</v>
      </c>
      <c r="BL7" s="383"/>
      <c r="BM7" s="383"/>
      <c r="BN7" s="383"/>
      <c r="BO7" s="385" t="str">
        <f>"Tahun "&amp;BS$6</f>
        <v>Tahun 2015</v>
      </c>
      <c r="BP7" s="383"/>
      <c r="BQ7" s="384"/>
      <c r="BR7" s="87"/>
      <c r="BS7" s="94"/>
      <c r="BT7" s="89"/>
      <c r="BU7" s="381"/>
      <c r="BV7" s="382" t="s">
        <v>58</v>
      </c>
      <c r="BW7" s="383" t="s">
        <v>59</v>
      </c>
      <c r="BX7" s="383"/>
      <c r="BY7" s="383"/>
      <c r="BZ7" s="383"/>
      <c r="CA7" s="385" t="str">
        <f>"Tahun "&amp;CE$6</f>
        <v>Tahun 2016</v>
      </c>
      <c r="CB7" s="383"/>
      <c r="CC7" s="384"/>
      <c r="CD7" s="87"/>
      <c r="CE7" s="94"/>
      <c r="CF7" s="89"/>
      <c r="CG7" s="381"/>
      <c r="CH7" s="382" t="s">
        <v>58</v>
      </c>
      <c r="CI7" s="383" t="s">
        <v>59</v>
      </c>
      <c r="CJ7" s="383"/>
      <c r="CK7" s="383"/>
      <c r="CL7" s="383"/>
      <c r="CM7" s="385" t="str">
        <f>"Tahun "&amp;CQ$6</f>
        <v>Tahun 2017</v>
      </c>
      <c r="CN7" s="383"/>
      <c r="CO7" s="384"/>
      <c r="CP7" s="87"/>
      <c r="CQ7" s="94"/>
      <c r="CR7" s="89"/>
      <c r="CS7" s="381"/>
      <c r="CT7" s="382" t="s">
        <v>58</v>
      </c>
      <c r="CU7" s="383" t="s">
        <v>59</v>
      </c>
      <c r="CV7" s="383"/>
      <c r="CW7" s="383"/>
      <c r="CX7" s="383"/>
      <c r="CY7" s="385" t="str">
        <f>"Tahun "&amp;DC$6</f>
        <v>Tahun 2018</v>
      </c>
      <c r="CZ7" s="383"/>
      <c r="DA7" s="384"/>
      <c r="DB7" s="87"/>
      <c r="DC7" s="94"/>
      <c r="DD7" s="89"/>
      <c r="DE7" s="381"/>
      <c r="DF7" s="382" t="s">
        <v>58</v>
      </c>
      <c r="DG7" s="383" t="s">
        <v>59</v>
      </c>
      <c r="DH7" s="383"/>
      <c r="DI7" s="383"/>
      <c r="DJ7" s="383"/>
      <c r="DK7" s="385" t="str">
        <f>"Tahun "&amp;DO$6</f>
        <v>Tahun 2019</v>
      </c>
      <c r="DL7" s="383"/>
      <c r="DM7" s="384"/>
      <c r="DN7" s="87"/>
      <c r="DO7" s="94"/>
      <c r="DP7" s="89"/>
      <c r="DQ7" s="381"/>
      <c r="DR7" s="382" t="s">
        <v>58</v>
      </c>
      <c r="DS7" s="383" t="s">
        <v>59</v>
      </c>
      <c r="DT7" s="383"/>
      <c r="DU7" s="383"/>
      <c r="DV7" s="383"/>
      <c r="DW7" s="385" t="str">
        <f>"Tahun "&amp;EA$6</f>
        <v>Tahun 2020</v>
      </c>
      <c r="DX7" s="383"/>
      <c r="DY7" s="384"/>
      <c r="DZ7" s="87"/>
      <c r="EA7" s="94"/>
      <c r="EB7" s="89"/>
      <c r="EC7" s="381"/>
      <c r="ED7" s="382" t="s">
        <v>58</v>
      </c>
      <c r="EE7" s="383" t="s">
        <v>59</v>
      </c>
      <c r="EF7" s="383"/>
      <c r="EG7" s="383"/>
      <c r="EH7" s="383"/>
      <c r="EI7" s="385" t="str">
        <f>"Tahun "&amp;EM$6</f>
        <v>Tahun 2021</v>
      </c>
      <c r="EJ7" s="383"/>
      <c r="EK7" s="384"/>
      <c r="EL7" s="87"/>
      <c r="EM7" s="94"/>
      <c r="EN7" s="89"/>
      <c r="EO7" s="381"/>
      <c r="EP7" s="382" t="s">
        <v>58</v>
      </c>
      <c r="EQ7" s="383" t="s">
        <v>59</v>
      </c>
      <c r="ER7" s="383"/>
      <c r="ES7" s="383"/>
      <c r="ET7" s="383"/>
      <c r="EU7" s="385" t="str">
        <f>"Tahun "&amp;EY$6</f>
        <v>Tahun 2022</v>
      </c>
      <c r="EV7" s="383"/>
      <c r="EW7" s="384"/>
      <c r="EX7" s="87"/>
      <c r="EY7" s="94"/>
      <c r="EZ7" s="89"/>
      <c r="FA7" s="381"/>
      <c r="FB7" s="382" t="s">
        <v>58</v>
      </c>
      <c r="FC7" s="383" t="s">
        <v>59</v>
      </c>
      <c r="FD7" s="383"/>
      <c r="FE7" s="383"/>
      <c r="FF7" s="383"/>
      <c r="FG7" s="385" t="str">
        <f>"Tahun "&amp;FK$6</f>
        <v>Tahun 2023</v>
      </c>
      <c r="FH7" s="383"/>
      <c r="FI7" s="384"/>
      <c r="FJ7" s="87"/>
      <c r="FK7" s="94"/>
      <c r="FL7" s="89"/>
      <c r="FM7" s="381"/>
      <c r="FN7" s="382" t="s">
        <v>58</v>
      </c>
      <c r="FO7" s="383" t="s">
        <v>59</v>
      </c>
      <c r="FP7" s="383"/>
      <c r="FQ7" s="383"/>
      <c r="FR7" s="383"/>
      <c r="FS7" s="385" t="str">
        <f>"Tahun "&amp;FW$6</f>
        <v>Tahun 2024</v>
      </c>
      <c r="FT7" s="383"/>
      <c r="FU7" s="384"/>
      <c r="FV7" s="87"/>
      <c r="FW7" s="94"/>
      <c r="FX7" s="89"/>
      <c r="FY7" s="381"/>
      <c r="FZ7" s="382" t="s">
        <v>58</v>
      </c>
      <c r="GA7" s="383" t="s">
        <v>59</v>
      </c>
      <c r="GB7" s="383"/>
      <c r="GC7" s="383"/>
      <c r="GD7" s="383"/>
      <c r="GE7" s="385" t="str">
        <f>"Tahun "&amp;GI$6</f>
        <v>Tahun 2025</v>
      </c>
      <c r="GF7" s="383"/>
      <c r="GG7" s="384"/>
      <c r="GH7" s="87"/>
      <c r="GI7" s="94"/>
      <c r="GJ7" s="89"/>
      <c r="GK7" s="381"/>
      <c r="GL7" s="382" t="s">
        <v>58</v>
      </c>
      <c r="GM7" s="383" t="s">
        <v>59</v>
      </c>
      <c r="GN7" s="383"/>
      <c r="GO7" s="383"/>
      <c r="GP7" s="383"/>
      <c r="GQ7" s="385" t="str">
        <f>"Tahun "&amp;GU$6</f>
        <v>Tahun 2026</v>
      </c>
      <c r="GR7" s="383"/>
      <c r="GS7" s="384"/>
      <c r="GT7" s="87"/>
      <c r="GU7" s="94"/>
      <c r="GV7" s="89"/>
      <c r="GW7" s="381"/>
      <c r="GX7" s="382" t="s">
        <v>58</v>
      </c>
      <c r="GY7" s="383" t="s">
        <v>59</v>
      </c>
      <c r="GZ7" s="383"/>
      <c r="HA7" s="383"/>
      <c r="HB7" s="383"/>
      <c r="HC7" s="385" t="str">
        <f>"Tahun "&amp;HG$6</f>
        <v>Tahun 2027</v>
      </c>
      <c r="HD7" s="383"/>
      <c r="HE7" s="384"/>
      <c r="HF7" s="87"/>
      <c r="HG7" s="94"/>
      <c r="HH7" s="89"/>
      <c r="HI7" s="87"/>
    </row>
    <row r="8">
      <c r="A8" s="386"/>
      <c r="B8" s="387" t="s">
        <v>60</v>
      </c>
      <c r="C8" s="388" t="s">
        <v>85</v>
      </c>
      <c r="D8" s="388"/>
      <c r="E8" s="388"/>
      <c r="F8" s="388"/>
      <c r="G8" s="388"/>
      <c r="H8" s="388"/>
      <c r="I8" s="389"/>
      <c r="J8" s="87"/>
      <c r="K8" s="87"/>
      <c r="L8" s="89"/>
      <c r="M8" s="386"/>
      <c r="N8" s="387" t="s">
        <v>60</v>
      </c>
      <c r="O8" s="388" t="s">
        <v>85</v>
      </c>
      <c r="P8" s="388"/>
      <c r="Q8" s="388"/>
      <c r="R8" s="388"/>
      <c r="S8" s="388"/>
      <c r="T8" s="388"/>
      <c r="U8" s="389"/>
      <c r="V8" s="87"/>
      <c r="W8" s="87"/>
      <c r="X8" s="89"/>
      <c r="Y8" s="386"/>
      <c r="Z8" s="387" t="s">
        <v>60</v>
      </c>
      <c r="AA8" s="388" t="s">
        <v>85</v>
      </c>
      <c r="AB8" s="388"/>
      <c r="AC8" s="388"/>
      <c r="AD8" s="388"/>
      <c r="AE8" s="388"/>
      <c r="AF8" s="388"/>
      <c r="AG8" s="389"/>
      <c r="AH8" s="87"/>
      <c r="AI8" s="87"/>
      <c r="AJ8" s="89"/>
      <c r="AK8" s="386"/>
      <c r="AL8" s="387" t="s">
        <v>60</v>
      </c>
      <c r="AM8" s="388" t="s">
        <v>85</v>
      </c>
      <c r="AN8" s="388"/>
      <c r="AO8" s="388"/>
      <c r="AP8" s="388"/>
      <c r="AQ8" s="388"/>
      <c r="AR8" s="388"/>
      <c r="AS8" s="389"/>
      <c r="AT8" s="87"/>
      <c r="AU8" s="87"/>
      <c r="AV8" s="89"/>
      <c r="AW8" s="386"/>
      <c r="AX8" s="387" t="s">
        <v>60</v>
      </c>
      <c r="AY8" s="388" t="s">
        <v>85</v>
      </c>
      <c r="AZ8" s="388"/>
      <c r="BA8" s="388"/>
      <c r="BB8" s="388"/>
      <c r="BC8" s="388"/>
      <c r="BD8" s="388"/>
      <c r="BE8" s="389"/>
      <c r="BF8" s="87"/>
      <c r="BG8" s="87"/>
      <c r="BH8" s="89"/>
      <c r="BI8" s="386"/>
      <c r="BJ8" s="387" t="s">
        <v>60</v>
      </c>
      <c r="BK8" s="388" t="s">
        <v>85</v>
      </c>
      <c r="BL8" s="388"/>
      <c r="BM8" s="388"/>
      <c r="BN8" s="388"/>
      <c r="BO8" s="388"/>
      <c r="BP8" s="388"/>
      <c r="BQ8" s="389"/>
      <c r="BR8" s="87"/>
      <c r="BS8" s="87"/>
      <c r="BT8" s="89"/>
      <c r="BU8" s="386"/>
      <c r="BV8" s="387" t="s">
        <v>60</v>
      </c>
      <c r="BW8" s="388" t="s">
        <v>85</v>
      </c>
      <c r="BX8" s="388"/>
      <c r="BY8" s="388"/>
      <c r="BZ8" s="388"/>
      <c r="CA8" s="388"/>
      <c r="CB8" s="388"/>
      <c r="CC8" s="389"/>
      <c r="CD8" s="87"/>
      <c r="CE8" s="87"/>
      <c r="CF8" s="89"/>
      <c r="CG8" s="386"/>
      <c r="CH8" s="387" t="s">
        <v>60</v>
      </c>
      <c r="CI8" s="388" t="s">
        <v>85</v>
      </c>
      <c r="CJ8" s="388"/>
      <c r="CK8" s="388"/>
      <c r="CL8" s="388"/>
      <c r="CM8" s="388"/>
      <c r="CN8" s="388"/>
      <c r="CO8" s="389"/>
      <c r="CP8" s="87"/>
      <c r="CQ8" s="87"/>
      <c r="CR8" s="89"/>
      <c r="CS8" s="386"/>
      <c r="CT8" s="387" t="s">
        <v>60</v>
      </c>
      <c r="CU8" s="388" t="s">
        <v>85</v>
      </c>
      <c r="CV8" s="388"/>
      <c r="CW8" s="388"/>
      <c r="CX8" s="388"/>
      <c r="CY8" s="388"/>
      <c r="CZ8" s="388"/>
      <c r="DA8" s="389"/>
      <c r="DB8" s="87"/>
      <c r="DC8" s="87"/>
      <c r="DD8" s="89"/>
      <c r="DE8" s="386"/>
      <c r="DF8" s="387" t="s">
        <v>60</v>
      </c>
      <c r="DG8" s="388" t="s">
        <v>85</v>
      </c>
      <c r="DH8" s="388"/>
      <c r="DI8" s="388"/>
      <c r="DJ8" s="388"/>
      <c r="DK8" s="388"/>
      <c r="DL8" s="388"/>
      <c r="DM8" s="389"/>
      <c r="DN8" s="87"/>
      <c r="DO8" s="87"/>
      <c r="DP8" s="89"/>
      <c r="DQ8" s="386"/>
      <c r="DR8" s="387" t="s">
        <v>60</v>
      </c>
      <c r="DS8" s="388" t="s">
        <v>85</v>
      </c>
      <c r="DT8" s="388"/>
      <c r="DU8" s="388"/>
      <c r="DV8" s="388"/>
      <c r="DW8" s="388"/>
      <c r="DX8" s="388"/>
      <c r="DY8" s="389"/>
      <c r="DZ8" s="87"/>
      <c r="EA8" s="87"/>
      <c r="EB8" s="89"/>
      <c r="EC8" s="386"/>
      <c r="ED8" s="387" t="s">
        <v>60</v>
      </c>
      <c r="EE8" s="388" t="s">
        <v>85</v>
      </c>
      <c r="EF8" s="388"/>
      <c r="EG8" s="388"/>
      <c r="EH8" s="388"/>
      <c r="EI8" s="388"/>
      <c r="EJ8" s="388"/>
      <c r="EK8" s="389"/>
      <c r="EL8" s="87"/>
      <c r="EM8" s="87"/>
      <c r="EN8" s="89"/>
      <c r="EO8" s="386"/>
      <c r="EP8" s="387" t="s">
        <v>60</v>
      </c>
      <c r="EQ8" s="388" t="s">
        <v>85</v>
      </c>
      <c r="ER8" s="388"/>
      <c r="ES8" s="388"/>
      <c r="ET8" s="388"/>
      <c r="EU8" s="388"/>
      <c r="EV8" s="388"/>
      <c r="EW8" s="389"/>
      <c r="EX8" s="87"/>
      <c r="EY8" s="87"/>
      <c r="EZ8" s="89"/>
      <c r="FA8" s="386"/>
      <c r="FB8" s="387" t="s">
        <v>60</v>
      </c>
      <c r="FC8" s="388" t="s">
        <v>85</v>
      </c>
      <c r="FD8" s="388"/>
      <c r="FE8" s="388"/>
      <c r="FF8" s="388"/>
      <c r="FG8" s="388"/>
      <c r="FH8" s="388"/>
      <c r="FI8" s="389"/>
      <c r="FJ8" s="87"/>
      <c r="FK8" s="87"/>
      <c r="FL8" s="89"/>
      <c r="FM8" s="386"/>
      <c r="FN8" s="387" t="s">
        <v>60</v>
      </c>
      <c r="FO8" s="388" t="s">
        <v>85</v>
      </c>
      <c r="FP8" s="388"/>
      <c r="FQ8" s="388"/>
      <c r="FR8" s="388"/>
      <c r="FS8" s="388"/>
      <c r="FT8" s="388"/>
      <c r="FU8" s="389"/>
      <c r="FV8" s="87"/>
      <c r="FW8" s="87"/>
      <c r="FX8" s="89"/>
      <c r="FY8" s="386"/>
      <c r="FZ8" s="387" t="s">
        <v>60</v>
      </c>
      <c r="GA8" s="388" t="s">
        <v>85</v>
      </c>
      <c r="GB8" s="388"/>
      <c r="GC8" s="388"/>
      <c r="GD8" s="388"/>
      <c r="GE8" s="388"/>
      <c r="GF8" s="388"/>
      <c r="GG8" s="389"/>
      <c r="GH8" s="87"/>
      <c r="GI8" s="87"/>
      <c r="GJ8" s="89"/>
      <c r="GK8" s="386"/>
      <c r="GL8" s="387" t="s">
        <v>60</v>
      </c>
      <c r="GM8" s="388" t="s">
        <v>85</v>
      </c>
      <c r="GN8" s="388"/>
      <c r="GO8" s="388"/>
      <c r="GP8" s="388"/>
      <c r="GQ8" s="388"/>
      <c r="GR8" s="388"/>
      <c r="GS8" s="389"/>
      <c r="GT8" s="87"/>
      <c r="GU8" s="87"/>
      <c r="GV8" s="89"/>
      <c r="GW8" s="386"/>
      <c r="GX8" s="387" t="s">
        <v>60</v>
      </c>
      <c r="GY8" s="388" t="s">
        <v>85</v>
      </c>
      <c r="GZ8" s="388"/>
      <c r="HA8" s="388"/>
      <c r="HB8" s="388"/>
      <c r="HC8" s="388"/>
      <c r="HD8" s="388"/>
      <c r="HE8" s="389"/>
      <c r="HF8" s="87"/>
      <c r="HG8" s="87"/>
      <c r="HH8" s="89"/>
      <c r="HI8" s="87"/>
    </row>
    <row r="9">
      <c r="A9" s="74"/>
      <c r="B9" s="75"/>
      <c r="C9" s="75"/>
      <c r="D9" s="75"/>
      <c r="E9" s="75"/>
      <c r="F9" s="75"/>
      <c r="G9" s="75"/>
      <c r="H9" s="75"/>
      <c r="I9" s="75"/>
      <c r="J9" s="75"/>
      <c r="K9" s="75"/>
      <c r="L9" s="81"/>
      <c r="M9" s="74"/>
      <c r="N9" s="75"/>
      <c r="O9" s="75"/>
      <c r="P9" s="75"/>
      <c r="Q9" s="75"/>
      <c r="R9" s="75"/>
      <c r="S9" s="75"/>
      <c r="T9" s="75"/>
      <c r="U9" s="75"/>
      <c r="V9" s="75"/>
      <c r="W9" s="75"/>
      <c r="X9" s="81"/>
      <c r="Y9" s="74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81"/>
      <c r="AK9" s="74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81"/>
      <c r="AW9" s="74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81"/>
      <c r="BI9" s="74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81"/>
      <c r="BU9" s="74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81"/>
      <c r="CG9" s="74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81"/>
      <c r="CS9" s="74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81"/>
      <c r="DE9" s="74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81"/>
      <c r="DQ9" s="74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81"/>
      <c r="EC9" s="74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81"/>
      <c r="EO9" s="74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81"/>
      <c r="FA9" s="74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81"/>
      <c r="FM9" s="74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81"/>
      <c r="FY9" s="74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81"/>
      <c r="GK9" s="74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81"/>
      <c r="GW9" s="74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81"/>
      <c r="HI9" s="75"/>
    </row>
    <row r="10" ht="33.75" customHeight="1">
      <c r="A10" s="101" t="s">
        <v>62</v>
      </c>
      <c r="B10" s="102" t="s">
        <v>63</v>
      </c>
      <c r="C10" s="102" t="s">
        <v>86</v>
      </c>
      <c r="D10" s="102" t="s">
        <v>65</v>
      </c>
      <c r="E10" s="102" t="s">
        <v>66</v>
      </c>
      <c r="F10" s="103" t="s">
        <v>67</v>
      </c>
      <c r="G10" s="104"/>
      <c r="H10" s="105" t="s">
        <v>68</v>
      </c>
      <c r="I10" s="106"/>
      <c r="J10" s="106"/>
      <c r="K10" s="106"/>
      <c r="L10" s="107"/>
      <c r="M10" s="101" t="s">
        <v>62</v>
      </c>
      <c r="N10" s="102" t="s">
        <v>63</v>
      </c>
      <c r="O10" s="102" t="s">
        <v>86</v>
      </c>
      <c r="P10" s="102" t="s">
        <v>65</v>
      </c>
      <c r="Q10" s="102" t="s">
        <v>66</v>
      </c>
      <c r="R10" s="103" t="s">
        <v>67</v>
      </c>
      <c r="S10" s="104"/>
      <c r="T10" s="105" t="s">
        <v>68</v>
      </c>
      <c r="U10" s="106"/>
      <c r="V10" s="106"/>
      <c r="W10" s="106"/>
      <c r="X10" s="107"/>
      <c r="Y10" s="101" t="s">
        <v>62</v>
      </c>
      <c r="Z10" s="102" t="s">
        <v>63</v>
      </c>
      <c r="AA10" s="102" t="s">
        <v>86</v>
      </c>
      <c r="AB10" s="102" t="s">
        <v>65</v>
      </c>
      <c r="AC10" s="102" t="s">
        <v>66</v>
      </c>
      <c r="AD10" s="103" t="s">
        <v>67</v>
      </c>
      <c r="AE10" s="104"/>
      <c r="AF10" s="105" t="s">
        <v>68</v>
      </c>
      <c r="AG10" s="106"/>
      <c r="AH10" s="106"/>
      <c r="AI10" s="106"/>
      <c r="AJ10" s="107"/>
      <c r="AK10" s="101" t="s">
        <v>62</v>
      </c>
      <c r="AL10" s="102" t="s">
        <v>63</v>
      </c>
      <c r="AM10" s="102" t="s">
        <v>86</v>
      </c>
      <c r="AN10" s="102" t="s">
        <v>65</v>
      </c>
      <c r="AO10" s="102" t="s">
        <v>66</v>
      </c>
      <c r="AP10" s="103" t="s">
        <v>67</v>
      </c>
      <c r="AQ10" s="104"/>
      <c r="AR10" s="105" t="s">
        <v>68</v>
      </c>
      <c r="AS10" s="106"/>
      <c r="AT10" s="106"/>
      <c r="AU10" s="106"/>
      <c r="AV10" s="107"/>
      <c r="AW10" s="101" t="s">
        <v>62</v>
      </c>
      <c r="AX10" s="102" t="s">
        <v>63</v>
      </c>
      <c r="AY10" s="102" t="s">
        <v>86</v>
      </c>
      <c r="AZ10" s="102" t="s">
        <v>65</v>
      </c>
      <c r="BA10" s="102" t="s">
        <v>66</v>
      </c>
      <c r="BB10" s="103" t="s">
        <v>67</v>
      </c>
      <c r="BC10" s="104"/>
      <c r="BD10" s="105" t="s">
        <v>68</v>
      </c>
      <c r="BE10" s="106"/>
      <c r="BF10" s="106"/>
      <c r="BG10" s="106"/>
      <c r="BH10" s="107"/>
      <c r="BI10" s="101" t="s">
        <v>62</v>
      </c>
      <c r="BJ10" s="102" t="s">
        <v>63</v>
      </c>
      <c r="BK10" s="102" t="s">
        <v>86</v>
      </c>
      <c r="BL10" s="102" t="s">
        <v>65</v>
      </c>
      <c r="BM10" s="102" t="s">
        <v>66</v>
      </c>
      <c r="BN10" s="103" t="s">
        <v>67</v>
      </c>
      <c r="BO10" s="104"/>
      <c r="BP10" s="105" t="s">
        <v>68</v>
      </c>
      <c r="BQ10" s="106"/>
      <c r="BR10" s="106"/>
      <c r="BS10" s="106"/>
      <c r="BT10" s="107"/>
      <c r="BU10" s="101" t="s">
        <v>62</v>
      </c>
      <c r="BV10" s="102" t="s">
        <v>63</v>
      </c>
      <c r="BW10" s="102" t="s">
        <v>86</v>
      </c>
      <c r="BX10" s="102" t="s">
        <v>65</v>
      </c>
      <c r="BY10" s="102" t="s">
        <v>66</v>
      </c>
      <c r="BZ10" s="103" t="s">
        <v>67</v>
      </c>
      <c r="CA10" s="104"/>
      <c r="CB10" s="105" t="s">
        <v>68</v>
      </c>
      <c r="CC10" s="106"/>
      <c r="CD10" s="106"/>
      <c r="CE10" s="106"/>
      <c r="CF10" s="107"/>
      <c r="CG10" s="101" t="s">
        <v>62</v>
      </c>
      <c r="CH10" s="102" t="s">
        <v>63</v>
      </c>
      <c r="CI10" s="102" t="s">
        <v>86</v>
      </c>
      <c r="CJ10" s="102" t="s">
        <v>65</v>
      </c>
      <c r="CK10" s="102" t="s">
        <v>66</v>
      </c>
      <c r="CL10" s="103" t="s">
        <v>67</v>
      </c>
      <c r="CM10" s="104"/>
      <c r="CN10" s="105" t="s">
        <v>68</v>
      </c>
      <c r="CO10" s="106"/>
      <c r="CP10" s="106"/>
      <c r="CQ10" s="106"/>
      <c r="CR10" s="107"/>
      <c r="CS10" s="101" t="s">
        <v>62</v>
      </c>
      <c r="CT10" s="102" t="s">
        <v>63</v>
      </c>
      <c r="CU10" s="102" t="s">
        <v>86</v>
      </c>
      <c r="CV10" s="102" t="s">
        <v>65</v>
      </c>
      <c r="CW10" s="102" t="s">
        <v>66</v>
      </c>
      <c r="CX10" s="103" t="s">
        <v>67</v>
      </c>
      <c r="CY10" s="104"/>
      <c r="CZ10" s="105" t="s">
        <v>68</v>
      </c>
      <c r="DA10" s="106"/>
      <c r="DB10" s="106"/>
      <c r="DC10" s="106"/>
      <c r="DD10" s="107"/>
      <c r="DE10" s="101" t="s">
        <v>62</v>
      </c>
      <c r="DF10" s="102" t="s">
        <v>63</v>
      </c>
      <c r="DG10" s="102" t="s">
        <v>86</v>
      </c>
      <c r="DH10" s="102" t="s">
        <v>65</v>
      </c>
      <c r="DI10" s="102" t="s">
        <v>66</v>
      </c>
      <c r="DJ10" s="103" t="s">
        <v>67</v>
      </c>
      <c r="DK10" s="104"/>
      <c r="DL10" s="105" t="s">
        <v>68</v>
      </c>
      <c r="DM10" s="106"/>
      <c r="DN10" s="106"/>
      <c r="DO10" s="106"/>
      <c r="DP10" s="107"/>
      <c r="DQ10" s="101" t="s">
        <v>62</v>
      </c>
      <c r="DR10" s="102" t="s">
        <v>63</v>
      </c>
      <c r="DS10" s="102" t="s">
        <v>86</v>
      </c>
      <c r="DT10" s="102" t="s">
        <v>65</v>
      </c>
      <c r="DU10" s="102" t="s">
        <v>66</v>
      </c>
      <c r="DV10" s="103" t="s">
        <v>67</v>
      </c>
      <c r="DW10" s="104"/>
      <c r="DX10" s="105" t="s">
        <v>68</v>
      </c>
      <c r="DY10" s="106"/>
      <c r="DZ10" s="106"/>
      <c r="EA10" s="106"/>
      <c r="EB10" s="107"/>
      <c r="EC10" s="101" t="s">
        <v>62</v>
      </c>
      <c r="ED10" s="102" t="s">
        <v>63</v>
      </c>
      <c r="EE10" s="102" t="s">
        <v>86</v>
      </c>
      <c r="EF10" s="102" t="s">
        <v>65</v>
      </c>
      <c r="EG10" s="102" t="s">
        <v>66</v>
      </c>
      <c r="EH10" s="103" t="s">
        <v>67</v>
      </c>
      <c r="EI10" s="104"/>
      <c r="EJ10" s="105" t="s">
        <v>68</v>
      </c>
      <c r="EK10" s="106"/>
      <c r="EL10" s="106"/>
      <c r="EM10" s="106"/>
      <c r="EN10" s="107"/>
      <c r="EO10" s="101" t="s">
        <v>62</v>
      </c>
      <c r="EP10" s="102" t="s">
        <v>63</v>
      </c>
      <c r="EQ10" s="102" t="s">
        <v>86</v>
      </c>
      <c r="ER10" s="102" t="s">
        <v>65</v>
      </c>
      <c r="ES10" s="102" t="s">
        <v>66</v>
      </c>
      <c r="ET10" s="103" t="s">
        <v>67</v>
      </c>
      <c r="EU10" s="104"/>
      <c r="EV10" s="105" t="s">
        <v>68</v>
      </c>
      <c r="EW10" s="106"/>
      <c r="EX10" s="106"/>
      <c r="EY10" s="106"/>
      <c r="EZ10" s="107"/>
      <c r="FA10" s="101" t="s">
        <v>62</v>
      </c>
      <c r="FB10" s="102" t="s">
        <v>63</v>
      </c>
      <c r="FC10" s="102" t="s">
        <v>86</v>
      </c>
      <c r="FD10" s="102" t="s">
        <v>65</v>
      </c>
      <c r="FE10" s="102" t="s">
        <v>66</v>
      </c>
      <c r="FF10" s="103" t="s">
        <v>67</v>
      </c>
      <c r="FG10" s="104"/>
      <c r="FH10" s="105" t="s">
        <v>68</v>
      </c>
      <c r="FI10" s="106"/>
      <c r="FJ10" s="106"/>
      <c r="FK10" s="106"/>
      <c r="FL10" s="107"/>
      <c r="FM10" s="101" t="s">
        <v>62</v>
      </c>
      <c r="FN10" s="102" t="s">
        <v>63</v>
      </c>
      <c r="FO10" s="102" t="s">
        <v>86</v>
      </c>
      <c r="FP10" s="102" t="s">
        <v>65</v>
      </c>
      <c r="FQ10" s="102" t="s">
        <v>66</v>
      </c>
      <c r="FR10" s="103" t="s">
        <v>67</v>
      </c>
      <c r="FS10" s="104"/>
      <c r="FT10" s="105" t="s">
        <v>68</v>
      </c>
      <c r="FU10" s="106"/>
      <c r="FV10" s="106"/>
      <c r="FW10" s="106"/>
      <c r="FX10" s="107"/>
      <c r="FY10" s="101" t="s">
        <v>62</v>
      </c>
      <c r="FZ10" s="102" t="s">
        <v>63</v>
      </c>
      <c r="GA10" s="102" t="s">
        <v>86</v>
      </c>
      <c r="GB10" s="102" t="s">
        <v>65</v>
      </c>
      <c r="GC10" s="102" t="s">
        <v>66</v>
      </c>
      <c r="GD10" s="103" t="s">
        <v>67</v>
      </c>
      <c r="GE10" s="104"/>
      <c r="GF10" s="105" t="s">
        <v>68</v>
      </c>
      <c r="GG10" s="106"/>
      <c r="GH10" s="106"/>
      <c r="GI10" s="106"/>
      <c r="GJ10" s="107"/>
      <c r="GK10" s="101" t="s">
        <v>62</v>
      </c>
      <c r="GL10" s="102" t="s">
        <v>63</v>
      </c>
      <c r="GM10" s="102" t="s">
        <v>86</v>
      </c>
      <c r="GN10" s="102" t="s">
        <v>65</v>
      </c>
      <c r="GO10" s="102" t="s">
        <v>66</v>
      </c>
      <c r="GP10" s="103" t="s">
        <v>67</v>
      </c>
      <c r="GQ10" s="104"/>
      <c r="GR10" s="105" t="s">
        <v>68</v>
      </c>
      <c r="GS10" s="106"/>
      <c r="GT10" s="106"/>
      <c r="GU10" s="106"/>
      <c r="GV10" s="107"/>
      <c r="GW10" s="101" t="s">
        <v>62</v>
      </c>
      <c r="GX10" s="102" t="s">
        <v>63</v>
      </c>
      <c r="GY10" s="102" t="s">
        <v>86</v>
      </c>
      <c r="GZ10" s="102" t="s">
        <v>65</v>
      </c>
      <c r="HA10" s="102" t="s">
        <v>66</v>
      </c>
      <c r="HB10" s="103" t="s">
        <v>67</v>
      </c>
      <c r="HC10" s="104"/>
      <c r="HD10" s="105" t="s">
        <v>68</v>
      </c>
      <c r="HE10" s="106"/>
      <c r="HF10" s="106"/>
      <c r="HG10" s="106"/>
      <c r="HH10" s="107"/>
      <c r="HI10" s="106"/>
    </row>
    <row r="11" ht="66.0" customHeight="1">
      <c r="A11" s="108"/>
      <c r="B11" s="94"/>
      <c r="C11" s="94"/>
      <c r="D11" s="94"/>
      <c r="E11" s="94"/>
      <c r="F11" s="109" t="s">
        <v>69</v>
      </c>
      <c r="G11" s="109" t="s">
        <v>70</v>
      </c>
      <c r="H11" s="110"/>
      <c r="I11" s="106"/>
      <c r="J11" s="106"/>
      <c r="K11" s="106"/>
      <c r="L11" s="107"/>
      <c r="M11" s="108"/>
      <c r="N11" s="94"/>
      <c r="O11" s="94"/>
      <c r="P11" s="94"/>
      <c r="Q11" s="94"/>
      <c r="R11" s="109" t="s">
        <v>69</v>
      </c>
      <c r="S11" s="109" t="s">
        <v>70</v>
      </c>
      <c r="T11" s="110"/>
      <c r="U11" s="106"/>
      <c r="V11" s="106"/>
      <c r="W11" s="106"/>
      <c r="X11" s="107"/>
      <c r="Y11" s="108"/>
      <c r="Z11" s="94"/>
      <c r="AA11" s="94"/>
      <c r="AB11" s="94"/>
      <c r="AC11" s="94"/>
      <c r="AD11" s="109" t="s">
        <v>69</v>
      </c>
      <c r="AE11" s="109" t="s">
        <v>70</v>
      </c>
      <c r="AF11" s="110"/>
      <c r="AG11" s="106"/>
      <c r="AH11" s="106"/>
      <c r="AI11" s="106"/>
      <c r="AJ11" s="107"/>
      <c r="AK11" s="108"/>
      <c r="AL11" s="94"/>
      <c r="AM11" s="94"/>
      <c r="AN11" s="94"/>
      <c r="AO11" s="94"/>
      <c r="AP11" s="109" t="s">
        <v>69</v>
      </c>
      <c r="AQ11" s="109" t="s">
        <v>70</v>
      </c>
      <c r="AR11" s="110"/>
      <c r="AS11" s="106"/>
      <c r="AT11" s="106"/>
      <c r="AU11" s="106"/>
      <c r="AV11" s="107"/>
      <c r="AW11" s="108"/>
      <c r="AX11" s="94"/>
      <c r="AY11" s="94"/>
      <c r="AZ11" s="94"/>
      <c r="BA11" s="94"/>
      <c r="BB11" s="109" t="s">
        <v>69</v>
      </c>
      <c r="BC11" s="109" t="s">
        <v>70</v>
      </c>
      <c r="BD11" s="110"/>
      <c r="BE11" s="106"/>
      <c r="BF11" s="106"/>
      <c r="BG11" s="106"/>
      <c r="BH11" s="107"/>
      <c r="BI11" s="108"/>
      <c r="BJ11" s="94"/>
      <c r="BK11" s="94"/>
      <c r="BL11" s="94"/>
      <c r="BM11" s="94"/>
      <c r="BN11" s="109" t="s">
        <v>69</v>
      </c>
      <c r="BO11" s="109" t="s">
        <v>70</v>
      </c>
      <c r="BP11" s="110"/>
      <c r="BQ11" s="106"/>
      <c r="BR11" s="106"/>
      <c r="BS11" s="106"/>
      <c r="BT11" s="107"/>
      <c r="BU11" s="108"/>
      <c r="BV11" s="94"/>
      <c r="BW11" s="94"/>
      <c r="BX11" s="94"/>
      <c r="BY11" s="94"/>
      <c r="BZ11" s="109" t="s">
        <v>69</v>
      </c>
      <c r="CA11" s="109" t="s">
        <v>70</v>
      </c>
      <c r="CB11" s="110"/>
      <c r="CC11" s="106"/>
      <c r="CD11" s="106"/>
      <c r="CE11" s="106"/>
      <c r="CF11" s="107"/>
      <c r="CG11" s="108"/>
      <c r="CH11" s="94"/>
      <c r="CI11" s="94"/>
      <c r="CJ11" s="94"/>
      <c r="CK11" s="94"/>
      <c r="CL11" s="109" t="s">
        <v>69</v>
      </c>
      <c r="CM11" s="109" t="s">
        <v>70</v>
      </c>
      <c r="CN11" s="110"/>
      <c r="CO11" s="106"/>
      <c r="CP11" s="106"/>
      <c r="CQ11" s="106"/>
      <c r="CR11" s="107"/>
      <c r="CS11" s="108"/>
      <c r="CT11" s="94"/>
      <c r="CU11" s="94"/>
      <c r="CV11" s="94"/>
      <c r="CW11" s="94"/>
      <c r="CX11" s="109" t="s">
        <v>69</v>
      </c>
      <c r="CY11" s="109" t="s">
        <v>70</v>
      </c>
      <c r="CZ11" s="110"/>
      <c r="DA11" s="106"/>
      <c r="DB11" s="106"/>
      <c r="DC11" s="106"/>
      <c r="DD11" s="107"/>
      <c r="DE11" s="108"/>
      <c r="DF11" s="94"/>
      <c r="DG11" s="94"/>
      <c r="DH11" s="94"/>
      <c r="DI11" s="94"/>
      <c r="DJ11" s="109" t="s">
        <v>69</v>
      </c>
      <c r="DK11" s="109" t="s">
        <v>70</v>
      </c>
      <c r="DL11" s="110"/>
      <c r="DM11" s="106"/>
      <c r="DN11" s="106"/>
      <c r="DO11" s="106"/>
      <c r="DP11" s="107"/>
      <c r="DQ11" s="108"/>
      <c r="DR11" s="94"/>
      <c r="DS11" s="94"/>
      <c r="DT11" s="94"/>
      <c r="DU11" s="94"/>
      <c r="DV11" s="109" t="s">
        <v>69</v>
      </c>
      <c r="DW11" s="109" t="s">
        <v>70</v>
      </c>
      <c r="DX11" s="110"/>
      <c r="DY11" s="106"/>
      <c r="DZ11" s="106"/>
      <c r="EA11" s="106"/>
      <c r="EB11" s="107"/>
      <c r="EC11" s="108"/>
      <c r="ED11" s="94"/>
      <c r="EE11" s="94"/>
      <c r="EF11" s="94"/>
      <c r="EG11" s="94"/>
      <c r="EH11" s="109" t="s">
        <v>69</v>
      </c>
      <c r="EI11" s="109" t="s">
        <v>70</v>
      </c>
      <c r="EJ11" s="110"/>
      <c r="EK11" s="106"/>
      <c r="EL11" s="106"/>
      <c r="EM11" s="106"/>
      <c r="EN11" s="107"/>
      <c r="EO11" s="108"/>
      <c r="EP11" s="94"/>
      <c r="EQ11" s="94"/>
      <c r="ER11" s="94"/>
      <c r="ES11" s="94"/>
      <c r="ET11" s="109" t="s">
        <v>69</v>
      </c>
      <c r="EU11" s="109" t="s">
        <v>70</v>
      </c>
      <c r="EV11" s="110"/>
      <c r="EW11" s="106"/>
      <c r="EX11" s="106"/>
      <c r="EY11" s="106"/>
      <c r="EZ11" s="107"/>
      <c r="FA11" s="108"/>
      <c r="FB11" s="94"/>
      <c r="FC11" s="94"/>
      <c r="FD11" s="94"/>
      <c r="FE11" s="94"/>
      <c r="FF11" s="109" t="s">
        <v>69</v>
      </c>
      <c r="FG11" s="109" t="s">
        <v>70</v>
      </c>
      <c r="FH11" s="110"/>
      <c r="FI11" s="106"/>
      <c r="FJ11" s="106"/>
      <c r="FK11" s="106"/>
      <c r="FL11" s="107"/>
      <c r="FM11" s="108"/>
      <c r="FN11" s="94"/>
      <c r="FO11" s="94"/>
      <c r="FP11" s="94"/>
      <c r="FQ11" s="94"/>
      <c r="FR11" s="109" t="s">
        <v>69</v>
      </c>
      <c r="FS11" s="109" t="s">
        <v>70</v>
      </c>
      <c r="FT11" s="110"/>
      <c r="FU11" s="106"/>
      <c r="FV11" s="106"/>
      <c r="FW11" s="106"/>
      <c r="FX11" s="107"/>
      <c r="FY11" s="108"/>
      <c r="FZ11" s="94"/>
      <c r="GA11" s="94"/>
      <c r="GB11" s="94"/>
      <c r="GC11" s="94"/>
      <c r="GD11" s="109" t="s">
        <v>69</v>
      </c>
      <c r="GE11" s="109" t="s">
        <v>70</v>
      </c>
      <c r="GF11" s="110"/>
      <c r="GG11" s="106"/>
      <c r="GH11" s="106"/>
      <c r="GI11" s="106"/>
      <c r="GJ11" s="107"/>
      <c r="GK11" s="108"/>
      <c r="GL11" s="94"/>
      <c r="GM11" s="94"/>
      <c r="GN11" s="94"/>
      <c r="GO11" s="94"/>
      <c r="GP11" s="109" t="s">
        <v>69</v>
      </c>
      <c r="GQ11" s="109" t="s">
        <v>70</v>
      </c>
      <c r="GR11" s="110"/>
      <c r="GS11" s="106"/>
      <c r="GT11" s="106"/>
      <c r="GU11" s="106"/>
      <c r="GV11" s="107"/>
      <c r="GW11" s="108"/>
      <c r="GX11" s="94"/>
      <c r="GY11" s="94"/>
      <c r="GZ11" s="94"/>
      <c r="HA11" s="94"/>
      <c r="HB11" s="109" t="s">
        <v>69</v>
      </c>
      <c r="HC11" s="109" t="s">
        <v>70</v>
      </c>
      <c r="HD11" s="110"/>
      <c r="HE11" s="106"/>
      <c r="HF11" s="106"/>
      <c r="HG11" s="106"/>
      <c r="HH11" s="107"/>
      <c r="HI11" s="106"/>
    </row>
    <row r="12">
      <c r="A12" s="111">
        <v>-1.0</v>
      </c>
      <c r="B12" s="112">
        <v>-2.0</v>
      </c>
      <c r="C12" s="112">
        <v>-3.0</v>
      </c>
      <c r="D12" s="112">
        <v>-4.0</v>
      </c>
      <c r="E12" s="112">
        <v>-5.0</v>
      </c>
      <c r="F12" s="112">
        <v>-6.0</v>
      </c>
      <c r="G12" s="112">
        <v>-7.0</v>
      </c>
      <c r="H12" s="113">
        <v>-8.0</v>
      </c>
      <c r="I12" s="114"/>
      <c r="J12" s="114"/>
      <c r="K12" s="114"/>
      <c r="L12" s="115"/>
      <c r="M12" s="111">
        <v>-1.0</v>
      </c>
      <c r="N12" s="112">
        <v>-2.0</v>
      </c>
      <c r="O12" s="112">
        <v>-3.0</v>
      </c>
      <c r="P12" s="112">
        <v>-4.0</v>
      </c>
      <c r="Q12" s="112">
        <v>-5.0</v>
      </c>
      <c r="R12" s="112">
        <v>-6.0</v>
      </c>
      <c r="S12" s="112">
        <v>-7.0</v>
      </c>
      <c r="T12" s="113">
        <v>-8.0</v>
      </c>
      <c r="U12" s="114"/>
      <c r="V12" s="114"/>
      <c r="W12" s="114"/>
      <c r="X12" s="115"/>
      <c r="Y12" s="111">
        <v>-1.0</v>
      </c>
      <c r="Z12" s="112">
        <v>-2.0</v>
      </c>
      <c r="AA12" s="112">
        <v>-3.0</v>
      </c>
      <c r="AB12" s="112">
        <v>-4.0</v>
      </c>
      <c r="AC12" s="112">
        <v>-5.0</v>
      </c>
      <c r="AD12" s="112">
        <v>-6.0</v>
      </c>
      <c r="AE12" s="112">
        <v>-7.0</v>
      </c>
      <c r="AF12" s="113">
        <v>-8.0</v>
      </c>
      <c r="AG12" s="114"/>
      <c r="AH12" s="114"/>
      <c r="AI12" s="114"/>
      <c r="AJ12" s="115"/>
      <c r="AK12" s="111">
        <v>-1.0</v>
      </c>
      <c r="AL12" s="112">
        <v>-2.0</v>
      </c>
      <c r="AM12" s="112">
        <v>-3.0</v>
      </c>
      <c r="AN12" s="112">
        <v>-4.0</v>
      </c>
      <c r="AO12" s="112">
        <v>-5.0</v>
      </c>
      <c r="AP12" s="112">
        <v>-6.0</v>
      </c>
      <c r="AQ12" s="112">
        <v>-7.0</v>
      </c>
      <c r="AR12" s="113">
        <v>-8.0</v>
      </c>
      <c r="AS12" s="114"/>
      <c r="AT12" s="114"/>
      <c r="AU12" s="114"/>
      <c r="AV12" s="115"/>
      <c r="AW12" s="111">
        <v>-1.0</v>
      </c>
      <c r="AX12" s="112">
        <v>-2.0</v>
      </c>
      <c r="AY12" s="112">
        <v>-3.0</v>
      </c>
      <c r="AZ12" s="112">
        <v>-4.0</v>
      </c>
      <c r="BA12" s="112">
        <v>-5.0</v>
      </c>
      <c r="BB12" s="112">
        <v>-6.0</v>
      </c>
      <c r="BC12" s="112">
        <v>-7.0</v>
      </c>
      <c r="BD12" s="113">
        <v>-8.0</v>
      </c>
      <c r="BE12" s="114"/>
      <c r="BF12" s="114"/>
      <c r="BG12" s="114"/>
      <c r="BH12" s="115"/>
      <c r="BI12" s="111">
        <v>-1.0</v>
      </c>
      <c r="BJ12" s="112">
        <v>-2.0</v>
      </c>
      <c r="BK12" s="112">
        <v>-3.0</v>
      </c>
      <c r="BL12" s="112">
        <v>-4.0</v>
      </c>
      <c r="BM12" s="112">
        <v>-5.0</v>
      </c>
      <c r="BN12" s="112">
        <v>-6.0</v>
      </c>
      <c r="BO12" s="112">
        <v>-7.0</v>
      </c>
      <c r="BP12" s="113">
        <v>-8.0</v>
      </c>
      <c r="BQ12" s="114"/>
      <c r="BR12" s="114"/>
      <c r="BS12" s="114"/>
      <c r="BT12" s="115"/>
      <c r="BU12" s="111">
        <v>-1.0</v>
      </c>
      <c r="BV12" s="112">
        <v>-2.0</v>
      </c>
      <c r="BW12" s="112">
        <v>-3.0</v>
      </c>
      <c r="BX12" s="112">
        <v>-4.0</v>
      </c>
      <c r="BY12" s="112">
        <v>-5.0</v>
      </c>
      <c r="BZ12" s="112">
        <v>-6.0</v>
      </c>
      <c r="CA12" s="112">
        <v>-7.0</v>
      </c>
      <c r="CB12" s="113">
        <v>-8.0</v>
      </c>
      <c r="CC12" s="114"/>
      <c r="CD12" s="114"/>
      <c r="CE12" s="114"/>
      <c r="CF12" s="115"/>
      <c r="CG12" s="111">
        <v>-1.0</v>
      </c>
      <c r="CH12" s="112">
        <v>-2.0</v>
      </c>
      <c r="CI12" s="112">
        <v>-3.0</v>
      </c>
      <c r="CJ12" s="112">
        <v>-4.0</v>
      </c>
      <c r="CK12" s="112">
        <v>-5.0</v>
      </c>
      <c r="CL12" s="112">
        <v>-6.0</v>
      </c>
      <c r="CM12" s="112">
        <v>-7.0</v>
      </c>
      <c r="CN12" s="113">
        <v>-8.0</v>
      </c>
      <c r="CO12" s="114"/>
      <c r="CP12" s="114"/>
      <c r="CQ12" s="114"/>
      <c r="CR12" s="115"/>
      <c r="CS12" s="111">
        <v>-1.0</v>
      </c>
      <c r="CT12" s="112">
        <v>-2.0</v>
      </c>
      <c r="CU12" s="112">
        <v>-3.0</v>
      </c>
      <c r="CV12" s="112">
        <v>-4.0</v>
      </c>
      <c r="CW12" s="112">
        <v>-5.0</v>
      </c>
      <c r="CX12" s="112">
        <v>-6.0</v>
      </c>
      <c r="CY12" s="112">
        <v>-7.0</v>
      </c>
      <c r="CZ12" s="113">
        <v>-8.0</v>
      </c>
      <c r="DA12" s="114"/>
      <c r="DB12" s="114"/>
      <c r="DC12" s="114"/>
      <c r="DD12" s="115"/>
      <c r="DE12" s="111">
        <v>-1.0</v>
      </c>
      <c r="DF12" s="112">
        <v>-2.0</v>
      </c>
      <c r="DG12" s="112">
        <v>-3.0</v>
      </c>
      <c r="DH12" s="112">
        <v>-4.0</v>
      </c>
      <c r="DI12" s="112">
        <v>-5.0</v>
      </c>
      <c r="DJ12" s="112">
        <v>-6.0</v>
      </c>
      <c r="DK12" s="112">
        <v>-7.0</v>
      </c>
      <c r="DL12" s="113">
        <v>-8.0</v>
      </c>
      <c r="DM12" s="114"/>
      <c r="DN12" s="114"/>
      <c r="DO12" s="114"/>
      <c r="DP12" s="115"/>
      <c r="DQ12" s="111">
        <v>-1.0</v>
      </c>
      <c r="DR12" s="112">
        <v>-2.0</v>
      </c>
      <c r="DS12" s="112">
        <v>-3.0</v>
      </c>
      <c r="DT12" s="112">
        <v>-4.0</v>
      </c>
      <c r="DU12" s="112">
        <v>-5.0</v>
      </c>
      <c r="DV12" s="112">
        <v>-6.0</v>
      </c>
      <c r="DW12" s="112">
        <v>-7.0</v>
      </c>
      <c r="DX12" s="113">
        <v>-8.0</v>
      </c>
      <c r="DY12" s="114"/>
      <c r="DZ12" s="114"/>
      <c r="EA12" s="114"/>
      <c r="EB12" s="115"/>
      <c r="EC12" s="111">
        <v>-1.0</v>
      </c>
      <c r="ED12" s="112">
        <v>-2.0</v>
      </c>
      <c r="EE12" s="112">
        <v>-3.0</v>
      </c>
      <c r="EF12" s="112">
        <v>-4.0</v>
      </c>
      <c r="EG12" s="112">
        <v>-5.0</v>
      </c>
      <c r="EH12" s="112">
        <v>-6.0</v>
      </c>
      <c r="EI12" s="112">
        <v>-7.0</v>
      </c>
      <c r="EJ12" s="113">
        <v>-8.0</v>
      </c>
      <c r="EK12" s="114"/>
      <c r="EL12" s="114"/>
      <c r="EM12" s="114"/>
      <c r="EN12" s="115"/>
      <c r="EO12" s="111">
        <v>-1.0</v>
      </c>
      <c r="EP12" s="112">
        <v>-2.0</v>
      </c>
      <c r="EQ12" s="112">
        <v>-3.0</v>
      </c>
      <c r="ER12" s="112">
        <v>-4.0</v>
      </c>
      <c r="ES12" s="112">
        <v>-5.0</v>
      </c>
      <c r="ET12" s="112">
        <v>-6.0</v>
      </c>
      <c r="EU12" s="112">
        <v>-7.0</v>
      </c>
      <c r="EV12" s="113">
        <v>-8.0</v>
      </c>
      <c r="EW12" s="114"/>
      <c r="EX12" s="114"/>
      <c r="EY12" s="114"/>
      <c r="EZ12" s="115"/>
      <c r="FA12" s="111">
        <v>-1.0</v>
      </c>
      <c r="FB12" s="112">
        <v>-2.0</v>
      </c>
      <c r="FC12" s="112">
        <v>-3.0</v>
      </c>
      <c r="FD12" s="112">
        <v>-4.0</v>
      </c>
      <c r="FE12" s="112">
        <v>-5.0</v>
      </c>
      <c r="FF12" s="112">
        <v>-6.0</v>
      </c>
      <c r="FG12" s="112">
        <v>-7.0</v>
      </c>
      <c r="FH12" s="113">
        <v>-8.0</v>
      </c>
      <c r="FI12" s="114"/>
      <c r="FJ12" s="114"/>
      <c r="FK12" s="114"/>
      <c r="FL12" s="115"/>
      <c r="FM12" s="111">
        <v>-1.0</v>
      </c>
      <c r="FN12" s="112">
        <v>-2.0</v>
      </c>
      <c r="FO12" s="112">
        <v>-3.0</v>
      </c>
      <c r="FP12" s="112">
        <v>-4.0</v>
      </c>
      <c r="FQ12" s="112">
        <v>-5.0</v>
      </c>
      <c r="FR12" s="112">
        <v>-6.0</v>
      </c>
      <c r="FS12" s="112">
        <v>-7.0</v>
      </c>
      <c r="FT12" s="113">
        <v>-8.0</v>
      </c>
      <c r="FU12" s="114"/>
      <c r="FV12" s="114"/>
      <c r="FW12" s="114"/>
      <c r="FX12" s="115"/>
      <c r="FY12" s="111">
        <v>-1.0</v>
      </c>
      <c r="FZ12" s="112">
        <v>-2.0</v>
      </c>
      <c r="GA12" s="112">
        <v>-3.0</v>
      </c>
      <c r="GB12" s="112">
        <v>-4.0</v>
      </c>
      <c r="GC12" s="112">
        <v>-5.0</v>
      </c>
      <c r="GD12" s="112">
        <v>-6.0</v>
      </c>
      <c r="GE12" s="112">
        <v>-7.0</v>
      </c>
      <c r="GF12" s="113">
        <v>-8.0</v>
      </c>
      <c r="GG12" s="114"/>
      <c r="GH12" s="114"/>
      <c r="GI12" s="114"/>
      <c r="GJ12" s="115"/>
      <c r="GK12" s="111">
        <v>-1.0</v>
      </c>
      <c r="GL12" s="112">
        <v>-2.0</v>
      </c>
      <c r="GM12" s="112">
        <v>-3.0</v>
      </c>
      <c r="GN12" s="112">
        <v>-4.0</v>
      </c>
      <c r="GO12" s="112">
        <v>-5.0</v>
      </c>
      <c r="GP12" s="112">
        <v>-6.0</v>
      </c>
      <c r="GQ12" s="112">
        <v>-7.0</v>
      </c>
      <c r="GR12" s="113">
        <v>-8.0</v>
      </c>
      <c r="GS12" s="114"/>
      <c r="GT12" s="114"/>
      <c r="GU12" s="114"/>
      <c r="GV12" s="115"/>
      <c r="GW12" s="111">
        <v>-1.0</v>
      </c>
      <c r="GX12" s="112">
        <v>-2.0</v>
      </c>
      <c r="GY12" s="112">
        <v>-3.0</v>
      </c>
      <c r="GZ12" s="112">
        <v>-4.0</v>
      </c>
      <c r="HA12" s="112">
        <v>-5.0</v>
      </c>
      <c r="HB12" s="112">
        <v>-6.0</v>
      </c>
      <c r="HC12" s="112">
        <v>-7.0</v>
      </c>
      <c r="HD12" s="113">
        <v>-8.0</v>
      </c>
      <c r="HE12" s="114"/>
      <c r="HF12" s="114"/>
      <c r="HG12" s="114"/>
      <c r="HH12" s="115"/>
      <c r="HI12" s="114"/>
    </row>
    <row r="13">
      <c r="A13" s="116"/>
      <c r="B13" s="117"/>
      <c r="C13" s="118"/>
      <c r="D13" s="118"/>
      <c r="E13" s="118"/>
      <c r="F13" s="118"/>
      <c r="G13" s="118"/>
      <c r="H13" s="119"/>
      <c r="I13" s="75"/>
      <c r="J13" s="75"/>
      <c r="K13" s="75"/>
      <c r="L13" s="81"/>
      <c r="M13" s="116"/>
      <c r="N13" s="117"/>
      <c r="O13" s="118"/>
      <c r="P13" s="118"/>
      <c r="Q13" s="118"/>
      <c r="R13" s="118"/>
      <c r="S13" s="118"/>
      <c r="T13" s="119"/>
      <c r="U13" s="75"/>
      <c r="V13" s="75"/>
      <c r="W13" s="75"/>
      <c r="X13" s="81"/>
      <c r="Y13" s="116"/>
      <c r="Z13" s="117"/>
      <c r="AA13" s="118"/>
      <c r="AB13" s="118"/>
      <c r="AC13" s="118"/>
      <c r="AD13" s="118"/>
      <c r="AE13" s="118"/>
      <c r="AF13" s="119"/>
      <c r="AG13" s="75"/>
      <c r="AH13" s="75"/>
      <c r="AI13" s="75"/>
      <c r="AJ13" s="81"/>
      <c r="AK13" s="116"/>
      <c r="AL13" s="117"/>
      <c r="AM13" s="118"/>
      <c r="AN13" s="118"/>
      <c r="AO13" s="118"/>
      <c r="AP13" s="118"/>
      <c r="AQ13" s="118"/>
      <c r="AR13" s="119"/>
      <c r="AS13" s="75"/>
      <c r="AT13" s="75"/>
      <c r="AU13" s="75"/>
      <c r="AV13" s="81"/>
      <c r="AW13" s="116"/>
      <c r="AX13" s="117"/>
      <c r="AY13" s="118"/>
      <c r="AZ13" s="118"/>
      <c r="BA13" s="118"/>
      <c r="BB13" s="118"/>
      <c r="BC13" s="118"/>
      <c r="BD13" s="119"/>
      <c r="BE13" s="75"/>
      <c r="BF13" s="75"/>
      <c r="BG13" s="75"/>
      <c r="BH13" s="81"/>
      <c r="BI13" s="116"/>
      <c r="BJ13" s="117"/>
      <c r="BK13" s="118"/>
      <c r="BL13" s="118"/>
      <c r="BM13" s="118"/>
      <c r="BN13" s="118"/>
      <c r="BO13" s="118"/>
      <c r="BP13" s="119"/>
      <c r="BQ13" s="75"/>
      <c r="BR13" s="75"/>
      <c r="BS13" s="75"/>
      <c r="BT13" s="81"/>
      <c r="BU13" s="116"/>
      <c r="BV13" s="117"/>
      <c r="BW13" s="118"/>
      <c r="BX13" s="118"/>
      <c r="BY13" s="118"/>
      <c r="BZ13" s="118"/>
      <c r="CA13" s="118"/>
      <c r="CB13" s="119"/>
      <c r="CC13" s="75"/>
      <c r="CD13" s="75"/>
      <c r="CE13" s="75"/>
      <c r="CF13" s="81"/>
      <c r="CG13" s="116"/>
      <c r="CH13" s="117"/>
      <c r="CI13" s="118"/>
      <c r="CJ13" s="118"/>
      <c r="CK13" s="118"/>
      <c r="CL13" s="118"/>
      <c r="CM13" s="118"/>
      <c r="CN13" s="119"/>
      <c r="CO13" s="75"/>
      <c r="CP13" s="75"/>
      <c r="CQ13" s="75"/>
      <c r="CR13" s="81"/>
      <c r="CS13" s="116"/>
      <c r="CT13" s="117"/>
      <c r="CU13" s="118"/>
      <c r="CV13" s="118"/>
      <c r="CW13" s="118"/>
      <c r="CX13" s="118"/>
      <c r="CY13" s="118"/>
      <c r="CZ13" s="119"/>
      <c r="DA13" s="75"/>
      <c r="DB13" s="75"/>
      <c r="DC13" s="75"/>
      <c r="DD13" s="81"/>
      <c r="DE13" s="116"/>
      <c r="DF13" s="117"/>
      <c r="DG13" s="118"/>
      <c r="DH13" s="118"/>
      <c r="DI13" s="118"/>
      <c r="DJ13" s="118"/>
      <c r="DK13" s="118"/>
      <c r="DL13" s="119"/>
      <c r="DM13" s="75"/>
      <c r="DN13" s="75"/>
      <c r="DO13" s="75"/>
      <c r="DP13" s="81"/>
      <c r="DQ13" s="116"/>
      <c r="DR13" s="117"/>
      <c r="DS13" s="118"/>
      <c r="DT13" s="118"/>
      <c r="DU13" s="118"/>
      <c r="DV13" s="118"/>
      <c r="DW13" s="118"/>
      <c r="DX13" s="119"/>
      <c r="DY13" s="75"/>
      <c r="DZ13" s="75"/>
      <c r="EA13" s="75"/>
      <c r="EB13" s="81"/>
      <c r="EC13" s="116"/>
      <c r="ED13" s="117"/>
      <c r="EE13" s="118"/>
      <c r="EF13" s="118"/>
      <c r="EG13" s="118"/>
      <c r="EH13" s="118"/>
      <c r="EI13" s="118"/>
      <c r="EJ13" s="119"/>
      <c r="EK13" s="75"/>
      <c r="EL13" s="75"/>
      <c r="EM13" s="75"/>
      <c r="EN13" s="81"/>
      <c r="EO13" s="116"/>
      <c r="EP13" s="117"/>
      <c r="EQ13" s="118"/>
      <c r="ER13" s="118"/>
      <c r="ES13" s="118"/>
      <c r="ET13" s="118"/>
      <c r="EU13" s="118"/>
      <c r="EV13" s="119"/>
      <c r="EW13" s="75"/>
      <c r="EX13" s="75"/>
      <c r="EY13" s="75"/>
      <c r="EZ13" s="81"/>
      <c r="FA13" s="116"/>
      <c r="FB13" s="117"/>
      <c r="FC13" s="118"/>
      <c r="FD13" s="118"/>
      <c r="FE13" s="118"/>
      <c r="FF13" s="118"/>
      <c r="FG13" s="118"/>
      <c r="FH13" s="119"/>
      <c r="FI13" s="75"/>
      <c r="FJ13" s="75"/>
      <c r="FK13" s="75"/>
      <c r="FL13" s="81"/>
      <c r="FM13" s="116"/>
      <c r="FN13" s="117"/>
      <c r="FO13" s="118"/>
      <c r="FP13" s="118"/>
      <c r="FQ13" s="118"/>
      <c r="FR13" s="118"/>
      <c r="FS13" s="118"/>
      <c r="FT13" s="119"/>
      <c r="FU13" s="75"/>
      <c r="FV13" s="75"/>
      <c r="FW13" s="75"/>
      <c r="FX13" s="81"/>
      <c r="FY13" s="116"/>
      <c r="FZ13" s="117"/>
      <c r="GA13" s="118"/>
      <c r="GB13" s="118"/>
      <c r="GC13" s="118"/>
      <c r="GD13" s="118"/>
      <c r="GE13" s="118"/>
      <c r="GF13" s="119"/>
      <c r="GG13" s="75"/>
      <c r="GH13" s="75"/>
      <c r="GI13" s="75"/>
      <c r="GJ13" s="81"/>
      <c r="GK13" s="116"/>
      <c r="GL13" s="117"/>
      <c r="GM13" s="118"/>
      <c r="GN13" s="118"/>
      <c r="GO13" s="118"/>
      <c r="GP13" s="118"/>
      <c r="GQ13" s="118"/>
      <c r="GR13" s="119"/>
      <c r="GS13" s="75"/>
      <c r="GT13" s="75"/>
      <c r="GU13" s="75"/>
      <c r="GV13" s="81"/>
      <c r="GW13" s="116"/>
      <c r="GX13" s="117"/>
      <c r="GY13" s="118"/>
      <c r="GZ13" s="118"/>
      <c r="HA13" s="118"/>
      <c r="HB13" s="118"/>
      <c r="HC13" s="118"/>
      <c r="HD13" s="119"/>
      <c r="HE13" s="75"/>
      <c r="HF13" s="75"/>
      <c r="HG13" s="75"/>
      <c r="HH13" s="81"/>
      <c r="HI13" s="75"/>
    </row>
    <row r="14">
      <c r="A14" s="120">
        <v>1.0</v>
      </c>
      <c r="B14" s="121" t="s">
        <v>71</v>
      </c>
      <c r="C14" s="122"/>
      <c r="D14" s="123">
        <f t="shared" ref="D14:D19" si="1">1.16180660667508/100</f>
        <v>0.01161806607</v>
      </c>
      <c r="E14" s="122">
        <f t="shared" ref="E14:E19" si="2">IFERROR(+D14*C14,"0")</f>
        <v>0</v>
      </c>
      <c r="F14" s="123">
        <v>0.16716266605705102</v>
      </c>
      <c r="G14" s="122">
        <f t="shared" ref="G14:G19" si="3">IFERROR(+E14*F14,"")</f>
        <v>0</v>
      </c>
      <c r="H14" s="124">
        <f t="shared" ref="H14:H19" si="4">IFERROR(+(IF(E14="","0",E14))-(IF(G14="","0",G14)),"")</f>
        <v>0</v>
      </c>
      <c r="I14" s="75"/>
      <c r="J14" s="75"/>
      <c r="K14" s="75"/>
      <c r="L14" s="81"/>
      <c r="M14" s="120">
        <v>1.0</v>
      </c>
      <c r="N14" s="121" t="s">
        <v>71</v>
      </c>
      <c r="O14" s="122"/>
      <c r="P14" s="123">
        <f t="shared" ref="P14:P19" si="5">1.16180660667508/100</f>
        <v>0.01161806607</v>
      </c>
      <c r="Q14" s="122">
        <f t="shared" ref="Q14:Q19" si="6">IFERROR(+P14*O14,"0")</f>
        <v>0</v>
      </c>
      <c r="R14" s="123">
        <v>0.16716266605705102</v>
      </c>
      <c r="S14" s="122">
        <f t="shared" ref="S14:S19" si="7">IFERROR(+Q14*R14,"")</f>
        <v>0</v>
      </c>
      <c r="T14" s="124">
        <f t="shared" ref="T14:T19" si="8">IFERROR(+(IF(Q14="","0",Q14))-(IF(S14="","0",S14)),"")</f>
        <v>0</v>
      </c>
      <c r="U14" s="75"/>
      <c r="V14" s="75"/>
      <c r="W14" s="75"/>
      <c r="X14" s="81"/>
      <c r="Y14" s="120">
        <v>1.0</v>
      </c>
      <c r="Z14" s="121" t="s">
        <v>71</v>
      </c>
      <c r="AA14" s="122"/>
      <c r="AB14" s="123">
        <f t="shared" ref="AB14:AB19" si="9">1.16180660667508/100</f>
        <v>0.01161806607</v>
      </c>
      <c r="AC14" s="122">
        <f t="shared" ref="AC14:AC19" si="10">IFERROR(+AB14*AA14,"0")</f>
        <v>0</v>
      </c>
      <c r="AD14" s="123">
        <v>0.16716266605705102</v>
      </c>
      <c r="AE14" s="122">
        <f t="shared" ref="AE14:AE19" si="11">IFERROR(+AC14*AD14,"")</f>
        <v>0</v>
      </c>
      <c r="AF14" s="124">
        <f t="shared" ref="AF14:AF19" si="12">IFERROR(+(IF(AC14="","0",AC14))-(IF(AE14="","0",AE14)),"")</f>
        <v>0</v>
      </c>
      <c r="AG14" s="75"/>
      <c r="AH14" s="75"/>
      <c r="AI14" s="75"/>
      <c r="AJ14" s="81"/>
      <c r="AK14" s="120">
        <v>1.0</v>
      </c>
      <c r="AL14" s="121" t="s">
        <v>71</v>
      </c>
      <c r="AM14" s="122"/>
      <c r="AN14" s="123">
        <f t="shared" ref="AN14:AN19" si="13">1.16180660667508/100</f>
        <v>0.01161806607</v>
      </c>
      <c r="AO14" s="122">
        <f t="shared" ref="AO14:AO19" si="14">IFERROR(+AN14*AM14,"0")</f>
        <v>0</v>
      </c>
      <c r="AP14" s="123">
        <v>0.16716266605705102</v>
      </c>
      <c r="AQ14" s="122">
        <f t="shared" ref="AQ14:AQ19" si="15">IFERROR(+AO14*AP14,"")</f>
        <v>0</v>
      </c>
      <c r="AR14" s="124">
        <f t="shared" ref="AR14:AR19" si="16">IFERROR(+(IF(AO14="","0",AO14))-(IF(AQ14="","0",AQ14)),"")</f>
        <v>0</v>
      </c>
      <c r="AS14" s="75"/>
      <c r="AT14" s="75"/>
      <c r="AU14" s="75"/>
      <c r="AV14" s="81"/>
      <c r="AW14" s="120">
        <v>1.0</v>
      </c>
      <c r="AX14" s="121" t="s">
        <v>71</v>
      </c>
      <c r="AY14" s="122"/>
      <c r="AZ14" s="123">
        <f t="shared" ref="AZ14:AZ19" si="17">1.16180660667508/100</f>
        <v>0.01161806607</v>
      </c>
      <c r="BA14" s="122">
        <f t="shared" ref="BA14:BA19" si="18">IFERROR(+AZ14*AY14,"0")</f>
        <v>0</v>
      </c>
      <c r="BB14" s="123">
        <v>0.16716266605705102</v>
      </c>
      <c r="BC14" s="122">
        <f t="shared" ref="BC14:BC19" si="19">IFERROR(+BA14*BB14,"")</f>
        <v>0</v>
      </c>
      <c r="BD14" s="124">
        <f t="shared" ref="BD14:BD19" si="20">IFERROR(+(IF(BA14="","0",BA14))-(IF(BC14="","0",BC14)),"")</f>
        <v>0</v>
      </c>
      <c r="BE14" s="75"/>
      <c r="BF14" s="75"/>
      <c r="BG14" s="75"/>
      <c r="BH14" s="81"/>
      <c r="BI14" s="120">
        <v>1.0</v>
      </c>
      <c r="BJ14" s="121" t="s">
        <v>71</v>
      </c>
      <c r="BK14" s="122"/>
      <c r="BL14" s="123">
        <f t="shared" ref="BL14:BL19" si="21">1.16180660667508/100</f>
        <v>0.01161806607</v>
      </c>
      <c r="BM14" s="122">
        <f t="shared" ref="BM14:BM19" si="22">IFERROR(+BL14*BK14,"0")</f>
        <v>0</v>
      </c>
      <c r="BN14" s="123">
        <v>0.16716266605705102</v>
      </c>
      <c r="BO14" s="122">
        <f t="shared" ref="BO14:BO19" si="23">IFERROR(+BM14*BN14,"")</f>
        <v>0</v>
      </c>
      <c r="BP14" s="124">
        <f t="shared" ref="BP14:BP19" si="24">IFERROR(+(IF(BM14="","0",BM14))-(IF(BO14="","0",BO14)),"")</f>
        <v>0</v>
      </c>
      <c r="BQ14" s="75"/>
      <c r="BR14" s="75"/>
      <c r="BS14" s="75"/>
      <c r="BT14" s="81"/>
      <c r="BU14" s="120">
        <v>1.0</v>
      </c>
      <c r="BV14" s="121" t="s">
        <v>71</v>
      </c>
      <c r="BW14" s="122"/>
      <c r="BX14" s="123">
        <f t="shared" ref="BX14:BX19" si="25">1.16180660667508/100</f>
        <v>0.01161806607</v>
      </c>
      <c r="BY14" s="122">
        <f t="shared" ref="BY14:BY19" si="26">IFERROR(+BX14*BW14,"0")</f>
        <v>0</v>
      </c>
      <c r="BZ14" s="123">
        <v>0.16716266605705102</v>
      </c>
      <c r="CA14" s="122">
        <f t="shared" ref="CA14:CA19" si="27">IFERROR(+BY14*BZ14,"")</f>
        <v>0</v>
      </c>
      <c r="CB14" s="124">
        <f t="shared" ref="CB14:CB19" si="28">IFERROR(+(IF(BY14="","0",BY14))-(IF(CA14="","0",CA14)),"")</f>
        <v>0</v>
      </c>
      <c r="CC14" s="75"/>
      <c r="CD14" s="75"/>
      <c r="CE14" s="75"/>
      <c r="CF14" s="81"/>
      <c r="CG14" s="120">
        <v>1.0</v>
      </c>
      <c r="CH14" s="121" t="s">
        <v>71</v>
      </c>
      <c r="CI14" s="122"/>
      <c r="CJ14" s="123">
        <f t="shared" ref="CJ14:CJ19" si="29">1.16180660667508/100</f>
        <v>0.01161806607</v>
      </c>
      <c r="CK14" s="122">
        <f t="shared" ref="CK14:CK19" si="30">IFERROR(+CJ14*CI14,"0")</f>
        <v>0</v>
      </c>
      <c r="CL14" s="123">
        <v>0.16716266605705102</v>
      </c>
      <c r="CM14" s="122">
        <f t="shared" ref="CM14:CM19" si="31">IFERROR(+CK14*CL14,"")</f>
        <v>0</v>
      </c>
      <c r="CN14" s="124">
        <f t="shared" ref="CN14:CN19" si="32">IFERROR(+(IF(CK14="","0",CK14))-(IF(CM14="","0",CM14)),"")</f>
        <v>0</v>
      </c>
      <c r="CO14" s="75"/>
      <c r="CP14" s="75"/>
      <c r="CQ14" s="75"/>
      <c r="CR14" s="81"/>
      <c r="CS14" s="120">
        <v>1.0</v>
      </c>
      <c r="CT14" s="121" t="s">
        <v>71</v>
      </c>
      <c r="CU14" s="122"/>
      <c r="CV14" s="123">
        <f t="shared" ref="CV14:CV19" si="33">1.16180660667508/100</f>
        <v>0.01161806607</v>
      </c>
      <c r="CW14" s="122">
        <f t="shared" ref="CW14:CW19" si="34">IFERROR(+CV14*CU14,"0")</f>
        <v>0</v>
      </c>
      <c r="CX14" s="123">
        <v>0.16716266605705102</v>
      </c>
      <c r="CY14" s="122">
        <f t="shared" ref="CY14:CY19" si="35">IFERROR(+CW14*CX14,"")</f>
        <v>0</v>
      </c>
      <c r="CZ14" s="124">
        <f t="shared" ref="CZ14:CZ19" si="36">IFERROR(+(IF(CW14="","0",CW14))-(IF(CY14="","0",CY14)),"")</f>
        <v>0</v>
      </c>
      <c r="DA14" s="75"/>
      <c r="DB14" s="75"/>
      <c r="DC14" s="75"/>
      <c r="DD14" s="81"/>
      <c r="DE14" s="120">
        <v>1.0</v>
      </c>
      <c r="DF14" s="121" t="s">
        <v>71</v>
      </c>
      <c r="DG14" s="122"/>
      <c r="DH14" s="123">
        <f t="shared" ref="DH14:DH19" si="37">1.16180660667508/100</f>
        <v>0.01161806607</v>
      </c>
      <c r="DI14" s="122">
        <f t="shared" ref="DI14:DI19" si="38">IFERROR(+DH14*DG14,"0")</f>
        <v>0</v>
      </c>
      <c r="DJ14" s="123">
        <v>0.16716266605705102</v>
      </c>
      <c r="DK14" s="122">
        <f t="shared" ref="DK14:DK19" si="39">IFERROR(+DI14*DJ14,"")</f>
        <v>0</v>
      </c>
      <c r="DL14" s="124">
        <f t="shared" ref="DL14:DL19" si="40">IFERROR(+(IF(DI14="","0",DI14))-(IF(DK14="","0",DK14)),"")</f>
        <v>0</v>
      </c>
      <c r="DM14" s="75"/>
      <c r="DN14" s="75"/>
      <c r="DO14" s="75"/>
      <c r="DP14" s="81"/>
      <c r="DQ14" s="120">
        <v>1.0</v>
      </c>
      <c r="DR14" s="121" t="s">
        <v>71</v>
      </c>
      <c r="DS14" s="122"/>
      <c r="DT14" s="123">
        <f t="shared" ref="DT14:DT19" si="41">1.16180660667508/100</f>
        <v>0.01161806607</v>
      </c>
      <c r="DU14" s="122">
        <f t="shared" ref="DU14:DU19" si="42">IFERROR(+DT14*DS14,"0")</f>
        <v>0</v>
      </c>
      <c r="DV14" s="123">
        <v>0.16716266605705102</v>
      </c>
      <c r="DW14" s="122">
        <f t="shared" ref="DW14:DW19" si="43">IFERROR(+DU14*DV14,"")</f>
        <v>0</v>
      </c>
      <c r="DX14" s="124">
        <f t="shared" ref="DX14:DX19" si="44">IFERROR(+(IF(DU14="","0",DU14))-(IF(DW14="","0",DW14)),"")</f>
        <v>0</v>
      </c>
      <c r="DY14" s="75"/>
      <c r="DZ14" s="75"/>
      <c r="EA14" s="75"/>
      <c r="EB14" s="81"/>
      <c r="EC14" s="120">
        <v>1.0</v>
      </c>
      <c r="ED14" s="121" t="s">
        <v>71</v>
      </c>
      <c r="EE14" s="122"/>
      <c r="EF14" s="123">
        <f t="shared" ref="EF14:EF19" si="45">1.16180660667508/100</f>
        <v>0.01161806607</v>
      </c>
      <c r="EG14" s="122">
        <f t="shared" ref="EG14:EG19" si="46">IFERROR(+EF14*EE14,"0")</f>
        <v>0</v>
      </c>
      <c r="EH14" s="123">
        <v>0.16716266605705102</v>
      </c>
      <c r="EI14" s="122">
        <f t="shared" ref="EI14:EI19" si="47">IFERROR(+EG14*EH14,"")</f>
        <v>0</v>
      </c>
      <c r="EJ14" s="124">
        <f t="shared" ref="EJ14:EJ19" si="48">IFERROR(+(IF(EG14="","0",EG14))-(IF(EI14="","0",EI14)),"")</f>
        <v>0</v>
      </c>
      <c r="EK14" s="75"/>
      <c r="EL14" s="75"/>
      <c r="EM14" s="75"/>
      <c r="EN14" s="81"/>
      <c r="EO14" s="120">
        <v>1.0</v>
      </c>
      <c r="EP14" s="121" t="s">
        <v>71</v>
      </c>
      <c r="EQ14" s="122"/>
      <c r="ER14" s="123">
        <f t="shared" ref="ER14:ER19" si="49">1.16180660667508/100</f>
        <v>0.01161806607</v>
      </c>
      <c r="ES14" s="122">
        <f t="shared" ref="ES14:ES19" si="50">IFERROR(+ER14*EQ14,"0")</f>
        <v>0</v>
      </c>
      <c r="ET14" s="123">
        <v>0.16716266605705102</v>
      </c>
      <c r="EU14" s="122">
        <f t="shared" ref="EU14:EU19" si="51">IFERROR(+ES14*ET14,"")</f>
        <v>0</v>
      </c>
      <c r="EV14" s="124">
        <f t="shared" ref="EV14:EV19" si="52">IFERROR(+(IF(ES14="","0",ES14))-(IF(EU14="","0",EU14)),"")</f>
        <v>0</v>
      </c>
      <c r="EW14" s="75"/>
      <c r="EX14" s="75"/>
      <c r="EY14" s="75"/>
      <c r="EZ14" s="81"/>
      <c r="FA14" s="120">
        <v>1.0</v>
      </c>
      <c r="FB14" s="121" t="s">
        <v>71</v>
      </c>
      <c r="FC14" s="122"/>
      <c r="FD14" s="123">
        <f t="shared" ref="FD14:FD19" si="53">1.16180660667508/100</f>
        <v>0.01161806607</v>
      </c>
      <c r="FE14" s="122">
        <f t="shared" ref="FE14:FE19" si="54">IFERROR(+FD14*FC14,"0")</f>
        <v>0</v>
      </c>
      <c r="FF14" s="123">
        <v>0.16716266605705102</v>
      </c>
      <c r="FG14" s="122">
        <f t="shared" ref="FG14:FG19" si="55">IFERROR(+FE14*FF14,"")</f>
        <v>0</v>
      </c>
      <c r="FH14" s="124">
        <f t="shared" ref="FH14:FH19" si="56">IFERROR(+(IF(FE14="","0",FE14))-(IF(FG14="","0",FG14)),"")</f>
        <v>0</v>
      </c>
      <c r="FI14" s="75"/>
      <c r="FJ14" s="75"/>
      <c r="FK14" s="75"/>
      <c r="FL14" s="81"/>
      <c r="FM14" s="120">
        <v>1.0</v>
      </c>
      <c r="FN14" s="121" t="s">
        <v>71</v>
      </c>
      <c r="FO14" s="122"/>
      <c r="FP14" s="123">
        <f t="shared" ref="FP14:FP19" si="57">1.16180660667508/100</f>
        <v>0.01161806607</v>
      </c>
      <c r="FQ14" s="122">
        <f t="shared" ref="FQ14:FQ19" si="58">IFERROR(+FP14*FO14,"0")</f>
        <v>0</v>
      </c>
      <c r="FR14" s="123">
        <v>0.16716266605705102</v>
      </c>
      <c r="FS14" s="122">
        <f t="shared" ref="FS14:FS19" si="59">IFERROR(+FQ14*FR14,"")</f>
        <v>0</v>
      </c>
      <c r="FT14" s="124">
        <f t="shared" ref="FT14:FT19" si="60">IFERROR(+(IF(FQ14="","0",FQ14))-(IF(FS14="","0",FS14)),"")</f>
        <v>0</v>
      </c>
      <c r="FU14" s="75"/>
      <c r="FV14" s="75"/>
      <c r="FW14" s="75"/>
      <c r="FX14" s="81"/>
      <c r="FY14" s="120">
        <v>1.0</v>
      </c>
      <c r="FZ14" s="121" t="s">
        <v>71</v>
      </c>
      <c r="GA14" s="122"/>
      <c r="GB14" s="123">
        <f t="shared" ref="GB14:GB19" si="61">1.16180660667508/100</f>
        <v>0.01161806607</v>
      </c>
      <c r="GC14" s="122">
        <f t="shared" ref="GC14:GC19" si="62">IFERROR(+GB14*GA14,"0")</f>
        <v>0</v>
      </c>
      <c r="GD14" s="123">
        <v>0.16716266605705102</v>
      </c>
      <c r="GE14" s="122">
        <f t="shared" ref="GE14:GE19" si="63">IFERROR(+GC14*GD14,"")</f>
        <v>0</v>
      </c>
      <c r="GF14" s="124">
        <f t="shared" ref="GF14:GF19" si="64">IFERROR(+(IF(GC14="","0",GC14))-(IF(GE14="","0",GE14)),"")</f>
        <v>0</v>
      </c>
      <c r="GG14" s="75"/>
      <c r="GH14" s="75"/>
      <c r="GI14" s="75"/>
      <c r="GJ14" s="81"/>
      <c r="GK14" s="120">
        <v>1.0</v>
      </c>
      <c r="GL14" s="121" t="s">
        <v>71</v>
      </c>
      <c r="GM14" s="122"/>
      <c r="GN14" s="123">
        <f t="shared" ref="GN14:GN19" si="65">1.16180660667508/100</f>
        <v>0.01161806607</v>
      </c>
      <c r="GO14" s="122">
        <f t="shared" ref="GO14:GO19" si="66">IFERROR(+GN14*GM14,"0")</f>
        <v>0</v>
      </c>
      <c r="GP14" s="123">
        <v>0.16716266605705102</v>
      </c>
      <c r="GQ14" s="122">
        <f t="shared" ref="GQ14:GQ19" si="67">IFERROR(+GO14*GP14,"")</f>
        <v>0</v>
      </c>
      <c r="GR14" s="124">
        <f t="shared" ref="GR14:GR19" si="68">IFERROR(+(IF(GO14="","0",GO14))-(IF(GQ14="","0",GQ14)),"")</f>
        <v>0</v>
      </c>
      <c r="GS14" s="75"/>
      <c r="GT14" s="75"/>
      <c r="GU14" s="75"/>
      <c r="GV14" s="81"/>
      <c r="GW14" s="120">
        <v>1.0</v>
      </c>
      <c r="GX14" s="121" t="s">
        <v>71</v>
      </c>
      <c r="GY14" s="122"/>
      <c r="GZ14" s="123">
        <f t="shared" ref="GZ14:GZ19" si="69">1.16180660667508/100</f>
        <v>0.01161806607</v>
      </c>
      <c r="HA14" s="122">
        <f t="shared" ref="HA14:HA19" si="70">IFERROR(+GZ14*GY14,"0")</f>
        <v>0</v>
      </c>
      <c r="HB14" s="123">
        <v>0.16716266605705102</v>
      </c>
      <c r="HC14" s="122">
        <f t="shared" ref="HC14:HC19" si="71">IFERROR(+HA14*HB14,"")</f>
        <v>0</v>
      </c>
      <c r="HD14" s="124">
        <f t="shared" ref="HD14:HD19" si="72">IFERROR(+(IF(HA14="","0",HA14))-(IF(HC14="","0",HC14)),"")</f>
        <v>0</v>
      </c>
      <c r="HE14" s="75"/>
      <c r="HF14" s="75"/>
      <c r="HG14" s="75"/>
      <c r="HH14" s="81"/>
      <c r="HI14" s="75"/>
    </row>
    <row r="15">
      <c r="A15" s="120">
        <f t="shared" ref="A15:A19" si="73">A14+1</f>
        <v>2</v>
      </c>
      <c r="B15" s="121" t="s">
        <v>72</v>
      </c>
      <c r="C15" s="122"/>
      <c r="D15" s="123">
        <f t="shared" si="1"/>
        <v>0.01161806607</v>
      </c>
      <c r="E15" s="122">
        <f t="shared" si="2"/>
        <v>0</v>
      </c>
      <c r="F15" s="123">
        <v>0.16716266605705102</v>
      </c>
      <c r="G15" s="122">
        <f t="shared" si="3"/>
        <v>0</v>
      </c>
      <c r="H15" s="124">
        <f t="shared" si="4"/>
        <v>0</v>
      </c>
      <c r="I15" s="75"/>
      <c r="J15" s="75"/>
      <c r="K15" s="75"/>
      <c r="L15" s="81"/>
      <c r="M15" s="120">
        <f t="shared" ref="M15:M19" si="74">M14+1</f>
        <v>2</v>
      </c>
      <c r="N15" s="121" t="s">
        <v>72</v>
      </c>
      <c r="O15" s="122"/>
      <c r="P15" s="123">
        <f t="shared" si="5"/>
        <v>0.01161806607</v>
      </c>
      <c r="Q15" s="122">
        <f t="shared" si="6"/>
        <v>0</v>
      </c>
      <c r="R15" s="123">
        <v>0.16716266605705102</v>
      </c>
      <c r="S15" s="122">
        <f t="shared" si="7"/>
        <v>0</v>
      </c>
      <c r="T15" s="124">
        <f t="shared" si="8"/>
        <v>0</v>
      </c>
      <c r="U15" s="75"/>
      <c r="V15" s="75"/>
      <c r="W15" s="75"/>
      <c r="X15" s="81"/>
      <c r="Y15" s="120">
        <f t="shared" ref="Y15:Y19" si="75">Y14+1</f>
        <v>2</v>
      </c>
      <c r="Z15" s="121" t="s">
        <v>72</v>
      </c>
      <c r="AA15" s="122"/>
      <c r="AB15" s="123">
        <f t="shared" si="9"/>
        <v>0.01161806607</v>
      </c>
      <c r="AC15" s="122">
        <f t="shared" si="10"/>
        <v>0</v>
      </c>
      <c r="AD15" s="123">
        <v>0.16716266605705102</v>
      </c>
      <c r="AE15" s="122">
        <f t="shared" si="11"/>
        <v>0</v>
      </c>
      <c r="AF15" s="124">
        <f t="shared" si="12"/>
        <v>0</v>
      </c>
      <c r="AG15" s="75"/>
      <c r="AH15" s="75"/>
      <c r="AI15" s="75"/>
      <c r="AJ15" s="81"/>
      <c r="AK15" s="120">
        <f t="shared" ref="AK15:AK19" si="76">AK14+1</f>
        <v>2</v>
      </c>
      <c r="AL15" s="121" t="s">
        <v>72</v>
      </c>
      <c r="AM15" s="122"/>
      <c r="AN15" s="123">
        <f t="shared" si="13"/>
        <v>0.01161806607</v>
      </c>
      <c r="AO15" s="122">
        <f t="shared" si="14"/>
        <v>0</v>
      </c>
      <c r="AP15" s="123">
        <v>0.16716266605705102</v>
      </c>
      <c r="AQ15" s="122">
        <f t="shared" si="15"/>
        <v>0</v>
      </c>
      <c r="AR15" s="124">
        <f t="shared" si="16"/>
        <v>0</v>
      </c>
      <c r="AS15" s="75"/>
      <c r="AT15" s="75"/>
      <c r="AU15" s="75"/>
      <c r="AV15" s="81"/>
      <c r="AW15" s="120">
        <f t="shared" ref="AW15:AW19" si="77">AW14+1</f>
        <v>2</v>
      </c>
      <c r="AX15" s="121" t="s">
        <v>72</v>
      </c>
      <c r="AY15" s="122"/>
      <c r="AZ15" s="123">
        <f t="shared" si="17"/>
        <v>0.01161806607</v>
      </c>
      <c r="BA15" s="122">
        <f t="shared" si="18"/>
        <v>0</v>
      </c>
      <c r="BB15" s="123">
        <v>0.16716266605705102</v>
      </c>
      <c r="BC15" s="122">
        <f t="shared" si="19"/>
        <v>0</v>
      </c>
      <c r="BD15" s="124">
        <f t="shared" si="20"/>
        <v>0</v>
      </c>
      <c r="BE15" s="75"/>
      <c r="BF15" s="75"/>
      <c r="BG15" s="75"/>
      <c r="BH15" s="81"/>
      <c r="BI15" s="120">
        <f t="shared" ref="BI15:BI19" si="78">BI14+1</f>
        <v>2</v>
      </c>
      <c r="BJ15" s="121" t="s">
        <v>72</v>
      </c>
      <c r="BK15" s="122"/>
      <c r="BL15" s="123">
        <f t="shared" si="21"/>
        <v>0.01161806607</v>
      </c>
      <c r="BM15" s="122">
        <f t="shared" si="22"/>
        <v>0</v>
      </c>
      <c r="BN15" s="123">
        <v>0.16716266605705102</v>
      </c>
      <c r="BO15" s="122">
        <f t="shared" si="23"/>
        <v>0</v>
      </c>
      <c r="BP15" s="124">
        <f t="shared" si="24"/>
        <v>0</v>
      </c>
      <c r="BQ15" s="75"/>
      <c r="BR15" s="75"/>
      <c r="BS15" s="75"/>
      <c r="BT15" s="81"/>
      <c r="BU15" s="120">
        <f t="shared" ref="BU15:BU19" si="79">BU14+1</f>
        <v>2</v>
      </c>
      <c r="BV15" s="121" t="s">
        <v>72</v>
      </c>
      <c r="BW15" s="122"/>
      <c r="BX15" s="123">
        <f t="shared" si="25"/>
        <v>0.01161806607</v>
      </c>
      <c r="BY15" s="122">
        <f t="shared" si="26"/>
        <v>0</v>
      </c>
      <c r="BZ15" s="123">
        <v>0.16716266605705102</v>
      </c>
      <c r="CA15" s="122">
        <f t="shared" si="27"/>
        <v>0</v>
      </c>
      <c r="CB15" s="124">
        <f t="shared" si="28"/>
        <v>0</v>
      </c>
      <c r="CC15" s="75"/>
      <c r="CD15" s="75"/>
      <c r="CE15" s="75"/>
      <c r="CF15" s="81"/>
      <c r="CG15" s="120">
        <f t="shared" ref="CG15:CG19" si="80">CG14+1</f>
        <v>2</v>
      </c>
      <c r="CH15" s="121" t="s">
        <v>72</v>
      </c>
      <c r="CI15" s="122"/>
      <c r="CJ15" s="123">
        <f t="shared" si="29"/>
        <v>0.01161806607</v>
      </c>
      <c r="CK15" s="122">
        <f t="shared" si="30"/>
        <v>0</v>
      </c>
      <c r="CL15" s="123">
        <v>0.16716266605705102</v>
      </c>
      <c r="CM15" s="122">
        <f t="shared" si="31"/>
        <v>0</v>
      </c>
      <c r="CN15" s="124">
        <f t="shared" si="32"/>
        <v>0</v>
      </c>
      <c r="CO15" s="75"/>
      <c r="CP15" s="75"/>
      <c r="CQ15" s="75"/>
      <c r="CR15" s="81"/>
      <c r="CS15" s="120">
        <f t="shared" ref="CS15:CS19" si="81">CS14+1</f>
        <v>2</v>
      </c>
      <c r="CT15" s="121" t="s">
        <v>72</v>
      </c>
      <c r="CU15" s="122"/>
      <c r="CV15" s="123">
        <f t="shared" si="33"/>
        <v>0.01161806607</v>
      </c>
      <c r="CW15" s="122">
        <f t="shared" si="34"/>
        <v>0</v>
      </c>
      <c r="CX15" s="123">
        <v>0.16716266605705102</v>
      </c>
      <c r="CY15" s="122">
        <f t="shared" si="35"/>
        <v>0</v>
      </c>
      <c r="CZ15" s="124">
        <f t="shared" si="36"/>
        <v>0</v>
      </c>
      <c r="DA15" s="75"/>
      <c r="DB15" s="75"/>
      <c r="DC15" s="75"/>
      <c r="DD15" s="81"/>
      <c r="DE15" s="120">
        <f t="shared" ref="DE15:DE19" si="82">DE14+1</f>
        <v>2</v>
      </c>
      <c r="DF15" s="121" t="s">
        <v>72</v>
      </c>
      <c r="DG15" s="122"/>
      <c r="DH15" s="123">
        <f t="shared" si="37"/>
        <v>0.01161806607</v>
      </c>
      <c r="DI15" s="122">
        <f t="shared" si="38"/>
        <v>0</v>
      </c>
      <c r="DJ15" s="123">
        <v>0.16716266605705102</v>
      </c>
      <c r="DK15" s="122">
        <f t="shared" si="39"/>
        <v>0</v>
      </c>
      <c r="DL15" s="124">
        <f t="shared" si="40"/>
        <v>0</v>
      </c>
      <c r="DM15" s="75"/>
      <c r="DN15" s="75"/>
      <c r="DO15" s="75"/>
      <c r="DP15" s="81"/>
      <c r="DQ15" s="120">
        <f t="shared" ref="DQ15:DQ19" si="83">DQ14+1</f>
        <v>2</v>
      </c>
      <c r="DR15" s="121" t="s">
        <v>72</v>
      </c>
      <c r="DS15" s="122"/>
      <c r="DT15" s="123">
        <f t="shared" si="41"/>
        <v>0.01161806607</v>
      </c>
      <c r="DU15" s="122">
        <f t="shared" si="42"/>
        <v>0</v>
      </c>
      <c r="DV15" s="123">
        <v>0.16716266605705102</v>
      </c>
      <c r="DW15" s="122">
        <f t="shared" si="43"/>
        <v>0</v>
      </c>
      <c r="DX15" s="124">
        <f t="shared" si="44"/>
        <v>0</v>
      </c>
      <c r="DY15" s="75"/>
      <c r="DZ15" s="75"/>
      <c r="EA15" s="75"/>
      <c r="EB15" s="81"/>
      <c r="EC15" s="120">
        <f t="shared" ref="EC15:EC19" si="84">EC14+1</f>
        <v>2</v>
      </c>
      <c r="ED15" s="121" t="s">
        <v>72</v>
      </c>
      <c r="EE15" s="122"/>
      <c r="EF15" s="123">
        <f t="shared" si="45"/>
        <v>0.01161806607</v>
      </c>
      <c r="EG15" s="122">
        <f t="shared" si="46"/>
        <v>0</v>
      </c>
      <c r="EH15" s="123">
        <v>0.16716266605705102</v>
      </c>
      <c r="EI15" s="122">
        <f t="shared" si="47"/>
        <v>0</v>
      </c>
      <c r="EJ15" s="124">
        <f t="shared" si="48"/>
        <v>0</v>
      </c>
      <c r="EK15" s="75"/>
      <c r="EL15" s="75"/>
      <c r="EM15" s="75"/>
      <c r="EN15" s="81"/>
      <c r="EO15" s="120">
        <f t="shared" ref="EO15:EO19" si="85">EO14+1</f>
        <v>2</v>
      </c>
      <c r="EP15" s="121" t="s">
        <v>72</v>
      </c>
      <c r="EQ15" s="122"/>
      <c r="ER15" s="123">
        <f t="shared" si="49"/>
        <v>0.01161806607</v>
      </c>
      <c r="ES15" s="122">
        <f t="shared" si="50"/>
        <v>0</v>
      </c>
      <c r="ET15" s="123">
        <v>0.16716266605705102</v>
      </c>
      <c r="EU15" s="122">
        <f t="shared" si="51"/>
        <v>0</v>
      </c>
      <c r="EV15" s="124">
        <f t="shared" si="52"/>
        <v>0</v>
      </c>
      <c r="EW15" s="75"/>
      <c r="EX15" s="75"/>
      <c r="EY15" s="75"/>
      <c r="EZ15" s="81"/>
      <c r="FA15" s="120">
        <f t="shared" ref="FA15:FA19" si="86">FA14+1</f>
        <v>2</v>
      </c>
      <c r="FB15" s="121" t="s">
        <v>72</v>
      </c>
      <c r="FC15" s="122"/>
      <c r="FD15" s="123">
        <f t="shared" si="53"/>
        <v>0.01161806607</v>
      </c>
      <c r="FE15" s="122">
        <f t="shared" si="54"/>
        <v>0</v>
      </c>
      <c r="FF15" s="123">
        <v>0.16716266605705102</v>
      </c>
      <c r="FG15" s="122">
        <f t="shared" si="55"/>
        <v>0</v>
      </c>
      <c r="FH15" s="124">
        <f t="shared" si="56"/>
        <v>0</v>
      </c>
      <c r="FI15" s="75"/>
      <c r="FJ15" s="75"/>
      <c r="FK15" s="75"/>
      <c r="FL15" s="81"/>
      <c r="FM15" s="120">
        <f t="shared" ref="FM15:FM19" si="87">FM14+1</f>
        <v>2</v>
      </c>
      <c r="FN15" s="121" t="s">
        <v>72</v>
      </c>
      <c r="FO15" s="122"/>
      <c r="FP15" s="123">
        <f t="shared" si="57"/>
        <v>0.01161806607</v>
      </c>
      <c r="FQ15" s="122">
        <f t="shared" si="58"/>
        <v>0</v>
      </c>
      <c r="FR15" s="123">
        <v>0.16716266605705102</v>
      </c>
      <c r="FS15" s="122">
        <f t="shared" si="59"/>
        <v>0</v>
      </c>
      <c r="FT15" s="124">
        <f t="shared" si="60"/>
        <v>0</v>
      </c>
      <c r="FU15" s="75"/>
      <c r="FV15" s="75"/>
      <c r="FW15" s="75"/>
      <c r="FX15" s="81"/>
      <c r="FY15" s="120">
        <f t="shared" ref="FY15:FY19" si="88">FY14+1</f>
        <v>2</v>
      </c>
      <c r="FZ15" s="121" t="s">
        <v>72</v>
      </c>
      <c r="GA15" s="122"/>
      <c r="GB15" s="123">
        <f t="shared" si="61"/>
        <v>0.01161806607</v>
      </c>
      <c r="GC15" s="122">
        <f t="shared" si="62"/>
        <v>0</v>
      </c>
      <c r="GD15" s="123">
        <v>0.16716266605705102</v>
      </c>
      <c r="GE15" s="122">
        <f t="shared" si="63"/>
        <v>0</v>
      </c>
      <c r="GF15" s="124">
        <f t="shared" si="64"/>
        <v>0</v>
      </c>
      <c r="GG15" s="75"/>
      <c r="GH15" s="75"/>
      <c r="GI15" s="75"/>
      <c r="GJ15" s="81"/>
      <c r="GK15" s="120">
        <f t="shared" ref="GK15:GK19" si="89">GK14+1</f>
        <v>2</v>
      </c>
      <c r="GL15" s="121" t="s">
        <v>72</v>
      </c>
      <c r="GM15" s="122"/>
      <c r="GN15" s="123">
        <f t="shared" si="65"/>
        <v>0.01161806607</v>
      </c>
      <c r="GO15" s="122">
        <f t="shared" si="66"/>
        <v>0</v>
      </c>
      <c r="GP15" s="123">
        <v>0.16716266605705102</v>
      </c>
      <c r="GQ15" s="122">
        <f t="shared" si="67"/>
        <v>0</v>
      </c>
      <c r="GR15" s="124">
        <f t="shared" si="68"/>
        <v>0</v>
      </c>
      <c r="GS15" s="75"/>
      <c r="GT15" s="75"/>
      <c r="GU15" s="75"/>
      <c r="GV15" s="81"/>
      <c r="GW15" s="120">
        <f t="shared" ref="GW15:GW19" si="90">GW14+1</f>
        <v>2</v>
      </c>
      <c r="GX15" s="121" t="s">
        <v>72</v>
      </c>
      <c r="GY15" s="122"/>
      <c r="GZ15" s="123">
        <f t="shared" si="69"/>
        <v>0.01161806607</v>
      </c>
      <c r="HA15" s="122">
        <f t="shared" si="70"/>
        <v>0</v>
      </c>
      <c r="HB15" s="123">
        <v>0.16716266605705102</v>
      </c>
      <c r="HC15" s="122">
        <f t="shared" si="71"/>
        <v>0</v>
      </c>
      <c r="HD15" s="124">
        <f t="shared" si="72"/>
        <v>0</v>
      </c>
      <c r="HE15" s="75"/>
      <c r="HF15" s="75"/>
      <c r="HG15" s="75"/>
      <c r="HH15" s="81"/>
      <c r="HI15" s="75"/>
    </row>
    <row r="16">
      <c r="A16" s="120">
        <f t="shared" si="73"/>
        <v>3</v>
      </c>
      <c r="B16" s="121" t="s">
        <v>73</v>
      </c>
      <c r="C16" s="122"/>
      <c r="D16" s="123">
        <f t="shared" si="1"/>
        <v>0.01161806607</v>
      </c>
      <c r="E16" s="122">
        <f t="shared" si="2"/>
        <v>0</v>
      </c>
      <c r="F16" s="123">
        <v>0.16716266605705102</v>
      </c>
      <c r="G16" s="122">
        <f t="shared" si="3"/>
        <v>0</v>
      </c>
      <c r="H16" s="124">
        <f t="shared" si="4"/>
        <v>0</v>
      </c>
      <c r="I16" s="75"/>
      <c r="J16" s="75"/>
      <c r="K16" s="75"/>
      <c r="L16" s="81"/>
      <c r="M16" s="120">
        <f t="shared" si="74"/>
        <v>3</v>
      </c>
      <c r="N16" s="121" t="s">
        <v>73</v>
      </c>
      <c r="O16" s="122"/>
      <c r="P16" s="123">
        <f t="shared" si="5"/>
        <v>0.01161806607</v>
      </c>
      <c r="Q16" s="122">
        <f t="shared" si="6"/>
        <v>0</v>
      </c>
      <c r="R16" s="123">
        <v>0.16716266605705102</v>
      </c>
      <c r="S16" s="122">
        <f t="shared" si="7"/>
        <v>0</v>
      </c>
      <c r="T16" s="124">
        <f t="shared" si="8"/>
        <v>0</v>
      </c>
      <c r="U16" s="75"/>
      <c r="V16" s="75"/>
      <c r="W16" s="75"/>
      <c r="X16" s="81"/>
      <c r="Y16" s="120">
        <f t="shared" si="75"/>
        <v>3</v>
      </c>
      <c r="Z16" s="121" t="s">
        <v>73</v>
      </c>
      <c r="AA16" s="122"/>
      <c r="AB16" s="123">
        <f t="shared" si="9"/>
        <v>0.01161806607</v>
      </c>
      <c r="AC16" s="122">
        <f t="shared" si="10"/>
        <v>0</v>
      </c>
      <c r="AD16" s="123">
        <v>0.16716266605705102</v>
      </c>
      <c r="AE16" s="122">
        <f t="shared" si="11"/>
        <v>0</v>
      </c>
      <c r="AF16" s="124">
        <f t="shared" si="12"/>
        <v>0</v>
      </c>
      <c r="AG16" s="75"/>
      <c r="AH16" s="75"/>
      <c r="AI16" s="75"/>
      <c r="AJ16" s="81"/>
      <c r="AK16" s="120">
        <f t="shared" si="76"/>
        <v>3</v>
      </c>
      <c r="AL16" s="121" t="s">
        <v>73</v>
      </c>
      <c r="AM16" s="122"/>
      <c r="AN16" s="123">
        <f t="shared" si="13"/>
        <v>0.01161806607</v>
      </c>
      <c r="AO16" s="122">
        <f t="shared" si="14"/>
        <v>0</v>
      </c>
      <c r="AP16" s="123">
        <v>0.16716266605705102</v>
      </c>
      <c r="AQ16" s="122">
        <f t="shared" si="15"/>
        <v>0</v>
      </c>
      <c r="AR16" s="124">
        <f t="shared" si="16"/>
        <v>0</v>
      </c>
      <c r="AS16" s="75"/>
      <c r="AT16" s="75"/>
      <c r="AU16" s="75"/>
      <c r="AV16" s="81"/>
      <c r="AW16" s="120">
        <f t="shared" si="77"/>
        <v>3</v>
      </c>
      <c r="AX16" s="121" t="s">
        <v>73</v>
      </c>
      <c r="AY16" s="122"/>
      <c r="AZ16" s="123">
        <f t="shared" si="17"/>
        <v>0.01161806607</v>
      </c>
      <c r="BA16" s="122">
        <f t="shared" si="18"/>
        <v>0</v>
      </c>
      <c r="BB16" s="123">
        <v>0.16716266605705102</v>
      </c>
      <c r="BC16" s="122">
        <f t="shared" si="19"/>
        <v>0</v>
      </c>
      <c r="BD16" s="124">
        <f t="shared" si="20"/>
        <v>0</v>
      </c>
      <c r="BE16" s="75"/>
      <c r="BF16" s="75"/>
      <c r="BG16" s="75"/>
      <c r="BH16" s="81"/>
      <c r="BI16" s="120">
        <f t="shared" si="78"/>
        <v>3</v>
      </c>
      <c r="BJ16" s="121" t="s">
        <v>73</v>
      </c>
      <c r="BK16" s="122"/>
      <c r="BL16" s="123">
        <f t="shared" si="21"/>
        <v>0.01161806607</v>
      </c>
      <c r="BM16" s="122">
        <f t="shared" si="22"/>
        <v>0</v>
      </c>
      <c r="BN16" s="123">
        <v>0.16716266605705102</v>
      </c>
      <c r="BO16" s="122">
        <f t="shared" si="23"/>
        <v>0</v>
      </c>
      <c r="BP16" s="124">
        <f t="shared" si="24"/>
        <v>0</v>
      </c>
      <c r="BQ16" s="75"/>
      <c r="BR16" s="75"/>
      <c r="BS16" s="75"/>
      <c r="BT16" s="81"/>
      <c r="BU16" s="120">
        <f t="shared" si="79"/>
        <v>3</v>
      </c>
      <c r="BV16" s="121" t="s">
        <v>73</v>
      </c>
      <c r="BW16" s="122"/>
      <c r="BX16" s="123">
        <f t="shared" si="25"/>
        <v>0.01161806607</v>
      </c>
      <c r="BY16" s="122">
        <f t="shared" si="26"/>
        <v>0</v>
      </c>
      <c r="BZ16" s="123">
        <v>0.16716266605705102</v>
      </c>
      <c r="CA16" s="122">
        <f t="shared" si="27"/>
        <v>0</v>
      </c>
      <c r="CB16" s="124">
        <f t="shared" si="28"/>
        <v>0</v>
      </c>
      <c r="CC16" s="75"/>
      <c r="CD16" s="75"/>
      <c r="CE16" s="75"/>
      <c r="CF16" s="81"/>
      <c r="CG16" s="120">
        <f t="shared" si="80"/>
        <v>3</v>
      </c>
      <c r="CH16" s="121" t="s">
        <v>73</v>
      </c>
      <c r="CI16" s="122"/>
      <c r="CJ16" s="123">
        <f t="shared" si="29"/>
        <v>0.01161806607</v>
      </c>
      <c r="CK16" s="122">
        <f t="shared" si="30"/>
        <v>0</v>
      </c>
      <c r="CL16" s="123">
        <v>0.16716266605705102</v>
      </c>
      <c r="CM16" s="122">
        <f t="shared" si="31"/>
        <v>0</v>
      </c>
      <c r="CN16" s="124">
        <f t="shared" si="32"/>
        <v>0</v>
      </c>
      <c r="CO16" s="75"/>
      <c r="CP16" s="75"/>
      <c r="CQ16" s="75"/>
      <c r="CR16" s="81"/>
      <c r="CS16" s="120">
        <f t="shared" si="81"/>
        <v>3</v>
      </c>
      <c r="CT16" s="121" t="s">
        <v>73</v>
      </c>
      <c r="CU16" s="122"/>
      <c r="CV16" s="123">
        <f t="shared" si="33"/>
        <v>0.01161806607</v>
      </c>
      <c r="CW16" s="122">
        <f t="shared" si="34"/>
        <v>0</v>
      </c>
      <c r="CX16" s="123">
        <v>0.16716266605705102</v>
      </c>
      <c r="CY16" s="122">
        <f t="shared" si="35"/>
        <v>0</v>
      </c>
      <c r="CZ16" s="124">
        <f t="shared" si="36"/>
        <v>0</v>
      </c>
      <c r="DA16" s="75"/>
      <c r="DB16" s="75"/>
      <c r="DC16" s="75"/>
      <c r="DD16" s="81"/>
      <c r="DE16" s="120">
        <f t="shared" si="82"/>
        <v>3</v>
      </c>
      <c r="DF16" s="121" t="s">
        <v>73</v>
      </c>
      <c r="DG16" s="122"/>
      <c r="DH16" s="123">
        <f t="shared" si="37"/>
        <v>0.01161806607</v>
      </c>
      <c r="DI16" s="122">
        <f t="shared" si="38"/>
        <v>0</v>
      </c>
      <c r="DJ16" s="123">
        <v>0.16716266605705102</v>
      </c>
      <c r="DK16" s="122">
        <f t="shared" si="39"/>
        <v>0</v>
      </c>
      <c r="DL16" s="124">
        <f t="shared" si="40"/>
        <v>0</v>
      </c>
      <c r="DM16" s="75"/>
      <c r="DN16" s="75"/>
      <c r="DO16" s="75"/>
      <c r="DP16" s="81"/>
      <c r="DQ16" s="120">
        <f t="shared" si="83"/>
        <v>3</v>
      </c>
      <c r="DR16" s="121" t="s">
        <v>73</v>
      </c>
      <c r="DS16" s="122"/>
      <c r="DT16" s="123">
        <f t="shared" si="41"/>
        <v>0.01161806607</v>
      </c>
      <c r="DU16" s="122">
        <f t="shared" si="42"/>
        <v>0</v>
      </c>
      <c r="DV16" s="123">
        <v>0.16716266605705102</v>
      </c>
      <c r="DW16" s="122">
        <f t="shared" si="43"/>
        <v>0</v>
      </c>
      <c r="DX16" s="124">
        <f t="shared" si="44"/>
        <v>0</v>
      </c>
      <c r="DY16" s="75"/>
      <c r="DZ16" s="75"/>
      <c r="EA16" s="75"/>
      <c r="EB16" s="81"/>
      <c r="EC16" s="120">
        <f t="shared" si="84"/>
        <v>3</v>
      </c>
      <c r="ED16" s="121" t="s">
        <v>73</v>
      </c>
      <c r="EE16" s="122"/>
      <c r="EF16" s="123">
        <f t="shared" si="45"/>
        <v>0.01161806607</v>
      </c>
      <c r="EG16" s="122">
        <f t="shared" si="46"/>
        <v>0</v>
      </c>
      <c r="EH16" s="123">
        <v>0.16716266605705102</v>
      </c>
      <c r="EI16" s="122">
        <f t="shared" si="47"/>
        <v>0</v>
      </c>
      <c r="EJ16" s="124">
        <f t="shared" si="48"/>
        <v>0</v>
      </c>
      <c r="EK16" s="75"/>
      <c r="EL16" s="75"/>
      <c r="EM16" s="75"/>
      <c r="EN16" s="81"/>
      <c r="EO16" s="120">
        <f t="shared" si="85"/>
        <v>3</v>
      </c>
      <c r="EP16" s="121" t="s">
        <v>73</v>
      </c>
      <c r="EQ16" s="122"/>
      <c r="ER16" s="123">
        <f t="shared" si="49"/>
        <v>0.01161806607</v>
      </c>
      <c r="ES16" s="122">
        <f t="shared" si="50"/>
        <v>0</v>
      </c>
      <c r="ET16" s="123">
        <v>0.16716266605705102</v>
      </c>
      <c r="EU16" s="122">
        <f t="shared" si="51"/>
        <v>0</v>
      </c>
      <c r="EV16" s="124">
        <f t="shared" si="52"/>
        <v>0</v>
      </c>
      <c r="EW16" s="75"/>
      <c r="EX16" s="75"/>
      <c r="EY16" s="75"/>
      <c r="EZ16" s="81"/>
      <c r="FA16" s="120">
        <f t="shared" si="86"/>
        <v>3</v>
      </c>
      <c r="FB16" s="121" t="s">
        <v>73</v>
      </c>
      <c r="FC16" s="122"/>
      <c r="FD16" s="123">
        <f t="shared" si="53"/>
        <v>0.01161806607</v>
      </c>
      <c r="FE16" s="122">
        <f t="shared" si="54"/>
        <v>0</v>
      </c>
      <c r="FF16" s="123">
        <v>0.16716266605705102</v>
      </c>
      <c r="FG16" s="122">
        <f t="shared" si="55"/>
        <v>0</v>
      </c>
      <c r="FH16" s="124">
        <f t="shared" si="56"/>
        <v>0</v>
      </c>
      <c r="FI16" s="75"/>
      <c r="FJ16" s="75"/>
      <c r="FK16" s="75"/>
      <c r="FL16" s="81"/>
      <c r="FM16" s="120">
        <f t="shared" si="87"/>
        <v>3</v>
      </c>
      <c r="FN16" s="121" t="s">
        <v>73</v>
      </c>
      <c r="FO16" s="122"/>
      <c r="FP16" s="123">
        <f t="shared" si="57"/>
        <v>0.01161806607</v>
      </c>
      <c r="FQ16" s="122">
        <f t="shared" si="58"/>
        <v>0</v>
      </c>
      <c r="FR16" s="123">
        <v>0.16716266605705102</v>
      </c>
      <c r="FS16" s="122">
        <f t="shared" si="59"/>
        <v>0</v>
      </c>
      <c r="FT16" s="124">
        <f t="shared" si="60"/>
        <v>0</v>
      </c>
      <c r="FU16" s="75"/>
      <c r="FV16" s="75"/>
      <c r="FW16" s="75"/>
      <c r="FX16" s="81"/>
      <c r="FY16" s="120">
        <f t="shared" si="88"/>
        <v>3</v>
      </c>
      <c r="FZ16" s="121" t="s">
        <v>73</v>
      </c>
      <c r="GA16" s="122"/>
      <c r="GB16" s="123">
        <f t="shared" si="61"/>
        <v>0.01161806607</v>
      </c>
      <c r="GC16" s="122">
        <f t="shared" si="62"/>
        <v>0</v>
      </c>
      <c r="GD16" s="123">
        <v>0.16716266605705102</v>
      </c>
      <c r="GE16" s="122">
        <f t="shared" si="63"/>
        <v>0</v>
      </c>
      <c r="GF16" s="124">
        <f t="shared" si="64"/>
        <v>0</v>
      </c>
      <c r="GG16" s="75"/>
      <c r="GH16" s="75"/>
      <c r="GI16" s="75"/>
      <c r="GJ16" s="81"/>
      <c r="GK16" s="120">
        <f t="shared" si="89"/>
        <v>3</v>
      </c>
      <c r="GL16" s="121" t="s">
        <v>73</v>
      </c>
      <c r="GM16" s="122"/>
      <c r="GN16" s="123">
        <f t="shared" si="65"/>
        <v>0.01161806607</v>
      </c>
      <c r="GO16" s="122">
        <f t="shared" si="66"/>
        <v>0</v>
      </c>
      <c r="GP16" s="123">
        <v>0.16716266605705102</v>
      </c>
      <c r="GQ16" s="122">
        <f t="shared" si="67"/>
        <v>0</v>
      </c>
      <c r="GR16" s="124">
        <f t="shared" si="68"/>
        <v>0</v>
      </c>
      <c r="GS16" s="75"/>
      <c r="GT16" s="75"/>
      <c r="GU16" s="75"/>
      <c r="GV16" s="81"/>
      <c r="GW16" s="120">
        <f t="shared" si="90"/>
        <v>3</v>
      </c>
      <c r="GX16" s="121" t="s">
        <v>73</v>
      </c>
      <c r="GY16" s="122"/>
      <c r="GZ16" s="123">
        <f t="shared" si="69"/>
        <v>0.01161806607</v>
      </c>
      <c r="HA16" s="122">
        <f t="shared" si="70"/>
        <v>0</v>
      </c>
      <c r="HB16" s="123">
        <v>0.16716266605705102</v>
      </c>
      <c r="HC16" s="122">
        <f t="shared" si="71"/>
        <v>0</v>
      </c>
      <c r="HD16" s="124">
        <f t="shared" si="72"/>
        <v>0</v>
      </c>
      <c r="HE16" s="75"/>
      <c r="HF16" s="75"/>
      <c r="HG16" s="75"/>
      <c r="HH16" s="81"/>
      <c r="HI16" s="75"/>
    </row>
    <row r="17">
      <c r="A17" s="120">
        <f t="shared" si="73"/>
        <v>4</v>
      </c>
      <c r="B17" s="121" t="s">
        <v>74</v>
      </c>
      <c r="C17" s="122"/>
      <c r="D17" s="123">
        <f t="shared" si="1"/>
        <v>0.01161806607</v>
      </c>
      <c r="E17" s="122">
        <f t="shared" si="2"/>
        <v>0</v>
      </c>
      <c r="F17" s="123">
        <v>0.16716266605705102</v>
      </c>
      <c r="G17" s="122">
        <f t="shared" si="3"/>
        <v>0</v>
      </c>
      <c r="H17" s="124">
        <f t="shared" si="4"/>
        <v>0</v>
      </c>
      <c r="I17" s="75"/>
      <c r="J17" s="75"/>
      <c r="K17" s="75"/>
      <c r="L17" s="81"/>
      <c r="M17" s="120">
        <f t="shared" si="74"/>
        <v>4</v>
      </c>
      <c r="N17" s="121" t="s">
        <v>74</v>
      </c>
      <c r="O17" s="122"/>
      <c r="P17" s="123">
        <f t="shared" si="5"/>
        <v>0.01161806607</v>
      </c>
      <c r="Q17" s="122">
        <f t="shared" si="6"/>
        <v>0</v>
      </c>
      <c r="R17" s="123">
        <v>0.16716266605705102</v>
      </c>
      <c r="S17" s="122">
        <f t="shared" si="7"/>
        <v>0</v>
      </c>
      <c r="T17" s="124">
        <f t="shared" si="8"/>
        <v>0</v>
      </c>
      <c r="U17" s="75"/>
      <c r="V17" s="75"/>
      <c r="W17" s="75"/>
      <c r="X17" s="81"/>
      <c r="Y17" s="120">
        <f t="shared" si="75"/>
        <v>4</v>
      </c>
      <c r="Z17" s="121" t="s">
        <v>74</v>
      </c>
      <c r="AA17" s="122"/>
      <c r="AB17" s="123">
        <f t="shared" si="9"/>
        <v>0.01161806607</v>
      </c>
      <c r="AC17" s="122">
        <f t="shared" si="10"/>
        <v>0</v>
      </c>
      <c r="AD17" s="123">
        <v>0.16716266605705102</v>
      </c>
      <c r="AE17" s="122">
        <f t="shared" si="11"/>
        <v>0</v>
      </c>
      <c r="AF17" s="124">
        <f t="shared" si="12"/>
        <v>0</v>
      </c>
      <c r="AG17" s="75"/>
      <c r="AH17" s="75"/>
      <c r="AI17" s="75"/>
      <c r="AJ17" s="81"/>
      <c r="AK17" s="120">
        <f t="shared" si="76"/>
        <v>4</v>
      </c>
      <c r="AL17" s="121" t="s">
        <v>74</v>
      </c>
      <c r="AM17" s="122"/>
      <c r="AN17" s="123">
        <f t="shared" si="13"/>
        <v>0.01161806607</v>
      </c>
      <c r="AO17" s="122">
        <f t="shared" si="14"/>
        <v>0</v>
      </c>
      <c r="AP17" s="123">
        <v>0.16716266605705102</v>
      </c>
      <c r="AQ17" s="122">
        <f t="shared" si="15"/>
        <v>0</v>
      </c>
      <c r="AR17" s="124">
        <f t="shared" si="16"/>
        <v>0</v>
      </c>
      <c r="AS17" s="75"/>
      <c r="AT17" s="75"/>
      <c r="AU17" s="75"/>
      <c r="AV17" s="81"/>
      <c r="AW17" s="120">
        <f t="shared" si="77"/>
        <v>4</v>
      </c>
      <c r="AX17" s="121" t="s">
        <v>74</v>
      </c>
      <c r="AY17" s="122"/>
      <c r="AZ17" s="123">
        <f t="shared" si="17"/>
        <v>0.01161806607</v>
      </c>
      <c r="BA17" s="122">
        <f t="shared" si="18"/>
        <v>0</v>
      </c>
      <c r="BB17" s="123">
        <v>0.16716266605705102</v>
      </c>
      <c r="BC17" s="122">
        <f t="shared" si="19"/>
        <v>0</v>
      </c>
      <c r="BD17" s="124">
        <f t="shared" si="20"/>
        <v>0</v>
      </c>
      <c r="BE17" s="75"/>
      <c r="BF17" s="75"/>
      <c r="BG17" s="75"/>
      <c r="BH17" s="81"/>
      <c r="BI17" s="120">
        <f t="shared" si="78"/>
        <v>4</v>
      </c>
      <c r="BJ17" s="121" t="s">
        <v>74</v>
      </c>
      <c r="BK17" s="122"/>
      <c r="BL17" s="123">
        <f t="shared" si="21"/>
        <v>0.01161806607</v>
      </c>
      <c r="BM17" s="122">
        <f t="shared" si="22"/>
        <v>0</v>
      </c>
      <c r="BN17" s="123">
        <v>0.16716266605705102</v>
      </c>
      <c r="BO17" s="122">
        <f t="shared" si="23"/>
        <v>0</v>
      </c>
      <c r="BP17" s="124">
        <f t="shared" si="24"/>
        <v>0</v>
      </c>
      <c r="BQ17" s="75"/>
      <c r="BR17" s="75"/>
      <c r="BS17" s="75"/>
      <c r="BT17" s="81"/>
      <c r="BU17" s="120">
        <f t="shared" si="79"/>
        <v>4</v>
      </c>
      <c r="BV17" s="121" t="s">
        <v>74</v>
      </c>
      <c r="BW17" s="122"/>
      <c r="BX17" s="123">
        <f t="shared" si="25"/>
        <v>0.01161806607</v>
      </c>
      <c r="BY17" s="122">
        <f t="shared" si="26"/>
        <v>0</v>
      </c>
      <c r="BZ17" s="123">
        <v>0.16716266605705102</v>
      </c>
      <c r="CA17" s="122">
        <f t="shared" si="27"/>
        <v>0</v>
      </c>
      <c r="CB17" s="124">
        <f t="shared" si="28"/>
        <v>0</v>
      </c>
      <c r="CC17" s="75"/>
      <c r="CD17" s="75"/>
      <c r="CE17" s="75"/>
      <c r="CF17" s="81"/>
      <c r="CG17" s="120">
        <f t="shared" si="80"/>
        <v>4</v>
      </c>
      <c r="CH17" s="121" t="s">
        <v>74</v>
      </c>
      <c r="CI17" s="122"/>
      <c r="CJ17" s="123">
        <f t="shared" si="29"/>
        <v>0.01161806607</v>
      </c>
      <c r="CK17" s="122">
        <f t="shared" si="30"/>
        <v>0</v>
      </c>
      <c r="CL17" s="123">
        <v>0.16716266605705102</v>
      </c>
      <c r="CM17" s="122">
        <f t="shared" si="31"/>
        <v>0</v>
      </c>
      <c r="CN17" s="124">
        <f t="shared" si="32"/>
        <v>0</v>
      </c>
      <c r="CO17" s="75"/>
      <c r="CP17" s="75"/>
      <c r="CQ17" s="75"/>
      <c r="CR17" s="81"/>
      <c r="CS17" s="120">
        <f t="shared" si="81"/>
        <v>4</v>
      </c>
      <c r="CT17" s="121" t="s">
        <v>74</v>
      </c>
      <c r="CU17" s="122"/>
      <c r="CV17" s="123">
        <f t="shared" si="33"/>
        <v>0.01161806607</v>
      </c>
      <c r="CW17" s="122">
        <f t="shared" si="34"/>
        <v>0</v>
      </c>
      <c r="CX17" s="123">
        <v>0.16716266605705102</v>
      </c>
      <c r="CY17" s="122">
        <f t="shared" si="35"/>
        <v>0</v>
      </c>
      <c r="CZ17" s="124">
        <f t="shared" si="36"/>
        <v>0</v>
      </c>
      <c r="DA17" s="75"/>
      <c r="DB17" s="75"/>
      <c r="DC17" s="75"/>
      <c r="DD17" s="81"/>
      <c r="DE17" s="120">
        <f t="shared" si="82"/>
        <v>4</v>
      </c>
      <c r="DF17" s="121" t="s">
        <v>74</v>
      </c>
      <c r="DG17" s="122"/>
      <c r="DH17" s="123">
        <f t="shared" si="37"/>
        <v>0.01161806607</v>
      </c>
      <c r="DI17" s="122">
        <f t="shared" si="38"/>
        <v>0</v>
      </c>
      <c r="DJ17" s="123">
        <v>0.16716266605705102</v>
      </c>
      <c r="DK17" s="122">
        <f t="shared" si="39"/>
        <v>0</v>
      </c>
      <c r="DL17" s="124">
        <f t="shared" si="40"/>
        <v>0</v>
      </c>
      <c r="DM17" s="75"/>
      <c r="DN17" s="75"/>
      <c r="DO17" s="75"/>
      <c r="DP17" s="81"/>
      <c r="DQ17" s="120">
        <f t="shared" si="83"/>
        <v>4</v>
      </c>
      <c r="DR17" s="121" t="s">
        <v>74</v>
      </c>
      <c r="DS17" s="122"/>
      <c r="DT17" s="123">
        <f t="shared" si="41"/>
        <v>0.01161806607</v>
      </c>
      <c r="DU17" s="122">
        <f t="shared" si="42"/>
        <v>0</v>
      </c>
      <c r="DV17" s="123">
        <v>0.16716266605705102</v>
      </c>
      <c r="DW17" s="122">
        <f t="shared" si="43"/>
        <v>0</v>
      </c>
      <c r="DX17" s="124">
        <f t="shared" si="44"/>
        <v>0</v>
      </c>
      <c r="DY17" s="75"/>
      <c r="DZ17" s="75"/>
      <c r="EA17" s="75"/>
      <c r="EB17" s="81"/>
      <c r="EC17" s="120">
        <f t="shared" si="84"/>
        <v>4</v>
      </c>
      <c r="ED17" s="121" t="s">
        <v>74</v>
      </c>
      <c r="EE17" s="122"/>
      <c r="EF17" s="123">
        <f t="shared" si="45"/>
        <v>0.01161806607</v>
      </c>
      <c r="EG17" s="122">
        <f t="shared" si="46"/>
        <v>0</v>
      </c>
      <c r="EH17" s="123">
        <v>0.16716266605705102</v>
      </c>
      <c r="EI17" s="122">
        <f t="shared" si="47"/>
        <v>0</v>
      </c>
      <c r="EJ17" s="124">
        <f t="shared" si="48"/>
        <v>0</v>
      </c>
      <c r="EK17" s="75"/>
      <c r="EL17" s="75"/>
      <c r="EM17" s="75"/>
      <c r="EN17" s="81"/>
      <c r="EO17" s="120">
        <f t="shared" si="85"/>
        <v>4</v>
      </c>
      <c r="EP17" s="121" t="s">
        <v>74</v>
      </c>
      <c r="EQ17" s="122"/>
      <c r="ER17" s="123">
        <f t="shared" si="49"/>
        <v>0.01161806607</v>
      </c>
      <c r="ES17" s="122">
        <f t="shared" si="50"/>
        <v>0</v>
      </c>
      <c r="ET17" s="123">
        <v>0.16716266605705102</v>
      </c>
      <c r="EU17" s="122">
        <f t="shared" si="51"/>
        <v>0</v>
      </c>
      <c r="EV17" s="124">
        <f t="shared" si="52"/>
        <v>0</v>
      </c>
      <c r="EW17" s="75"/>
      <c r="EX17" s="75"/>
      <c r="EY17" s="75"/>
      <c r="EZ17" s="81"/>
      <c r="FA17" s="120">
        <f t="shared" si="86"/>
        <v>4</v>
      </c>
      <c r="FB17" s="121" t="s">
        <v>74</v>
      </c>
      <c r="FC17" s="122"/>
      <c r="FD17" s="123">
        <f t="shared" si="53"/>
        <v>0.01161806607</v>
      </c>
      <c r="FE17" s="122">
        <f t="shared" si="54"/>
        <v>0</v>
      </c>
      <c r="FF17" s="123">
        <v>0.16716266605705102</v>
      </c>
      <c r="FG17" s="122">
        <f t="shared" si="55"/>
        <v>0</v>
      </c>
      <c r="FH17" s="124">
        <f t="shared" si="56"/>
        <v>0</v>
      </c>
      <c r="FI17" s="75"/>
      <c r="FJ17" s="75"/>
      <c r="FK17" s="75"/>
      <c r="FL17" s="81"/>
      <c r="FM17" s="120">
        <f t="shared" si="87"/>
        <v>4</v>
      </c>
      <c r="FN17" s="121" t="s">
        <v>74</v>
      </c>
      <c r="FO17" s="122"/>
      <c r="FP17" s="123">
        <f t="shared" si="57"/>
        <v>0.01161806607</v>
      </c>
      <c r="FQ17" s="122">
        <f t="shared" si="58"/>
        <v>0</v>
      </c>
      <c r="FR17" s="123">
        <v>0.16716266605705102</v>
      </c>
      <c r="FS17" s="122">
        <f t="shared" si="59"/>
        <v>0</v>
      </c>
      <c r="FT17" s="124">
        <f t="shared" si="60"/>
        <v>0</v>
      </c>
      <c r="FU17" s="75"/>
      <c r="FV17" s="75"/>
      <c r="FW17" s="75"/>
      <c r="FX17" s="81"/>
      <c r="FY17" s="120">
        <f t="shared" si="88"/>
        <v>4</v>
      </c>
      <c r="FZ17" s="121" t="s">
        <v>74</v>
      </c>
      <c r="GA17" s="122"/>
      <c r="GB17" s="123">
        <f t="shared" si="61"/>
        <v>0.01161806607</v>
      </c>
      <c r="GC17" s="122">
        <f t="shared" si="62"/>
        <v>0</v>
      </c>
      <c r="GD17" s="123">
        <v>0.16716266605705102</v>
      </c>
      <c r="GE17" s="122">
        <f t="shared" si="63"/>
        <v>0</v>
      </c>
      <c r="GF17" s="124">
        <f t="shared" si="64"/>
        <v>0</v>
      </c>
      <c r="GG17" s="75"/>
      <c r="GH17" s="75"/>
      <c r="GI17" s="75"/>
      <c r="GJ17" s="81"/>
      <c r="GK17" s="120">
        <f t="shared" si="89"/>
        <v>4</v>
      </c>
      <c r="GL17" s="121" t="s">
        <v>74</v>
      </c>
      <c r="GM17" s="122"/>
      <c r="GN17" s="123">
        <f t="shared" si="65"/>
        <v>0.01161806607</v>
      </c>
      <c r="GO17" s="122">
        <f t="shared" si="66"/>
        <v>0</v>
      </c>
      <c r="GP17" s="123">
        <v>0.16716266605705102</v>
      </c>
      <c r="GQ17" s="122">
        <f t="shared" si="67"/>
        <v>0</v>
      </c>
      <c r="GR17" s="124">
        <f t="shared" si="68"/>
        <v>0</v>
      </c>
      <c r="GS17" s="75"/>
      <c r="GT17" s="75"/>
      <c r="GU17" s="75"/>
      <c r="GV17" s="81"/>
      <c r="GW17" s="120">
        <f t="shared" si="90"/>
        <v>4</v>
      </c>
      <c r="GX17" s="121" t="s">
        <v>74</v>
      </c>
      <c r="GY17" s="122"/>
      <c r="GZ17" s="123">
        <f t="shared" si="69"/>
        <v>0.01161806607</v>
      </c>
      <c r="HA17" s="122">
        <f t="shared" si="70"/>
        <v>0</v>
      </c>
      <c r="HB17" s="123">
        <v>0.16716266605705102</v>
      </c>
      <c r="HC17" s="122">
        <f t="shared" si="71"/>
        <v>0</v>
      </c>
      <c r="HD17" s="124">
        <f t="shared" si="72"/>
        <v>0</v>
      </c>
      <c r="HE17" s="75"/>
      <c r="HF17" s="75"/>
      <c r="HG17" s="75"/>
      <c r="HH17" s="81"/>
      <c r="HI17" s="75"/>
    </row>
    <row r="18">
      <c r="A18" s="120">
        <f t="shared" si="73"/>
        <v>5</v>
      </c>
      <c r="B18" s="121" t="s">
        <v>75</v>
      </c>
      <c r="C18" s="122"/>
      <c r="D18" s="123">
        <f t="shared" si="1"/>
        <v>0.01161806607</v>
      </c>
      <c r="E18" s="122">
        <f t="shared" si="2"/>
        <v>0</v>
      </c>
      <c r="F18" s="123">
        <v>0.16716266605705102</v>
      </c>
      <c r="G18" s="122">
        <f t="shared" si="3"/>
        <v>0</v>
      </c>
      <c r="H18" s="124">
        <f t="shared" si="4"/>
        <v>0</v>
      </c>
      <c r="I18" s="75"/>
      <c r="J18" s="75"/>
      <c r="K18" s="75"/>
      <c r="L18" s="81"/>
      <c r="M18" s="120">
        <f t="shared" si="74"/>
        <v>5</v>
      </c>
      <c r="N18" s="121" t="s">
        <v>75</v>
      </c>
      <c r="O18" s="122"/>
      <c r="P18" s="123">
        <f t="shared" si="5"/>
        <v>0.01161806607</v>
      </c>
      <c r="Q18" s="122">
        <f t="shared" si="6"/>
        <v>0</v>
      </c>
      <c r="R18" s="123">
        <v>0.16716266605705102</v>
      </c>
      <c r="S18" s="122">
        <f t="shared" si="7"/>
        <v>0</v>
      </c>
      <c r="T18" s="124">
        <f t="shared" si="8"/>
        <v>0</v>
      </c>
      <c r="U18" s="75"/>
      <c r="V18" s="75"/>
      <c r="W18" s="75"/>
      <c r="X18" s="81"/>
      <c r="Y18" s="120">
        <f t="shared" si="75"/>
        <v>5</v>
      </c>
      <c r="Z18" s="121" t="s">
        <v>75</v>
      </c>
      <c r="AA18" s="122"/>
      <c r="AB18" s="123">
        <f t="shared" si="9"/>
        <v>0.01161806607</v>
      </c>
      <c r="AC18" s="122">
        <f t="shared" si="10"/>
        <v>0</v>
      </c>
      <c r="AD18" s="123">
        <v>0.16716266605705102</v>
      </c>
      <c r="AE18" s="122">
        <f t="shared" si="11"/>
        <v>0</v>
      </c>
      <c r="AF18" s="124">
        <f t="shared" si="12"/>
        <v>0</v>
      </c>
      <c r="AG18" s="75"/>
      <c r="AH18" s="75"/>
      <c r="AI18" s="75"/>
      <c r="AJ18" s="81"/>
      <c r="AK18" s="120">
        <f t="shared" si="76"/>
        <v>5</v>
      </c>
      <c r="AL18" s="121" t="s">
        <v>75</v>
      </c>
      <c r="AM18" s="122"/>
      <c r="AN18" s="123">
        <f t="shared" si="13"/>
        <v>0.01161806607</v>
      </c>
      <c r="AO18" s="122">
        <f t="shared" si="14"/>
        <v>0</v>
      </c>
      <c r="AP18" s="123">
        <v>0.16716266605705102</v>
      </c>
      <c r="AQ18" s="122">
        <f t="shared" si="15"/>
        <v>0</v>
      </c>
      <c r="AR18" s="124">
        <f t="shared" si="16"/>
        <v>0</v>
      </c>
      <c r="AS18" s="75"/>
      <c r="AT18" s="75"/>
      <c r="AU18" s="75"/>
      <c r="AV18" s="81"/>
      <c r="AW18" s="120">
        <f t="shared" si="77"/>
        <v>5</v>
      </c>
      <c r="AX18" s="121" t="s">
        <v>75</v>
      </c>
      <c r="AY18" s="122"/>
      <c r="AZ18" s="123">
        <f t="shared" si="17"/>
        <v>0.01161806607</v>
      </c>
      <c r="BA18" s="122">
        <f t="shared" si="18"/>
        <v>0</v>
      </c>
      <c r="BB18" s="123">
        <v>0.16716266605705102</v>
      </c>
      <c r="BC18" s="122">
        <f t="shared" si="19"/>
        <v>0</v>
      </c>
      <c r="BD18" s="124">
        <f t="shared" si="20"/>
        <v>0</v>
      </c>
      <c r="BE18" s="75"/>
      <c r="BF18" s="75"/>
      <c r="BG18" s="75"/>
      <c r="BH18" s="81"/>
      <c r="BI18" s="120">
        <f t="shared" si="78"/>
        <v>5</v>
      </c>
      <c r="BJ18" s="121" t="s">
        <v>75</v>
      </c>
      <c r="BK18" s="122"/>
      <c r="BL18" s="123">
        <f t="shared" si="21"/>
        <v>0.01161806607</v>
      </c>
      <c r="BM18" s="122">
        <f t="shared" si="22"/>
        <v>0</v>
      </c>
      <c r="BN18" s="123">
        <v>0.16716266605705102</v>
      </c>
      <c r="BO18" s="122">
        <f t="shared" si="23"/>
        <v>0</v>
      </c>
      <c r="BP18" s="124">
        <f t="shared" si="24"/>
        <v>0</v>
      </c>
      <c r="BQ18" s="75"/>
      <c r="BR18" s="75"/>
      <c r="BS18" s="75"/>
      <c r="BT18" s="81"/>
      <c r="BU18" s="120">
        <f t="shared" si="79"/>
        <v>5</v>
      </c>
      <c r="BV18" s="121" t="s">
        <v>75</v>
      </c>
      <c r="BW18" s="122"/>
      <c r="BX18" s="123">
        <f t="shared" si="25"/>
        <v>0.01161806607</v>
      </c>
      <c r="BY18" s="122">
        <f t="shared" si="26"/>
        <v>0</v>
      </c>
      <c r="BZ18" s="123">
        <v>0.16716266605705102</v>
      </c>
      <c r="CA18" s="122">
        <f t="shared" si="27"/>
        <v>0</v>
      </c>
      <c r="CB18" s="124">
        <f t="shared" si="28"/>
        <v>0</v>
      </c>
      <c r="CC18" s="75"/>
      <c r="CD18" s="75"/>
      <c r="CE18" s="75"/>
      <c r="CF18" s="81"/>
      <c r="CG18" s="120">
        <f t="shared" si="80"/>
        <v>5</v>
      </c>
      <c r="CH18" s="121" t="s">
        <v>75</v>
      </c>
      <c r="CI18" s="122"/>
      <c r="CJ18" s="123">
        <f t="shared" si="29"/>
        <v>0.01161806607</v>
      </c>
      <c r="CK18" s="122">
        <f t="shared" si="30"/>
        <v>0</v>
      </c>
      <c r="CL18" s="123">
        <v>0.16716266605705102</v>
      </c>
      <c r="CM18" s="122">
        <f t="shared" si="31"/>
        <v>0</v>
      </c>
      <c r="CN18" s="124">
        <f t="shared" si="32"/>
        <v>0</v>
      </c>
      <c r="CO18" s="75"/>
      <c r="CP18" s="75"/>
      <c r="CQ18" s="75"/>
      <c r="CR18" s="81"/>
      <c r="CS18" s="120">
        <f t="shared" si="81"/>
        <v>5</v>
      </c>
      <c r="CT18" s="121" t="s">
        <v>75</v>
      </c>
      <c r="CU18" s="122"/>
      <c r="CV18" s="123">
        <f t="shared" si="33"/>
        <v>0.01161806607</v>
      </c>
      <c r="CW18" s="122">
        <f t="shared" si="34"/>
        <v>0</v>
      </c>
      <c r="CX18" s="123">
        <v>0.16716266605705102</v>
      </c>
      <c r="CY18" s="122">
        <f t="shared" si="35"/>
        <v>0</v>
      </c>
      <c r="CZ18" s="124">
        <f t="shared" si="36"/>
        <v>0</v>
      </c>
      <c r="DA18" s="75"/>
      <c r="DB18" s="75"/>
      <c r="DC18" s="75"/>
      <c r="DD18" s="81"/>
      <c r="DE18" s="120">
        <f t="shared" si="82"/>
        <v>5</v>
      </c>
      <c r="DF18" s="121" t="s">
        <v>75</v>
      </c>
      <c r="DG18" s="122"/>
      <c r="DH18" s="123">
        <f t="shared" si="37"/>
        <v>0.01161806607</v>
      </c>
      <c r="DI18" s="122">
        <f t="shared" si="38"/>
        <v>0</v>
      </c>
      <c r="DJ18" s="123">
        <v>0.16716266605705102</v>
      </c>
      <c r="DK18" s="122">
        <f t="shared" si="39"/>
        <v>0</v>
      </c>
      <c r="DL18" s="124">
        <f t="shared" si="40"/>
        <v>0</v>
      </c>
      <c r="DM18" s="75"/>
      <c r="DN18" s="75"/>
      <c r="DO18" s="75"/>
      <c r="DP18" s="81"/>
      <c r="DQ18" s="120">
        <f t="shared" si="83"/>
        <v>5</v>
      </c>
      <c r="DR18" s="121" t="s">
        <v>75</v>
      </c>
      <c r="DS18" s="122"/>
      <c r="DT18" s="123">
        <f t="shared" si="41"/>
        <v>0.01161806607</v>
      </c>
      <c r="DU18" s="122">
        <f t="shared" si="42"/>
        <v>0</v>
      </c>
      <c r="DV18" s="123">
        <v>0.16716266605705102</v>
      </c>
      <c r="DW18" s="122">
        <f t="shared" si="43"/>
        <v>0</v>
      </c>
      <c r="DX18" s="124">
        <f t="shared" si="44"/>
        <v>0</v>
      </c>
      <c r="DY18" s="75"/>
      <c r="DZ18" s="75"/>
      <c r="EA18" s="75"/>
      <c r="EB18" s="81"/>
      <c r="EC18" s="120">
        <f t="shared" si="84"/>
        <v>5</v>
      </c>
      <c r="ED18" s="121" t="s">
        <v>75</v>
      </c>
      <c r="EE18" s="122"/>
      <c r="EF18" s="123">
        <f t="shared" si="45"/>
        <v>0.01161806607</v>
      </c>
      <c r="EG18" s="122">
        <f t="shared" si="46"/>
        <v>0</v>
      </c>
      <c r="EH18" s="123">
        <v>0.16716266605705102</v>
      </c>
      <c r="EI18" s="122">
        <f t="shared" si="47"/>
        <v>0</v>
      </c>
      <c r="EJ18" s="124">
        <f t="shared" si="48"/>
        <v>0</v>
      </c>
      <c r="EK18" s="75"/>
      <c r="EL18" s="75"/>
      <c r="EM18" s="75"/>
      <c r="EN18" s="81"/>
      <c r="EO18" s="120">
        <f t="shared" si="85"/>
        <v>5</v>
      </c>
      <c r="EP18" s="121" t="s">
        <v>75</v>
      </c>
      <c r="EQ18" s="122"/>
      <c r="ER18" s="123">
        <f t="shared" si="49"/>
        <v>0.01161806607</v>
      </c>
      <c r="ES18" s="122">
        <f t="shared" si="50"/>
        <v>0</v>
      </c>
      <c r="ET18" s="123">
        <v>0.16716266605705102</v>
      </c>
      <c r="EU18" s="122">
        <f t="shared" si="51"/>
        <v>0</v>
      </c>
      <c r="EV18" s="124">
        <f t="shared" si="52"/>
        <v>0</v>
      </c>
      <c r="EW18" s="75"/>
      <c r="EX18" s="75"/>
      <c r="EY18" s="75"/>
      <c r="EZ18" s="81"/>
      <c r="FA18" s="120">
        <f t="shared" si="86"/>
        <v>5</v>
      </c>
      <c r="FB18" s="121" t="s">
        <v>75</v>
      </c>
      <c r="FC18" s="122"/>
      <c r="FD18" s="123">
        <f t="shared" si="53"/>
        <v>0.01161806607</v>
      </c>
      <c r="FE18" s="122">
        <f t="shared" si="54"/>
        <v>0</v>
      </c>
      <c r="FF18" s="123">
        <v>0.16716266605705102</v>
      </c>
      <c r="FG18" s="122">
        <f t="shared" si="55"/>
        <v>0</v>
      </c>
      <c r="FH18" s="124">
        <f t="shared" si="56"/>
        <v>0</v>
      </c>
      <c r="FI18" s="75"/>
      <c r="FJ18" s="75"/>
      <c r="FK18" s="75"/>
      <c r="FL18" s="81"/>
      <c r="FM18" s="120">
        <f t="shared" si="87"/>
        <v>5</v>
      </c>
      <c r="FN18" s="121" t="s">
        <v>75</v>
      </c>
      <c r="FO18" s="122"/>
      <c r="FP18" s="123">
        <f t="shared" si="57"/>
        <v>0.01161806607</v>
      </c>
      <c r="FQ18" s="122">
        <f t="shared" si="58"/>
        <v>0</v>
      </c>
      <c r="FR18" s="123">
        <v>0.16716266605705102</v>
      </c>
      <c r="FS18" s="122">
        <f t="shared" si="59"/>
        <v>0</v>
      </c>
      <c r="FT18" s="124">
        <f t="shared" si="60"/>
        <v>0</v>
      </c>
      <c r="FU18" s="75"/>
      <c r="FV18" s="75"/>
      <c r="FW18" s="75"/>
      <c r="FX18" s="81"/>
      <c r="FY18" s="120">
        <f t="shared" si="88"/>
        <v>5</v>
      </c>
      <c r="FZ18" s="121" t="s">
        <v>75</v>
      </c>
      <c r="GA18" s="122"/>
      <c r="GB18" s="123">
        <f t="shared" si="61"/>
        <v>0.01161806607</v>
      </c>
      <c r="GC18" s="122">
        <f t="shared" si="62"/>
        <v>0</v>
      </c>
      <c r="GD18" s="123">
        <v>0.16716266605705102</v>
      </c>
      <c r="GE18" s="122">
        <f t="shared" si="63"/>
        <v>0</v>
      </c>
      <c r="GF18" s="124">
        <f t="shared" si="64"/>
        <v>0</v>
      </c>
      <c r="GG18" s="75"/>
      <c r="GH18" s="75"/>
      <c r="GI18" s="75"/>
      <c r="GJ18" s="81"/>
      <c r="GK18" s="120">
        <f t="shared" si="89"/>
        <v>5</v>
      </c>
      <c r="GL18" s="121" t="s">
        <v>75</v>
      </c>
      <c r="GM18" s="122"/>
      <c r="GN18" s="123">
        <f t="shared" si="65"/>
        <v>0.01161806607</v>
      </c>
      <c r="GO18" s="122">
        <f t="shared" si="66"/>
        <v>0</v>
      </c>
      <c r="GP18" s="123">
        <v>0.16716266605705102</v>
      </c>
      <c r="GQ18" s="122">
        <f t="shared" si="67"/>
        <v>0</v>
      </c>
      <c r="GR18" s="124">
        <f t="shared" si="68"/>
        <v>0</v>
      </c>
      <c r="GS18" s="75"/>
      <c r="GT18" s="75"/>
      <c r="GU18" s="75"/>
      <c r="GV18" s="81"/>
      <c r="GW18" s="120">
        <f t="shared" si="90"/>
        <v>5</v>
      </c>
      <c r="GX18" s="121" t="s">
        <v>75</v>
      </c>
      <c r="GY18" s="122"/>
      <c r="GZ18" s="123">
        <f t="shared" si="69"/>
        <v>0.01161806607</v>
      </c>
      <c r="HA18" s="122">
        <f t="shared" si="70"/>
        <v>0</v>
      </c>
      <c r="HB18" s="123">
        <v>0.16716266605705102</v>
      </c>
      <c r="HC18" s="122">
        <f t="shared" si="71"/>
        <v>0</v>
      </c>
      <c r="HD18" s="124">
        <f t="shared" si="72"/>
        <v>0</v>
      </c>
      <c r="HE18" s="75"/>
      <c r="HF18" s="75"/>
      <c r="HG18" s="75"/>
      <c r="HH18" s="81"/>
      <c r="HI18" s="75"/>
    </row>
    <row r="19">
      <c r="A19" s="120">
        <f t="shared" si="73"/>
        <v>6</v>
      </c>
      <c r="B19" s="121" t="s">
        <v>76</v>
      </c>
      <c r="C19" s="122"/>
      <c r="D19" s="123">
        <f t="shared" si="1"/>
        <v>0.01161806607</v>
      </c>
      <c r="E19" s="122">
        <f t="shared" si="2"/>
        <v>0</v>
      </c>
      <c r="F19" s="123">
        <v>0.16716266605705102</v>
      </c>
      <c r="G19" s="122">
        <f t="shared" si="3"/>
        <v>0</v>
      </c>
      <c r="H19" s="124">
        <f t="shared" si="4"/>
        <v>0</v>
      </c>
      <c r="I19" s="75"/>
      <c r="J19" s="75"/>
      <c r="K19" s="75"/>
      <c r="L19" s="81"/>
      <c r="M19" s="120">
        <f t="shared" si="74"/>
        <v>6</v>
      </c>
      <c r="N19" s="121" t="s">
        <v>76</v>
      </c>
      <c r="O19" s="122"/>
      <c r="P19" s="123">
        <f t="shared" si="5"/>
        <v>0.01161806607</v>
      </c>
      <c r="Q19" s="122">
        <f t="shared" si="6"/>
        <v>0</v>
      </c>
      <c r="R19" s="123">
        <v>0.16716266605705102</v>
      </c>
      <c r="S19" s="122">
        <f t="shared" si="7"/>
        <v>0</v>
      </c>
      <c r="T19" s="124">
        <f t="shared" si="8"/>
        <v>0</v>
      </c>
      <c r="U19" s="75"/>
      <c r="V19" s="75"/>
      <c r="W19" s="75"/>
      <c r="X19" s="81"/>
      <c r="Y19" s="120">
        <f t="shared" si="75"/>
        <v>6</v>
      </c>
      <c r="Z19" s="121" t="s">
        <v>76</v>
      </c>
      <c r="AA19" s="122"/>
      <c r="AB19" s="123">
        <f t="shared" si="9"/>
        <v>0.01161806607</v>
      </c>
      <c r="AC19" s="122">
        <f t="shared" si="10"/>
        <v>0</v>
      </c>
      <c r="AD19" s="123">
        <v>0.16716266605705102</v>
      </c>
      <c r="AE19" s="122">
        <f t="shared" si="11"/>
        <v>0</v>
      </c>
      <c r="AF19" s="124">
        <f t="shared" si="12"/>
        <v>0</v>
      </c>
      <c r="AG19" s="75"/>
      <c r="AH19" s="75"/>
      <c r="AI19" s="75"/>
      <c r="AJ19" s="81"/>
      <c r="AK19" s="120">
        <f t="shared" si="76"/>
        <v>6</v>
      </c>
      <c r="AL19" s="121" t="s">
        <v>76</v>
      </c>
      <c r="AM19" s="122"/>
      <c r="AN19" s="123">
        <f t="shared" si="13"/>
        <v>0.01161806607</v>
      </c>
      <c r="AO19" s="122">
        <f t="shared" si="14"/>
        <v>0</v>
      </c>
      <c r="AP19" s="123">
        <v>0.16716266605705102</v>
      </c>
      <c r="AQ19" s="122">
        <f t="shared" si="15"/>
        <v>0</v>
      </c>
      <c r="AR19" s="124">
        <f t="shared" si="16"/>
        <v>0</v>
      </c>
      <c r="AS19" s="75"/>
      <c r="AT19" s="75"/>
      <c r="AU19" s="75"/>
      <c r="AV19" s="81"/>
      <c r="AW19" s="120">
        <f t="shared" si="77"/>
        <v>6</v>
      </c>
      <c r="AX19" s="121" t="s">
        <v>76</v>
      </c>
      <c r="AY19" s="122"/>
      <c r="AZ19" s="123">
        <f t="shared" si="17"/>
        <v>0.01161806607</v>
      </c>
      <c r="BA19" s="122">
        <f t="shared" si="18"/>
        <v>0</v>
      </c>
      <c r="BB19" s="123">
        <v>0.16716266605705102</v>
      </c>
      <c r="BC19" s="122">
        <f t="shared" si="19"/>
        <v>0</v>
      </c>
      <c r="BD19" s="124">
        <f t="shared" si="20"/>
        <v>0</v>
      </c>
      <c r="BE19" s="75"/>
      <c r="BF19" s="75"/>
      <c r="BG19" s="75"/>
      <c r="BH19" s="81"/>
      <c r="BI19" s="120">
        <f t="shared" si="78"/>
        <v>6</v>
      </c>
      <c r="BJ19" s="121" t="s">
        <v>76</v>
      </c>
      <c r="BK19" s="122"/>
      <c r="BL19" s="123">
        <f t="shared" si="21"/>
        <v>0.01161806607</v>
      </c>
      <c r="BM19" s="122">
        <f t="shared" si="22"/>
        <v>0</v>
      </c>
      <c r="BN19" s="123">
        <v>0.16716266605705102</v>
      </c>
      <c r="BO19" s="122">
        <f t="shared" si="23"/>
        <v>0</v>
      </c>
      <c r="BP19" s="124">
        <f t="shared" si="24"/>
        <v>0</v>
      </c>
      <c r="BQ19" s="75"/>
      <c r="BR19" s="75"/>
      <c r="BS19" s="75"/>
      <c r="BT19" s="81"/>
      <c r="BU19" s="120">
        <f t="shared" si="79"/>
        <v>6</v>
      </c>
      <c r="BV19" s="121" t="s">
        <v>76</v>
      </c>
      <c r="BW19" s="122"/>
      <c r="BX19" s="123">
        <f t="shared" si="25"/>
        <v>0.01161806607</v>
      </c>
      <c r="BY19" s="122">
        <f t="shared" si="26"/>
        <v>0</v>
      </c>
      <c r="BZ19" s="123">
        <v>0.16716266605705102</v>
      </c>
      <c r="CA19" s="122">
        <f t="shared" si="27"/>
        <v>0</v>
      </c>
      <c r="CB19" s="124">
        <f t="shared" si="28"/>
        <v>0</v>
      </c>
      <c r="CC19" s="75"/>
      <c r="CD19" s="75"/>
      <c r="CE19" s="75"/>
      <c r="CF19" s="81"/>
      <c r="CG19" s="120">
        <f t="shared" si="80"/>
        <v>6</v>
      </c>
      <c r="CH19" s="121" t="s">
        <v>76</v>
      </c>
      <c r="CI19" s="122"/>
      <c r="CJ19" s="123">
        <f t="shared" si="29"/>
        <v>0.01161806607</v>
      </c>
      <c r="CK19" s="122">
        <f t="shared" si="30"/>
        <v>0</v>
      </c>
      <c r="CL19" s="123">
        <v>0.16716266605705102</v>
      </c>
      <c r="CM19" s="122">
        <f t="shared" si="31"/>
        <v>0</v>
      </c>
      <c r="CN19" s="124">
        <f t="shared" si="32"/>
        <v>0</v>
      </c>
      <c r="CO19" s="75"/>
      <c r="CP19" s="75"/>
      <c r="CQ19" s="75"/>
      <c r="CR19" s="81"/>
      <c r="CS19" s="120">
        <f t="shared" si="81"/>
        <v>6</v>
      </c>
      <c r="CT19" s="121" t="s">
        <v>76</v>
      </c>
      <c r="CU19" s="122"/>
      <c r="CV19" s="123">
        <f t="shared" si="33"/>
        <v>0.01161806607</v>
      </c>
      <c r="CW19" s="122">
        <f t="shared" si="34"/>
        <v>0</v>
      </c>
      <c r="CX19" s="123">
        <v>0.16716266605705102</v>
      </c>
      <c r="CY19" s="122">
        <f t="shared" si="35"/>
        <v>0</v>
      </c>
      <c r="CZ19" s="124">
        <f t="shared" si="36"/>
        <v>0</v>
      </c>
      <c r="DA19" s="75"/>
      <c r="DB19" s="75"/>
      <c r="DC19" s="75"/>
      <c r="DD19" s="81"/>
      <c r="DE19" s="120">
        <f t="shared" si="82"/>
        <v>6</v>
      </c>
      <c r="DF19" s="121" t="s">
        <v>76</v>
      </c>
      <c r="DG19" s="122"/>
      <c r="DH19" s="123">
        <f t="shared" si="37"/>
        <v>0.01161806607</v>
      </c>
      <c r="DI19" s="122">
        <f t="shared" si="38"/>
        <v>0</v>
      </c>
      <c r="DJ19" s="123">
        <v>0.16716266605705102</v>
      </c>
      <c r="DK19" s="122">
        <f t="shared" si="39"/>
        <v>0</v>
      </c>
      <c r="DL19" s="124">
        <f t="shared" si="40"/>
        <v>0</v>
      </c>
      <c r="DM19" s="75"/>
      <c r="DN19" s="75"/>
      <c r="DO19" s="75"/>
      <c r="DP19" s="81"/>
      <c r="DQ19" s="120">
        <f t="shared" si="83"/>
        <v>6</v>
      </c>
      <c r="DR19" s="121" t="s">
        <v>76</v>
      </c>
      <c r="DS19" s="122"/>
      <c r="DT19" s="123">
        <f t="shared" si="41"/>
        <v>0.01161806607</v>
      </c>
      <c r="DU19" s="122">
        <f t="shared" si="42"/>
        <v>0</v>
      </c>
      <c r="DV19" s="123">
        <v>0.16716266605705102</v>
      </c>
      <c r="DW19" s="122">
        <f t="shared" si="43"/>
        <v>0</v>
      </c>
      <c r="DX19" s="124">
        <f t="shared" si="44"/>
        <v>0</v>
      </c>
      <c r="DY19" s="75"/>
      <c r="DZ19" s="75"/>
      <c r="EA19" s="75"/>
      <c r="EB19" s="81"/>
      <c r="EC19" s="120">
        <f t="shared" si="84"/>
        <v>6</v>
      </c>
      <c r="ED19" s="121" t="s">
        <v>76</v>
      </c>
      <c r="EE19" s="122"/>
      <c r="EF19" s="123">
        <f t="shared" si="45"/>
        <v>0.01161806607</v>
      </c>
      <c r="EG19" s="122">
        <f t="shared" si="46"/>
        <v>0</v>
      </c>
      <c r="EH19" s="123">
        <v>0.16716266605705102</v>
      </c>
      <c r="EI19" s="122">
        <f t="shared" si="47"/>
        <v>0</v>
      </c>
      <c r="EJ19" s="124">
        <f t="shared" si="48"/>
        <v>0</v>
      </c>
      <c r="EK19" s="75"/>
      <c r="EL19" s="75"/>
      <c r="EM19" s="75"/>
      <c r="EN19" s="81"/>
      <c r="EO19" s="120">
        <f t="shared" si="85"/>
        <v>6</v>
      </c>
      <c r="EP19" s="121" t="s">
        <v>76</v>
      </c>
      <c r="EQ19" s="122"/>
      <c r="ER19" s="123">
        <f t="shared" si="49"/>
        <v>0.01161806607</v>
      </c>
      <c r="ES19" s="122">
        <f t="shared" si="50"/>
        <v>0</v>
      </c>
      <c r="ET19" s="123">
        <v>0.16716266605705102</v>
      </c>
      <c r="EU19" s="122">
        <f t="shared" si="51"/>
        <v>0</v>
      </c>
      <c r="EV19" s="124">
        <f t="shared" si="52"/>
        <v>0</v>
      </c>
      <c r="EW19" s="75"/>
      <c r="EX19" s="75"/>
      <c r="EY19" s="75"/>
      <c r="EZ19" s="81"/>
      <c r="FA19" s="120">
        <f t="shared" si="86"/>
        <v>6</v>
      </c>
      <c r="FB19" s="121" t="s">
        <v>76</v>
      </c>
      <c r="FC19" s="122"/>
      <c r="FD19" s="123">
        <f t="shared" si="53"/>
        <v>0.01161806607</v>
      </c>
      <c r="FE19" s="122">
        <f t="shared" si="54"/>
        <v>0</v>
      </c>
      <c r="FF19" s="123">
        <v>0.16716266605705102</v>
      </c>
      <c r="FG19" s="122">
        <f t="shared" si="55"/>
        <v>0</v>
      </c>
      <c r="FH19" s="124">
        <f t="shared" si="56"/>
        <v>0</v>
      </c>
      <c r="FI19" s="75"/>
      <c r="FJ19" s="75"/>
      <c r="FK19" s="75"/>
      <c r="FL19" s="81"/>
      <c r="FM19" s="120">
        <f t="shared" si="87"/>
        <v>6</v>
      </c>
      <c r="FN19" s="121" t="s">
        <v>76</v>
      </c>
      <c r="FO19" s="122"/>
      <c r="FP19" s="123">
        <f t="shared" si="57"/>
        <v>0.01161806607</v>
      </c>
      <c r="FQ19" s="122">
        <f t="shared" si="58"/>
        <v>0</v>
      </c>
      <c r="FR19" s="123">
        <v>0.16716266605705102</v>
      </c>
      <c r="FS19" s="122">
        <f t="shared" si="59"/>
        <v>0</v>
      </c>
      <c r="FT19" s="124">
        <f t="shared" si="60"/>
        <v>0</v>
      </c>
      <c r="FU19" s="75"/>
      <c r="FV19" s="75"/>
      <c r="FW19" s="75"/>
      <c r="FX19" s="81"/>
      <c r="FY19" s="120">
        <f t="shared" si="88"/>
        <v>6</v>
      </c>
      <c r="FZ19" s="121" t="s">
        <v>76</v>
      </c>
      <c r="GA19" s="122"/>
      <c r="GB19" s="123">
        <f t="shared" si="61"/>
        <v>0.01161806607</v>
      </c>
      <c r="GC19" s="122">
        <f t="shared" si="62"/>
        <v>0</v>
      </c>
      <c r="GD19" s="123">
        <v>0.16716266605705102</v>
      </c>
      <c r="GE19" s="122">
        <f t="shared" si="63"/>
        <v>0</v>
      </c>
      <c r="GF19" s="124">
        <f t="shared" si="64"/>
        <v>0</v>
      </c>
      <c r="GG19" s="75"/>
      <c r="GH19" s="75"/>
      <c r="GI19" s="75"/>
      <c r="GJ19" s="81"/>
      <c r="GK19" s="120">
        <f t="shared" si="89"/>
        <v>6</v>
      </c>
      <c r="GL19" s="121" t="s">
        <v>76</v>
      </c>
      <c r="GM19" s="122"/>
      <c r="GN19" s="123">
        <f t="shared" si="65"/>
        <v>0.01161806607</v>
      </c>
      <c r="GO19" s="122">
        <f t="shared" si="66"/>
        <v>0</v>
      </c>
      <c r="GP19" s="123">
        <v>0.16716266605705102</v>
      </c>
      <c r="GQ19" s="122">
        <f t="shared" si="67"/>
        <v>0</v>
      </c>
      <c r="GR19" s="124">
        <f t="shared" si="68"/>
        <v>0</v>
      </c>
      <c r="GS19" s="75"/>
      <c r="GT19" s="75"/>
      <c r="GU19" s="75"/>
      <c r="GV19" s="81"/>
      <c r="GW19" s="120">
        <f t="shared" si="90"/>
        <v>6</v>
      </c>
      <c r="GX19" s="121" t="s">
        <v>76</v>
      </c>
      <c r="GY19" s="122"/>
      <c r="GZ19" s="123">
        <f t="shared" si="69"/>
        <v>0.01161806607</v>
      </c>
      <c r="HA19" s="122">
        <f t="shared" si="70"/>
        <v>0</v>
      </c>
      <c r="HB19" s="123">
        <v>0.16716266605705102</v>
      </c>
      <c r="HC19" s="122">
        <f t="shared" si="71"/>
        <v>0</v>
      </c>
      <c r="HD19" s="124">
        <f t="shared" si="72"/>
        <v>0</v>
      </c>
      <c r="HE19" s="75"/>
      <c r="HF19" s="75"/>
      <c r="HG19" s="75"/>
      <c r="HH19" s="81"/>
      <c r="HI19" s="75"/>
    </row>
    <row r="20">
      <c r="A20" s="120"/>
      <c r="B20" s="125"/>
      <c r="C20" s="122"/>
      <c r="D20" s="122"/>
      <c r="E20" s="122"/>
      <c r="F20" s="122"/>
      <c r="G20" s="122"/>
      <c r="H20" s="124"/>
      <c r="I20" s="75"/>
      <c r="J20" s="75"/>
      <c r="K20" s="75"/>
      <c r="L20" s="81"/>
      <c r="M20" s="120"/>
      <c r="N20" s="125"/>
      <c r="O20" s="122"/>
      <c r="P20" s="122"/>
      <c r="Q20" s="122"/>
      <c r="R20" s="122"/>
      <c r="S20" s="122"/>
      <c r="T20" s="124"/>
      <c r="U20" s="75"/>
      <c r="V20" s="75"/>
      <c r="W20" s="75"/>
      <c r="X20" s="81"/>
      <c r="Y20" s="120"/>
      <c r="Z20" s="125"/>
      <c r="AA20" s="122"/>
      <c r="AB20" s="122"/>
      <c r="AC20" s="122"/>
      <c r="AD20" s="122"/>
      <c r="AE20" s="122"/>
      <c r="AF20" s="124"/>
      <c r="AG20" s="75"/>
      <c r="AH20" s="75"/>
      <c r="AI20" s="75"/>
      <c r="AJ20" s="81"/>
      <c r="AK20" s="120"/>
      <c r="AL20" s="125"/>
      <c r="AM20" s="122"/>
      <c r="AN20" s="122"/>
      <c r="AO20" s="122"/>
      <c r="AP20" s="122"/>
      <c r="AQ20" s="122"/>
      <c r="AR20" s="124"/>
      <c r="AS20" s="75"/>
      <c r="AT20" s="75"/>
      <c r="AU20" s="75"/>
      <c r="AV20" s="81"/>
      <c r="AW20" s="120"/>
      <c r="AX20" s="125"/>
      <c r="AY20" s="122"/>
      <c r="AZ20" s="122"/>
      <c r="BA20" s="122"/>
      <c r="BB20" s="122"/>
      <c r="BC20" s="122"/>
      <c r="BD20" s="124"/>
      <c r="BE20" s="75"/>
      <c r="BF20" s="75"/>
      <c r="BG20" s="75"/>
      <c r="BH20" s="81"/>
      <c r="BI20" s="120"/>
      <c r="BJ20" s="125"/>
      <c r="BK20" s="122"/>
      <c r="BL20" s="122"/>
      <c r="BM20" s="122"/>
      <c r="BN20" s="122"/>
      <c r="BO20" s="122"/>
      <c r="BP20" s="124"/>
      <c r="BQ20" s="75"/>
      <c r="BR20" s="75"/>
      <c r="BS20" s="75"/>
      <c r="BT20" s="81"/>
      <c r="BU20" s="120"/>
      <c r="BV20" s="125"/>
      <c r="BW20" s="122"/>
      <c r="BX20" s="122"/>
      <c r="BY20" s="122"/>
      <c r="BZ20" s="122"/>
      <c r="CA20" s="122"/>
      <c r="CB20" s="124"/>
      <c r="CC20" s="75"/>
      <c r="CD20" s="75"/>
      <c r="CE20" s="75"/>
      <c r="CF20" s="81"/>
      <c r="CG20" s="120"/>
      <c r="CH20" s="125"/>
      <c r="CI20" s="122"/>
      <c r="CJ20" s="122"/>
      <c r="CK20" s="122"/>
      <c r="CL20" s="122"/>
      <c r="CM20" s="122"/>
      <c r="CN20" s="124"/>
      <c r="CO20" s="75"/>
      <c r="CP20" s="75"/>
      <c r="CQ20" s="75"/>
      <c r="CR20" s="81"/>
      <c r="CS20" s="120"/>
      <c r="CT20" s="125"/>
      <c r="CU20" s="122"/>
      <c r="CV20" s="122"/>
      <c r="CW20" s="122"/>
      <c r="CX20" s="122"/>
      <c r="CY20" s="122"/>
      <c r="CZ20" s="124"/>
      <c r="DA20" s="75"/>
      <c r="DB20" s="75"/>
      <c r="DC20" s="75"/>
      <c r="DD20" s="81"/>
      <c r="DE20" s="120"/>
      <c r="DF20" s="125"/>
      <c r="DG20" s="122"/>
      <c r="DH20" s="122"/>
      <c r="DI20" s="122"/>
      <c r="DJ20" s="122"/>
      <c r="DK20" s="122"/>
      <c r="DL20" s="124"/>
      <c r="DM20" s="75"/>
      <c r="DN20" s="75"/>
      <c r="DO20" s="75"/>
      <c r="DP20" s="81"/>
      <c r="DQ20" s="120"/>
      <c r="DR20" s="125"/>
      <c r="DS20" s="122"/>
      <c r="DT20" s="122"/>
      <c r="DU20" s="122"/>
      <c r="DV20" s="122"/>
      <c r="DW20" s="122"/>
      <c r="DX20" s="124"/>
      <c r="DY20" s="75"/>
      <c r="DZ20" s="75"/>
      <c r="EA20" s="75"/>
      <c r="EB20" s="81"/>
      <c r="EC20" s="120"/>
      <c r="ED20" s="125"/>
      <c r="EE20" s="122"/>
      <c r="EF20" s="122"/>
      <c r="EG20" s="122"/>
      <c r="EH20" s="122"/>
      <c r="EI20" s="122"/>
      <c r="EJ20" s="124"/>
      <c r="EK20" s="75"/>
      <c r="EL20" s="75"/>
      <c r="EM20" s="75"/>
      <c r="EN20" s="81"/>
      <c r="EO20" s="120"/>
      <c r="EP20" s="125"/>
      <c r="EQ20" s="122"/>
      <c r="ER20" s="122"/>
      <c r="ES20" s="122"/>
      <c r="ET20" s="122"/>
      <c r="EU20" s="122"/>
      <c r="EV20" s="124"/>
      <c r="EW20" s="75"/>
      <c r="EX20" s="75"/>
      <c r="EY20" s="75"/>
      <c r="EZ20" s="81"/>
      <c r="FA20" s="120"/>
      <c r="FB20" s="125"/>
      <c r="FC20" s="122"/>
      <c r="FD20" s="122"/>
      <c r="FE20" s="122"/>
      <c r="FF20" s="122"/>
      <c r="FG20" s="122"/>
      <c r="FH20" s="124"/>
      <c r="FI20" s="75"/>
      <c r="FJ20" s="75"/>
      <c r="FK20" s="75"/>
      <c r="FL20" s="81"/>
      <c r="FM20" s="120"/>
      <c r="FN20" s="125"/>
      <c r="FO20" s="122"/>
      <c r="FP20" s="122"/>
      <c r="FQ20" s="122"/>
      <c r="FR20" s="122"/>
      <c r="FS20" s="122"/>
      <c r="FT20" s="124"/>
      <c r="FU20" s="75"/>
      <c r="FV20" s="75"/>
      <c r="FW20" s="75"/>
      <c r="FX20" s="81"/>
      <c r="FY20" s="120"/>
      <c r="FZ20" s="125"/>
      <c r="GA20" s="122"/>
      <c r="GB20" s="122"/>
      <c r="GC20" s="122"/>
      <c r="GD20" s="122"/>
      <c r="GE20" s="122"/>
      <c r="GF20" s="124"/>
      <c r="GG20" s="75"/>
      <c r="GH20" s="75"/>
      <c r="GI20" s="75"/>
      <c r="GJ20" s="81"/>
      <c r="GK20" s="120"/>
      <c r="GL20" s="125"/>
      <c r="GM20" s="122"/>
      <c r="GN20" s="122"/>
      <c r="GO20" s="122"/>
      <c r="GP20" s="122"/>
      <c r="GQ20" s="122"/>
      <c r="GR20" s="124"/>
      <c r="GS20" s="75"/>
      <c r="GT20" s="75"/>
      <c r="GU20" s="75"/>
      <c r="GV20" s="81"/>
      <c r="GW20" s="120"/>
      <c r="GX20" s="125"/>
      <c r="GY20" s="122"/>
      <c r="GZ20" s="122"/>
      <c r="HA20" s="122"/>
      <c r="HB20" s="122"/>
      <c r="HC20" s="122"/>
      <c r="HD20" s="124"/>
      <c r="HE20" s="75"/>
      <c r="HF20" s="75"/>
      <c r="HG20" s="75"/>
      <c r="HH20" s="81"/>
      <c r="HI20" s="75"/>
    </row>
    <row r="21" ht="15.75" customHeight="1">
      <c r="A21" s="126" t="s">
        <v>77</v>
      </c>
      <c r="B21" s="127"/>
      <c r="C21" s="128">
        <f>SUM(C14:C20)</f>
        <v>0</v>
      </c>
      <c r="D21" s="129"/>
      <c r="E21" s="128">
        <f>SUM(E14:E20)</f>
        <v>0</v>
      </c>
      <c r="F21" s="130"/>
      <c r="G21" s="128">
        <f t="shared" ref="G21:H21" si="91">SUM(G14:G20)</f>
        <v>0</v>
      </c>
      <c r="H21" s="131">
        <f t="shared" si="91"/>
        <v>0</v>
      </c>
      <c r="I21" s="132"/>
      <c r="J21" s="132"/>
      <c r="K21" s="132"/>
      <c r="L21" s="133"/>
      <c r="M21" s="126" t="s">
        <v>77</v>
      </c>
      <c r="N21" s="127"/>
      <c r="O21" s="128">
        <f>SUM(O14:O20)</f>
        <v>0</v>
      </c>
      <c r="P21" s="129"/>
      <c r="Q21" s="128">
        <f>SUM(Q14:Q20)</f>
        <v>0</v>
      </c>
      <c r="R21" s="130"/>
      <c r="S21" s="128">
        <f t="shared" ref="S21:T21" si="92">SUM(S14:S20)</f>
        <v>0</v>
      </c>
      <c r="T21" s="131">
        <f t="shared" si="92"/>
        <v>0</v>
      </c>
      <c r="U21" s="132"/>
      <c r="V21" s="132"/>
      <c r="W21" s="132"/>
      <c r="X21" s="133"/>
      <c r="Y21" s="126" t="s">
        <v>77</v>
      </c>
      <c r="Z21" s="127"/>
      <c r="AA21" s="128">
        <f>SUM(AA14:AA20)</f>
        <v>0</v>
      </c>
      <c r="AB21" s="129"/>
      <c r="AC21" s="128">
        <f>SUM(AC14:AC20)</f>
        <v>0</v>
      </c>
      <c r="AD21" s="130"/>
      <c r="AE21" s="128">
        <f t="shared" ref="AE21:AF21" si="93">SUM(AE14:AE20)</f>
        <v>0</v>
      </c>
      <c r="AF21" s="131">
        <f t="shared" si="93"/>
        <v>0</v>
      </c>
      <c r="AG21" s="132"/>
      <c r="AH21" s="132"/>
      <c r="AI21" s="132"/>
      <c r="AJ21" s="133"/>
      <c r="AK21" s="126" t="s">
        <v>77</v>
      </c>
      <c r="AL21" s="127"/>
      <c r="AM21" s="128">
        <f>SUM(AM14:AM20)</f>
        <v>0</v>
      </c>
      <c r="AN21" s="129"/>
      <c r="AO21" s="128">
        <f>SUM(AO14:AO20)</f>
        <v>0</v>
      </c>
      <c r="AP21" s="130"/>
      <c r="AQ21" s="128">
        <f t="shared" ref="AQ21:AR21" si="94">SUM(AQ14:AQ20)</f>
        <v>0</v>
      </c>
      <c r="AR21" s="131">
        <f t="shared" si="94"/>
        <v>0</v>
      </c>
      <c r="AS21" s="132"/>
      <c r="AT21" s="132"/>
      <c r="AU21" s="132"/>
      <c r="AV21" s="133"/>
      <c r="AW21" s="126" t="s">
        <v>77</v>
      </c>
      <c r="AX21" s="127"/>
      <c r="AY21" s="128">
        <f>SUM(AY14:AY20)</f>
        <v>0</v>
      </c>
      <c r="AZ21" s="129"/>
      <c r="BA21" s="128">
        <f>SUM(BA14:BA20)</f>
        <v>0</v>
      </c>
      <c r="BB21" s="130"/>
      <c r="BC21" s="128">
        <f t="shared" ref="BC21:BD21" si="95">SUM(BC14:BC20)</f>
        <v>0</v>
      </c>
      <c r="BD21" s="131">
        <f t="shared" si="95"/>
        <v>0</v>
      </c>
      <c r="BE21" s="132"/>
      <c r="BF21" s="132"/>
      <c r="BG21" s="132"/>
      <c r="BH21" s="133"/>
      <c r="BI21" s="126" t="s">
        <v>77</v>
      </c>
      <c r="BJ21" s="127"/>
      <c r="BK21" s="128">
        <f>SUM(BK14:BK20)</f>
        <v>0</v>
      </c>
      <c r="BL21" s="129"/>
      <c r="BM21" s="128">
        <f>SUM(BM14:BM20)</f>
        <v>0</v>
      </c>
      <c r="BN21" s="130"/>
      <c r="BO21" s="128">
        <f t="shared" ref="BO21:BP21" si="96">SUM(BO14:BO20)</f>
        <v>0</v>
      </c>
      <c r="BP21" s="131">
        <f t="shared" si="96"/>
        <v>0</v>
      </c>
      <c r="BQ21" s="132"/>
      <c r="BR21" s="132"/>
      <c r="BS21" s="132"/>
      <c r="BT21" s="133"/>
      <c r="BU21" s="126" t="s">
        <v>77</v>
      </c>
      <c r="BV21" s="127"/>
      <c r="BW21" s="128">
        <f>SUM(BW14:BW20)</f>
        <v>0</v>
      </c>
      <c r="BX21" s="129"/>
      <c r="BY21" s="128">
        <f>SUM(BY14:BY20)</f>
        <v>0</v>
      </c>
      <c r="BZ21" s="130"/>
      <c r="CA21" s="128">
        <f t="shared" ref="CA21:CB21" si="97">SUM(CA14:CA20)</f>
        <v>0</v>
      </c>
      <c r="CB21" s="131">
        <f t="shared" si="97"/>
        <v>0</v>
      </c>
      <c r="CC21" s="132"/>
      <c r="CD21" s="132"/>
      <c r="CE21" s="132"/>
      <c r="CF21" s="133"/>
      <c r="CG21" s="126" t="s">
        <v>77</v>
      </c>
      <c r="CH21" s="127"/>
      <c r="CI21" s="128">
        <f>SUM(CI14:CI20)</f>
        <v>0</v>
      </c>
      <c r="CJ21" s="129"/>
      <c r="CK21" s="128">
        <f>SUM(CK14:CK20)</f>
        <v>0</v>
      </c>
      <c r="CL21" s="130"/>
      <c r="CM21" s="128">
        <f t="shared" ref="CM21:CN21" si="98">SUM(CM14:CM20)</f>
        <v>0</v>
      </c>
      <c r="CN21" s="131">
        <f t="shared" si="98"/>
        <v>0</v>
      </c>
      <c r="CO21" s="132"/>
      <c r="CP21" s="132"/>
      <c r="CQ21" s="132"/>
      <c r="CR21" s="133"/>
      <c r="CS21" s="126" t="s">
        <v>77</v>
      </c>
      <c r="CT21" s="127"/>
      <c r="CU21" s="128">
        <f>SUM(CU14:CU20)</f>
        <v>0</v>
      </c>
      <c r="CV21" s="129"/>
      <c r="CW21" s="128">
        <f>SUM(CW14:CW20)</f>
        <v>0</v>
      </c>
      <c r="CX21" s="130"/>
      <c r="CY21" s="128">
        <f t="shared" ref="CY21:CZ21" si="99">SUM(CY14:CY20)</f>
        <v>0</v>
      </c>
      <c r="CZ21" s="131">
        <f t="shared" si="99"/>
        <v>0</v>
      </c>
      <c r="DA21" s="132"/>
      <c r="DB21" s="132"/>
      <c r="DC21" s="132"/>
      <c r="DD21" s="133"/>
      <c r="DE21" s="126" t="s">
        <v>77</v>
      </c>
      <c r="DF21" s="127"/>
      <c r="DG21" s="128">
        <f>SUM(DG14:DG20)</f>
        <v>0</v>
      </c>
      <c r="DH21" s="129"/>
      <c r="DI21" s="128">
        <f>SUM(DI14:DI20)</f>
        <v>0</v>
      </c>
      <c r="DJ21" s="130"/>
      <c r="DK21" s="128">
        <f t="shared" ref="DK21:DL21" si="100">SUM(DK14:DK20)</f>
        <v>0</v>
      </c>
      <c r="DL21" s="131">
        <f t="shared" si="100"/>
        <v>0</v>
      </c>
      <c r="DM21" s="132"/>
      <c r="DN21" s="132"/>
      <c r="DO21" s="132"/>
      <c r="DP21" s="133"/>
      <c r="DQ21" s="126" t="s">
        <v>77</v>
      </c>
      <c r="DR21" s="127"/>
      <c r="DS21" s="128">
        <f>SUM(DS14:DS20)</f>
        <v>0</v>
      </c>
      <c r="DT21" s="129"/>
      <c r="DU21" s="128">
        <f>SUM(DU14:DU20)</f>
        <v>0</v>
      </c>
      <c r="DV21" s="130"/>
      <c r="DW21" s="128">
        <f t="shared" ref="DW21:DX21" si="101">SUM(DW14:DW20)</f>
        <v>0</v>
      </c>
      <c r="DX21" s="131">
        <f t="shared" si="101"/>
        <v>0</v>
      </c>
      <c r="DY21" s="132"/>
      <c r="DZ21" s="132"/>
      <c r="EA21" s="132"/>
      <c r="EB21" s="133"/>
      <c r="EC21" s="126" t="s">
        <v>77</v>
      </c>
      <c r="ED21" s="127"/>
      <c r="EE21" s="128">
        <f>SUM(EE14:EE20)</f>
        <v>0</v>
      </c>
      <c r="EF21" s="129"/>
      <c r="EG21" s="128">
        <f>SUM(EG14:EG20)</f>
        <v>0</v>
      </c>
      <c r="EH21" s="130"/>
      <c r="EI21" s="128">
        <f t="shared" ref="EI21:EJ21" si="102">SUM(EI14:EI20)</f>
        <v>0</v>
      </c>
      <c r="EJ21" s="131">
        <f t="shared" si="102"/>
        <v>0</v>
      </c>
      <c r="EK21" s="132"/>
      <c r="EL21" s="132"/>
      <c r="EM21" s="132"/>
      <c r="EN21" s="133"/>
      <c r="EO21" s="126" t="s">
        <v>77</v>
      </c>
      <c r="EP21" s="127"/>
      <c r="EQ21" s="128">
        <f>SUM(EQ14:EQ20)</f>
        <v>0</v>
      </c>
      <c r="ER21" s="129"/>
      <c r="ES21" s="128">
        <f>SUM(ES14:ES20)</f>
        <v>0</v>
      </c>
      <c r="ET21" s="130"/>
      <c r="EU21" s="128">
        <f t="shared" ref="EU21:EV21" si="103">SUM(EU14:EU20)</f>
        <v>0</v>
      </c>
      <c r="EV21" s="131">
        <f t="shared" si="103"/>
        <v>0</v>
      </c>
      <c r="EW21" s="132"/>
      <c r="EX21" s="132"/>
      <c r="EY21" s="132"/>
      <c r="EZ21" s="133"/>
      <c r="FA21" s="126" t="s">
        <v>77</v>
      </c>
      <c r="FB21" s="127"/>
      <c r="FC21" s="128">
        <f>SUM(FC14:FC20)</f>
        <v>0</v>
      </c>
      <c r="FD21" s="129"/>
      <c r="FE21" s="128">
        <f>SUM(FE14:FE20)</f>
        <v>0</v>
      </c>
      <c r="FF21" s="130"/>
      <c r="FG21" s="128">
        <f t="shared" ref="FG21:FH21" si="104">SUM(FG14:FG20)</f>
        <v>0</v>
      </c>
      <c r="FH21" s="131">
        <f t="shared" si="104"/>
        <v>0</v>
      </c>
      <c r="FI21" s="132"/>
      <c r="FJ21" s="132"/>
      <c r="FK21" s="132"/>
      <c r="FL21" s="133"/>
      <c r="FM21" s="126" t="s">
        <v>77</v>
      </c>
      <c r="FN21" s="127"/>
      <c r="FO21" s="128">
        <f>SUM(FO14:FO20)</f>
        <v>0</v>
      </c>
      <c r="FP21" s="129"/>
      <c r="FQ21" s="128">
        <f>SUM(FQ14:FQ20)</f>
        <v>0</v>
      </c>
      <c r="FR21" s="130"/>
      <c r="FS21" s="128">
        <f t="shared" ref="FS21:FT21" si="105">SUM(FS14:FS20)</f>
        <v>0</v>
      </c>
      <c r="FT21" s="131">
        <f t="shared" si="105"/>
        <v>0</v>
      </c>
      <c r="FU21" s="132"/>
      <c r="FV21" s="132"/>
      <c r="FW21" s="132"/>
      <c r="FX21" s="133"/>
      <c r="FY21" s="126" t="s">
        <v>77</v>
      </c>
      <c r="FZ21" s="127"/>
      <c r="GA21" s="128">
        <f>SUM(GA14:GA20)</f>
        <v>0</v>
      </c>
      <c r="GB21" s="129"/>
      <c r="GC21" s="128">
        <f>SUM(GC14:GC20)</f>
        <v>0</v>
      </c>
      <c r="GD21" s="130"/>
      <c r="GE21" s="128">
        <f t="shared" ref="GE21:GF21" si="106">SUM(GE14:GE20)</f>
        <v>0</v>
      </c>
      <c r="GF21" s="131">
        <f t="shared" si="106"/>
        <v>0</v>
      </c>
      <c r="GG21" s="132"/>
      <c r="GH21" s="132"/>
      <c r="GI21" s="132"/>
      <c r="GJ21" s="133"/>
      <c r="GK21" s="126" t="s">
        <v>77</v>
      </c>
      <c r="GL21" s="127"/>
      <c r="GM21" s="128">
        <f>SUM(GM14:GM20)</f>
        <v>0</v>
      </c>
      <c r="GN21" s="129"/>
      <c r="GO21" s="128">
        <f>SUM(GO14:GO20)</f>
        <v>0</v>
      </c>
      <c r="GP21" s="130"/>
      <c r="GQ21" s="128">
        <f t="shared" ref="GQ21:GR21" si="107">SUM(GQ14:GQ20)</f>
        <v>0</v>
      </c>
      <c r="GR21" s="131">
        <f t="shared" si="107"/>
        <v>0</v>
      </c>
      <c r="GS21" s="132"/>
      <c r="GT21" s="132"/>
      <c r="GU21" s="132"/>
      <c r="GV21" s="133"/>
      <c r="GW21" s="126" t="s">
        <v>77</v>
      </c>
      <c r="GX21" s="127"/>
      <c r="GY21" s="128">
        <f>SUM(GY14:GY20)</f>
        <v>0</v>
      </c>
      <c r="GZ21" s="129"/>
      <c r="HA21" s="128">
        <f>SUM(HA14:HA20)</f>
        <v>0</v>
      </c>
      <c r="HB21" s="130"/>
      <c r="HC21" s="128">
        <f t="shared" ref="HC21:HD21" si="108">SUM(HC14:HC20)</f>
        <v>0</v>
      </c>
      <c r="HD21" s="131">
        <f t="shared" si="108"/>
        <v>0</v>
      </c>
      <c r="HE21" s="132"/>
      <c r="HF21" s="132"/>
      <c r="HG21" s="132"/>
      <c r="HH21" s="133"/>
      <c r="HI21" s="132"/>
    </row>
    <row r="22" ht="15.75" customHeight="1">
      <c r="A22" s="120"/>
      <c r="B22" s="121"/>
      <c r="C22" s="121"/>
      <c r="D22" s="121"/>
      <c r="E22" s="122"/>
      <c r="F22" s="122"/>
      <c r="G22" s="122"/>
      <c r="H22" s="134"/>
      <c r="I22" s="135"/>
      <c r="J22" s="135"/>
      <c r="K22" s="135"/>
      <c r="L22" s="136"/>
      <c r="M22" s="120"/>
      <c r="N22" s="121"/>
      <c r="O22" s="121"/>
      <c r="P22" s="121"/>
      <c r="Q22" s="122"/>
      <c r="R22" s="122"/>
      <c r="S22" s="122"/>
      <c r="T22" s="134"/>
      <c r="U22" s="135"/>
      <c r="V22" s="135"/>
      <c r="W22" s="135"/>
      <c r="X22" s="136"/>
      <c r="Y22" s="120"/>
      <c r="Z22" s="121"/>
      <c r="AA22" s="121"/>
      <c r="AB22" s="121"/>
      <c r="AC22" s="122"/>
      <c r="AD22" s="122"/>
      <c r="AE22" s="122"/>
      <c r="AF22" s="134"/>
      <c r="AG22" s="135"/>
      <c r="AH22" s="135"/>
      <c r="AI22" s="135"/>
      <c r="AJ22" s="136"/>
      <c r="AK22" s="120"/>
      <c r="AL22" s="121"/>
      <c r="AM22" s="121"/>
      <c r="AN22" s="121"/>
      <c r="AO22" s="122"/>
      <c r="AP22" s="122"/>
      <c r="AQ22" s="122"/>
      <c r="AR22" s="134"/>
      <c r="AS22" s="135"/>
      <c r="AT22" s="135"/>
      <c r="AU22" s="135"/>
      <c r="AV22" s="136"/>
      <c r="AW22" s="120"/>
      <c r="AX22" s="121"/>
      <c r="AY22" s="121"/>
      <c r="AZ22" s="121"/>
      <c r="BA22" s="122"/>
      <c r="BB22" s="122"/>
      <c r="BC22" s="122"/>
      <c r="BD22" s="134"/>
      <c r="BE22" s="135"/>
      <c r="BF22" s="135"/>
      <c r="BG22" s="135"/>
      <c r="BH22" s="136"/>
      <c r="BI22" s="120"/>
      <c r="BJ22" s="121"/>
      <c r="BK22" s="121"/>
      <c r="BL22" s="121"/>
      <c r="BM22" s="122"/>
      <c r="BN22" s="122"/>
      <c r="BO22" s="122"/>
      <c r="BP22" s="134"/>
      <c r="BQ22" s="135"/>
      <c r="BR22" s="135"/>
      <c r="BS22" s="135"/>
      <c r="BT22" s="136"/>
      <c r="BU22" s="120"/>
      <c r="BV22" s="121"/>
      <c r="BW22" s="121"/>
      <c r="BX22" s="121"/>
      <c r="BY22" s="122"/>
      <c r="BZ22" s="122"/>
      <c r="CA22" s="122"/>
      <c r="CB22" s="134"/>
      <c r="CC22" s="135"/>
      <c r="CD22" s="135"/>
      <c r="CE22" s="135"/>
      <c r="CF22" s="136"/>
      <c r="CG22" s="120"/>
      <c r="CH22" s="121"/>
      <c r="CI22" s="121"/>
      <c r="CJ22" s="121"/>
      <c r="CK22" s="122"/>
      <c r="CL22" s="122"/>
      <c r="CM22" s="122"/>
      <c r="CN22" s="134"/>
      <c r="CO22" s="135"/>
      <c r="CP22" s="135"/>
      <c r="CQ22" s="135"/>
      <c r="CR22" s="136"/>
      <c r="CS22" s="120"/>
      <c r="CT22" s="121"/>
      <c r="CU22" s="121"/>
      <c r="CV22" s="121"/>
      <c r="CW22" s="122"/>
      <c r="CX22" s="122"/>
      <c r="CY22" s="122"/>
      <c r="CZ22" s="134"/>
      <c r="DA22" s="135"/>
      <c r="DB22" s="135"/>
      <c r="DC22" s="135"/>
      <c r="DD22" s="136"/>
      <c r="DE22" s="120"/>
      <c r="DF22" s="121"/>
      <c r="DG22" s="121"/>
      <c r="DH22" s="121"/>
      <c r="DI22" s="122"/>
      <c r="DJ22" s="122"/>
      <c r="DK22" s="122"/>
      <c r="DL22" s="134"/>
      <c r="DM22" s="135"/>
      <c r="DN22" s="135"/>
      <c r="DO22" s="135"/>
      <c r="DP22" s="136"/>
      <c r="DQ22" s="120"/>
      <c r="DR22" s="121"/>
      <c r="DS22" s="121"/>
      <c r="DT22" s="121"/>
      <c r="DU22" s="122"/>
      <c r="DV22" s="122"/>
      <c r="DW22" s="122"/>
      <c r="DX22" s="134"/>
      <c r="DY22" s="135"/>
      <c r="DZ22" s="135"/>
      <c r="EA22" s="135"/>
      <c r="EB22" s="136"/>
      <c r="EC22" s="120"/>
      <c r="ED22" s="121"/>
      <c r="EE22" s="121"/>
      <c r="EF22" s="121"/>
      <c r="EG22" s="122"/>
      <c r="EH22" s="122"/>
      <c r="EI22" s="122"/>
      <c r="EJ22" s="134"/>
      <c r="EK22" s="135"/>
      <c r="EL22" s="135"/>
      <c r="EM22" s="135"/>
      <c r="EN22" s="136"/>
      <c r="EO22" s="120"/>
      <c r="EP22" s="121"/>
      <c r="EQ22" s="121"/>
      <c r="ER22" s="121"/>
      <c r="ES22" s="122"/>
      <c r="ET22" s="122"/>
      <c r="EU22" s="122"/>
      <c r="EV22" s="134"/>
      <c r="EW22" s="135"/>
      <c r="EX22" s="135"/>
      <c r="EY22" s="135"/>
      <c r="EZ22" s="136"/>
      <c r="FA22" s="120"/>
      <c r="FB22" s="121"/>
      <c r="FC22" s="121"/>
      <c r="FD22" s="121"/>
      <c r="FE22" s="122"/>
      <c r="FF22" s="122"/>
      <c r="FG22" s="122"/>
      <c r="FH22" s="134"/>
      <c r="FI22" s="135"/>
      <c r="FJ22" s="135"/>
      <c r="FK22" s="135"/>
      <c r="FL22" s="136"/>
      <c r="FM22" s="120"/>
      <c r="FN22" s="121"/>
      <c r="FO22" s="121"/>
      <c r="FP22" s="121"/>
      <c r="FQ22" s="122"/>
      <c r="FR22" s="122"/>
      <c r="FS22" s="122"/>
      <c r="FT22" s="134"/>
      <c r="FU22" s="135"/>
      <c r="FV22" s="135"/>
      <c r="FW22" s="135"/>
      <c r="FX22" s="136"/>
      <c r="FY22" s="120"/>
      <c r="FZ22" s="121"/>
      <c r="GA22" s="121"/>
      <c r="GB22" s="121"/>
      <c r="GC22" s="122"/>
      <c r="GD22" s="122"/>
      <c r="GE22" s="122"/>
      <c r="GF22" s="134"/>
      <c r="GG22" s="135"/>
      <c r="GH22" s="135"/>
      <c r="GI22" s="135"/>
      <c r="GJ22" s="136"/>
      <c r="GK22" s="120"/>
      <c r="GL22" s="121"/>
      <c r="GM22" s="121"/>
      <c r="GN22" s="121"/>
      <c r="GO22" s="122"/>
      <c r="GP22" s="122"/>
      <c r="GQ22" s="122"/>
      <c r="GR22" s="134"/>
      <c r="GS22" s="135"/>
      <c r="GT22" s="135"/>
      <c r="GU22" s="135"/>
      <c r="GV22" s="136"/>
      <c r="GW22" s="120"/>
      <c r="GX22" s="121"/>
      <c r="GY22" s="121"/>
      <c r="GZ22" s="121"/>
      <c r="HA22" s="122"/>
      <c r="HB22" s="122"/>
      <c r="HC22" s="122"/>
      <c r="HD22" s="134"/>
      <c r="HE22" s="135"/>
      <c r="HF22" s="135"/>
      <c r="HG22" s="135"/>
      <c r="HH22" s="136"/>
      <c r="HI22" s="135"/>
    </row>
    <row r="23" ht="15.75" customHeight="1">
      <c r="A23" s="120"/>
      <c r="B23" s="137" t="str">
        <f>"Adjusment "&amp;" %"</f>
        <v>Adjusment  %</v>
      </c>
      <c r="C23" s="138"/>
      <c r="D23" s="138"/>
      <c r="E23" s="139">
        <f>E48+E73+E97+E122</f>
        <v>0</v>
      </c>
      <c r="F23" s="140"/>
      <c r="G23" s="122">
        <f>IFERROR(+E23-H23,"")</f>
        <v>0</v>
      </c>
      <c r="H23" s="139">
        <f>H48+H73+H97+H122</f>
        <v>0</v>
      </c>
      <c r="I23" s="75"/>
      <c r="J23" s="75"/>
      <c r="K23" s="75"/>
      <c r="L23" s="81"/>
      <c r="M23" s="120"/>
      <c r="N23" s="137" t="str">
        <f>"Adjusment "&amp;" %"</f>
        <v>Adjusment  %</v>
      </c>
      <c r="O23" s="138"/>
      <c r="P23" s="138"/>
      <c r="Q23" s="139">
        <f>Q48+Q73+Q97+Q122</f>
        <v>0</v>
      </c>
      <c r="R23" s="140"/>
      <c r="S23" s="122">
        <f>IFERROR(+Q23-T23,"")</f>
        <v>0</v>
      </c>
      <c r="T23" s="139">
        <f>T48+T73+T97+T122</f>
        <v>0</v>
      </c>
      <c r="U23" s="75"/>
      <c r="V23" s="75"/>
      <c r="W23" s="75"/>
      <c r="X23" s="81"/>
      <c r="Y23" s="120"/>
      <c r="Z23" s="137" t="str">
        <f>"Adjusment "&amp;" %"</f>
        <v>Adjusment  %</v>
      </c>
      <c r="AA23" s="138"/>
      <c r="AB23" s="138"/>
      <c r="AC23" s="139">
        <f>AC48+AC73+AC97+AC122</f>
        <v>0</v>
      </c>
      <c r="AD23" s="140"/>
      <c r="AE23" s="122">
        <f>IFERROR(+AC23-AF23,"")</f>
        <v>0</v>
      </c>
      <c r="AF23" s="139">
        <f>AF48+AF73+AF97+AF122</f>
        <v>0</v>
      </c>
      <c r="AG23" s="75"/>
      <c r="AH23" s="75"/>
      <c r="AI23" s="75"/>
      <c r="AJ23" s="81"/>
      <c r="AK23" s="120"/>
      <c r="AL23" s="137" t="str">
        <f>"Adjusment "&amp;" %"</f>
        <v>Adjusment  %</v>
      </c>
      <c r="AM23" s="138"/>
      <c r="AN23" s="138"/>
      <c r="AO23" s="139">
        <f>AO48+AO73+AO97+AO122</f>
        <v>0</v>
      </c>
      <c r="AP23" s="140"/>
      <c r="AQ23" s="122">
        <f>IFERROR(+AO23-AR23,"")</f>
        <v>0</v>
      </c>
      <c r="AR23" s="139">
        <f>AR48+AR73+AR97+AR122</f>
        <v>0</v>
      </c>
      <c r="AS23" s="75"/>
      <c r="AT23" s="75"/>
      <c r="AU23" s="75"/>
      <c r="AV23" s="81"/>
      <c r="AW23" s="120"/>
      <c r="AX23" s="137" t="str">
        <f>"Adjusment "&amp;" %"</f>
        <v>Adjusment  %</v>
      </c>
      <c r="AY23" s="138"/>
      <c r="AZ23" s="138"/>
      <c r="BA23" s="139">
        <f>BA48+BA73+BA97+BA122</f>
        <v>0</v>
      </c>
      <c r="BB23" s="140"/>
      <c r="BC23" s="122">
        <f>IFERROR(+BA23-BD23,"")</f>
        <v>0</v>
      </c>
      <c r="BD23" s="139">
        <f>BD48+BD73+BD97+BD122</f>
        <v>0</v>
      </c>
      <c r="BE23" s="75"/>
      <c r="BF23" s="75"/>
      <c r="BG23" s="75"/>
      <c r="BH23" s="81"/>
      <c r="BI23" s="120"/>
      <c r="BJ23" s="137" t="str">
        <f>"Adjusment "&amp;" %"</f>
        <v>Adjusment  %</v>
      </c>
      <c r="BK23" s="138"/>
      <c r="BL23" s="138"/>
      <c r="BM23" s="139">
        <f>BM48+BM73+BM97+BM122</f>
        <v>0</v>
      </c>
      <c r="BN23" s="140"/>
      <c r="BO23" s="122">
        <f>IFERROR(+BM23-BP23,"")</f>
        <v>0</v>
      </c>
      <c r="BP23" s="139">
        <f>BP48+BP73+BP97+BP122</f>
        <v>0</v>
      </c>
      <c r="BQ23" s="75"/>
      <c r="BR23" s="75"/>
      <c r="BS23" s="75"/>
      <c r="BT23" s="81"/>
      <c r="BU23" s="120"/>
      <c r="BV23" s="137" t="str">
        <f>"Adjusment "&amp;" %"</f>
        <v>Adjusment  %</v>
      </c>
      <c r="BW23" s="138"/>
      <c r="BX23" s="138"/>
      <c r="BY23" s="139">
        <f>BY48+BY73+BY97+BY122</f>
        <v>0</v>
      </c>
      <c r="BZ23" s="140"/>
      <c r="CA23" s="122">
        <f>IFERROR(+BY23-CB23,"")</f>
        <v>0</v>
      </c>
      <c r="CB23" s="139">
        <f>CB48+CB73+CB97+CB122</f>
        <v>0</v>
      </c>
      <c r="CC23" s="75"/>
      <c r="CD23" s="75"/>
      <c r="CE23" s="75"/>
      <c r="CF23" s="81"/>
      <c r="CG23" s="120"/>
      <c r="CH23" s="137" t="str">
        <f>"Adjusment "&amp;" %"</f>
        <v>Adjusment  %</v>
      </c>
      <c r="CI23" s="138"/>
      <c r="CJ23" s="138"/>
      <c r="CK23" s="139">
        <f>CK48+CK73+CK97+CK122</f>
        <v>0</v>
      </c>
      <c r="CL23" s="140"/>
      <c r="CM23" s="122">
        <f>IFERROR(+CK23-CN23,"")</f>
        <v>0</v>
      </c>
      <c r="CN23" s="139">
        <f>CN48+CN73+CN97+CN122</f>
        <v>0</v>
      </c>
      <c r="CO23" s="75"/>
      <c r="CP23" s="75"/>
      <c r="CQ23" s="75"/>
      <c r="CR23" s="81"/>
      <c r="CS23" s="120"/>
      <c r="CT23" s="137" t="str">
        <f>"Adjusment "&amp;" %"</f>
        <v>Adjusment  %</v>
      </c>
      <c r="CU23" s="138"/>
      <c r="CV23" s="138"/>
      <c r="CW23" s="139">
        <f>CW48+CW73+CW97+CW122</f>
        <v>0</v>
      </c>
      <c r="CX23" s="140"/>
      <c r="CY23" s="122">
        <f>IFERROR(+CW23-CZ23,"")</f>
        <v>0</v>
      </c>
      <c r="CZ23" s="139">
        <f>CZ48+CZ73+CZ97+CZ122</f>
        <v>0</v>
      </c>
      <c r="DA23" s="75"/>
      <c r="DB23" s="75"/>
      <c r="DC23" s="75"/>
      <c r="DD23" s="81"/>
      <c r="DE23" s="120"/>
      <c r="DF23" s="137" t="str">
        <f>"Adjusment "&amp;" %"</f>
        <v>Adjusment  %</v>
      </c>
      <c r="DG23" s="138"/>
      <c r="DH23" s="138"/>
      <c r="DI23" s="139">
        <f>DI48+DI73+DI97+DI122</f>
        <v>0</v>
      </c>
      <c r="DJ23" s="140"/>
      <c r="DK23" s="122">
        <f>IFERROR(+DI23-DL23,"")</f>
        <v>0</v>
      </c>
      <c r="DL23" s="139">
        <f>DL48+DL73+DL97+DL122</f>
        <v>0</v>
      </c>
      <c r="DM23" s="75"/>
      <c r="DN23" s="75"/>
      <c r="DO23" s="75"/>
      <c r="DP23" s="81"/>
      <c r="DQ23" s="120"/>
      <c r="DR23" s="137" t="str">
        <f>"Adjusment "&amp;" %"</f>
        <v>Adjusment  %</v>
      </c>
      <c r="DS23" s="138"/>
      <c r="DT23" s="138"/>
      <c r="DU23" s="139">
        <f>DU48+DU73+DU97+DU122</f>
        <v>0</v>
      </c>
      <c r="DV23" s="140"/>
      <c r="DW23" s="122">
        <f>IFERROR(+DU23-DX23,"")</f>
        <v>0</v>
      </c>
      <c r="DX23" s="139">
        <f>DX48+DX73+DX97+DX122</f>
        <v>0</v>
      </c>
      <c r="DY23" s="75"/>
      <c r="DZ23" s="75"/>
      <c r="EA23" s="75"/>
      <c r="EB23" s="81"/>
      <c r="EC23" s="120"/>
      <c r="ED23" s="137" t="str">
        <f>"Adjusment "&amp;" %"</f>
        <v>Adjusment  %</v>
      </c>
      <c r="EE23" s="138"/>
      <c r="EF23" s="138"/>
      <c r="EG23" s="139">
        <f>EG48+EG73+EG97+EG122</f>
        <v>0</v>
      </c>
      <c r="EH23" s="140"/>
      <c r="EI23" s="122">
        <f>IFERROR(+EG23-EJ23,"")</f>
        <v>0</v>
      </c>
      <c r="EJ23" s="139">
        <f>EJ48+EJ73+EJ97+EJ122</f>
        <v>0</v>
      </c>
      <c r="EK23" s="75"/>
      <c r="EL23" s="75"/>
      <c r="EM23" s="75"/>
      <c r="EN23" s="81"/>
      <c r="EO23" s="120"/>
      <c r="EP23" s="137" t="str">
        <f>"Adjusment "&amp;" %"</f>
        <v>Adjusment  %</v>
      </c>
      <c r="EQ23" s="138"/>
      <c r="ER23" s="138"/>
      <c r="ES23" s="139">
        <f>ES48+ES73+ES97+ES122</f>
        <v>0</v>
      </c>
      <c r="ET23" s="140"/>
      <c r="EU23" s="122">
        <f>IFERROR(+ES23-EV23,"")</f>
        <v>0</v>
      </c>
      <c r="EV23" s="139">
        <f>EV48+EV73+EV97+EV122</f>
        <v>0</v>
      </c>
      <c r="EW23" s="75"/>
      <c r="EX23" s="75"/>
      <c r="EY23" s="75"/>
      <c r="EZ23" s="81"/>
      <c r="FA23" s="120"/>
      <c r="FB23" s="137" t="str">
        <f>"Adjusment "&amp;" %"</f>
        <v>Adjusment  %</v>
      </c>
      <c r="FC23" s="138"/>
      <c r="FD23" s="138"/>
      <c r="FE23" s="139">
        <f>FE48+FE73+FE97+FE122</f>
        <v>0</v>
      </c>
      <c r="FF23" s="140"/>
      <c r="FG23" s="122">
        <f>IFERROR(+FE23-FH23,"")</f>
        <v>0</v>
      </c>
      <c r="FH23" s="139">
        <f>FH48+FH73+FH97+FH122</f>
        <v>0</v>
      </c>
      <c r="FI23" s="75"/>
      <c r="FJ23" s="75"/>
      <c r="FK23" s="75"/>
      <c r="FL23" s="81"/>
      <c r="FM23" s="120"/>
      <c r="FN23" s="137" t="str">
        <f>"Adjusment "&amp;" %"</f>
        <v>Adjusment  %</v>
      </c>
      <c r="FO23" s="138"/>
      <c r="FP23" s="138"/>
      <c r="FQ23" s="139">
        <f>FQ48+FQ73+FQ97+FQ122</f>
        <v>0</v>
      </c>
      <c r="FR23" s="140"/>
      <c r="FS23" s="122">
        <f>IFERROR(+FQ23-FT23,"")</f>
        <v>0</v>
      </c>
      <c r="FT23" s="139">
        <f>FT48+FT73+FT97+FT122</f>
        <v>0</v>
      </c>
      <c r="FU23" s="75"/>
      <c r="FV23" s="75"/>
      <c r="FW23" s="75"/>
      <c r="FX23" s="81"/>
      <c r="FY23" s="120"/>
      <c r="FZ23" s="137" t="str">
        <f>"Adjusment "&amp;" %"</f>
        <v>Adjusment  %</v>
      </c>
      <c r="GA23" s="138"/>
      <c r="GB23" s="138"/>
      <c r="GC23" s="139">
        <f>GC48+GC73+GC97+GC122</f>
        <v>0</v>
      </c>
      <c r="GD23" s="140"/>
      <c r="GE23" s="122">
        <f>IFERROR(+GC23-GF23,"")</f>
        <v>0</v>
      </c>
      <c r="GF23" s="139">
        <f>GF48+GF73+GF97+GF122</f>
        <v>0</v>
      </c>
      <c r="GG23" s="75"/>
      <c r="GH23" s="75"/>
      <c r="GI23" s="75"/>
      <c r="GJ23" s="81"/>
      <c r="GK23" s="120"/>
      <c r="GL23" s="137" t="str">
        <f>"Adjusment "&amp;" %"</f>
        <v>Adjusment  %</v>
      </c>
      <c r="GM23" s="138"/>
      <c r="GN23" s="138"/>
      <c r="GO23" s="139">
        <f>GO48+GO73+GO97+GO122</f>
        <v>0</v>
      </c>
      <c r="GP23" s="140"/>
      <c r="GQ23" s="122">
        <f>IFERROR(+GO23-GR23,"")</f>
        <v>0</v>
      </c>
      <c r="GR23" s="139">
        <f>GR48+GR73+GR97+GR122</f>
        <v>0</v>
      </c>
      <c r="GS23" s="75"/>
      <c r="GT23" s="75"/>
      <c r="GU23" s="75"/>
      <c r="GV23" s="81"/>
      <c r="GW23" s="120"/>
      <c r="GX23" s="137" t="str">
        <f>"Adjusment "&amp;" %"</f>
        <v>Adjusment  %</v>
      </c>
      <c r="GY23" s="138"/>
      <c r="GZ23" s="138"/>
      <c r="HA23" s="139">
        <f>HA48+HA73+HA97+HA122</f>
        <v>0</v>
      </c>
      <c r="HB23" s="140"/>
      <c r="HC23" s="122">
        <f>IFERROR(+HA23-HD23,"")</f>
        <v>0</v>
      </c>
      <c r="HD23" s="139">
        <f>HD48+HD73+HD97+HD122</f>
        <v>0</v>
      </c>
      <c r="HE23" s="75"/>
      <c r="HF23" s="75"/>
      <c r="HG23" s="75"/>
      <c r="HH23" s="81"/>
      <c r="HI23" s="75"/>
    </row>
    <row r="24" ht="15.75" customHeight="1">
      <c r="A24" s="120"/>
      <c r="B24" s="125"/>
      <c r="C24" s="122"/>
      <c r="D24" s="122"/>
      <c r="E24" s="122"/>
      <c r="F24" s="122"/>
      <c r="G24" s="122"/>
      <c r="H24" s="124"/>
      <c r="I24" s="75"/>
      <c r="J24" s="75"/>
      <c r="K24" s="75"/>
      <c r="L24" s="81"/>
      <c r="M24" s="120"/>
      <c r="N24" s="125"/>
      <c r="O24" s="122"/>
      <c r="P24" s="122"/>
      <c r="Q24" s="122"/>
      <c r="R24" s="122"/>
      <c r="S24" s="122"/>
      <c r="T24" s="124"/>
      <c r="U24" s="75"/>
      <c r="V24" s="75"/>
      <c r="W24" s="75"/>
      <c r="X24" s="81"/>
      <c r="Y24" s="120"/>
      <c r="Z24" s="125"/>
      <c r="AA24" s="122"/>
      <c r="AB24" s="122"/>
      <c r="AC24" s="122"/>
      <c r="AD24" s="122"/>
      <c r="AE24" s="122"/>
      <c r="AF24" s="124"/>
      <c r="AG24" s="75"/>
      <c r="AH24" s="75"/>
      <c r="AI24" s="75"/>
      <c r="AJ24" s="81"/>
      <c r="AK24" s="120"/>
      <c r="AL24" s="125"/>
      <c r="AM24" s="122"/>
      <c r="AN24" s="122"/>
      <c r="AO24" s="122"/>
      <c r="AP24" s="122"/>
      <c r="AQ24" s="122"/>
      <c r="AR24" s="124"/>
      <c r="AS24" s="75"/>
      <c r="AT24" s="75"/>
      <c r="AU24" s="75"/>
      <c r="AV24" s="81"/>
      <c r="AW24" s="120"/>
      <c r="AX24" s="125"/>
      <c r="AY24" s="122"/>
      <c r="AZ24" s="122"/>
      <c r="BA24" s="122"/>
      <c r="BB24" s="122"/>
      <c r="BC24" s="122"/>
      <c r="BD24" s="124"/>
      <c r="BE24" s="75"/>
      <c r="BF24" s="75"/>
      <c r="BG24" s="75"/>
      <c r="BH24" s="81"/>
      <c r="BI24" s="120"/>
      <c r="BJ24" s="125"/>
      <c r="BK24" s="122"/>
      <c r="BL24" s="122"/>
      <c r="BM24" s="122"/>
      <c r="BN24" s="122"/>
      <c r="BO24" s="122"/>
      <c r="BP24" s="124"/>
      <c r="BQ24" s="75"/>
      <c r="BR24" s="75"/>
      <c r="BS24" s="75"/>
      <c r="BT24" s="81"/>
      <c r="BU24" s="120"/>
      <c r="BV24" s="125"/>
      <c r="BW24" s="122"/>
      <c r="BX24" s="122"/>
      <c r="BY24" s="122"/>
      <c r="BZ24" s="122"/>
      <c r="CA24" s="122"/>
      <c r="CB24" s="124"/>
      <c r="CC24" s="75"/>
      <c r="CD24" s="75"/>
      <c r="CE24" s="75"/>
      <c r="CF24" s="81"/>
      <c r="CG24" s="120"/>
      <c r="CH24" s="125"/>
      <c r="CI24" s="122"/>
      <c r="CJ24" s="122"/>
      <c r="CK24" s="122"/>
      <c r="CL24" s="122"/>
      <c r="CM24" s="122"/>
      <c r="CN24" s="124"/>
      <c r="CO24" s="75"/>
      <c r="CP24" s="75"/>
      <c r="CQ24" s="75"/>
      <c r="CR24" s="81"/>
      <c r="CS24" s="120"/>
      <c r="CT24" s="125"/>
      <c r="CU24" s="122"/>
      <c r="CV24" s="122"/>
      <c r="CW24" s="122"/>
      <c r="CX24" s="122"/>
      <c r="CY24" s="122"/>
      <c r="CZ24" s="124"/>
      <c r="DA24" s="75"/>
      <c r="DB24" s="75"/>
      <c r="DC24" s="75"/>
      <c r="DD24" s="81"/>
      <c r="DE24" s="120"/>
      <c r="DF24" s="125"/>
      <c r="DG24" s="122"/>
      <c r="DH24" s="122"/>
      <c r="DI24" s="122"/>
      <c r="DJ24" s="122"/>
      <c r="DK24" s="122"/>
      <c r="DL24" s="124"/>
      <c r="DM24" s="75"/>
      <c r="DN24" s="75"/>
      <c r="DO24" s="75"/>
      <c r="DP24" s="81"/>
      <c r="DQ24" s="120"/>
      <c r="DR24" s="125"/>
      <c r="DS24" s="122"/>
      <c r="DT24" s="122"/>
      <c r="DU24" s="122"/>
      <c r="DV24" s="122"/>
      <c r="DW24" s="122"/>
      <c r="DX24" s="124"/>
      <c r="DY24" s="75"/>
      <c r="DZ24" s="75"/>
      <c r="EA24" s="75"/>
      <c r="EB24" s="81"/>
      <c r="EC24" s="120"/>
      <c r="ED24" s="125"/>
      <c r="EE24" s="122"/>
      <c r="EF24" s="122"/>
      <c r="EG24" s="122"/>
      <c r="EH24" s="122"/>
      <c r="EI24" s="122"/>
      <c r="EJ24" s="124"/>
      <c r="EK24" s="75"/>
      <c r="EL24" s="75"/>
      <c r="EM24" s="75"/>
      <c r="EN24" s="81"/>
      <c r="EO24" s="120"/>
      <c r="EP24" s="125"/>
      <c r="EQ24" s="122"/>
      <c r="ER24" s="122"/>
      <c r="ES24" s="122"/>
      <c r="ET24" s="122"/>
      <c r="EU24" s="122"/>
      <c r="EV24" s="124"/>
      <c r="EW24" s="75"/>
      <c r="EX24" s="75"/>
      <c r="EY24" s="75"/>
      <c r="EZ24" s="81"/>
      <c r="FA24" s="120"/>
      <c r="FB24" s="125"/>
      <c r="FC24" s="122"/>
      <c r="FD24" s="122"/>
      <c r="FE24" s="122"/>
      <c r="FF24" s="122"/>
      <c r="FG24" s="122"/>
      <c r="FH24" s="124"/>
      <c r="FI24" s="75"/>
      <c r="FJ24" s="75"/>
      <c r="FK24" s="75"/>
      <c r="FL24" s="81"/>
      <c r="FM24" s="120"/>
      <c r="FN24" s="125"/>
      <c r="FO24" s="122"/>
      <c r="FP24" s="122"/>
      <c r="FQ24" s="122"/>
      <c r="FR24" s="122"/>
      <c r="FS24" s="122"/>
      <c r="FT24" s="124"/>
      <c r="FU24" s="75"/>
      <c r="FV24" s="75"/>
      <c r="FW24" s="75"/>
      <c r="FX24" s="81"/>
      <c r="FY24" s="120"/>
      <c r="FZ24" s="125"/>
      <c r="GA24" s="122"/>
      <c r="GB24" s="122"/>
      <c r="GC24" s="122"/>
      <c r="GD24" s="122"/>
      <c r="GE24" s="122"/>
      <c r="GF24" s="124"/>
      <c r="GG24" s="75"/>
      <c r="GH24" s="75"/>
      <c r="GI24" s="75"/>
      <c r="GJ24" s="81"/>
      <c r="GK24" s="120"/>
      <c r="GL24" s="125"/>
      <c r="GM24" s="122"/>
      <c r="GN24" s="122"/>
      <c r="GO24" s="122"/>
      <c r="GP24" s="122"/>
      <c r="GQ24" s="122"/>
      <c r="GR24" s="124"/>
      <c r="GS24" s="75"/>
      <c r="GT24" s="75"/>
      <c r="GU24" s="75"/>
      <c r="GV24" s="81"/>
      <c r="GW24" s="120"/>
      <c r="GX24" s="125"/>
      <c r="GY24" s="122"/>
      <c r="GZ24" s="122"/>
      <c r="HA24" s="122"/>
      <c r="HB24" s="122"/>
      <c r="HC24" s="122"/>
      <c r="HD24" s="124"/>
      <c r="HE24" s="75"/>
      <c r="HF24" s="75"/>
      <c r="HG24" s="75"/>
      <c r="HH24" s="81"/>
      <c r="HI24" s="75"/>
    </row>
    <row r="25" ht="24.0" customHeight="1">
      <c r="A25" s="143" t="s">
        <v>78</v>
      </c>
      <c r="B25" s="144"/>
      <c r="C25" s="145">
        <f>SUM(C21:C24)</f>
        <v>0</v>
      </c>
      <c r="D25" s="146"/>
      <c r="E25" s="145">
        <f>SUM(E21:E24)</f>
        <v>0</v>
      </c>
      <c r="F25" s="146"/>
      <c r="G25" s="145">
        <f t="shared" ref="G25:H25" si="109">SUM(G21:G24)</f>
        <v>0</v>
      </c>
      <c r="H25" s="147">
        <f t="shared" si="109"/>
        <v>0</v>
      </c>
      <c r="I25" s="75"/>
      <c r="J25" s="75"/>
      <c r="K25" s="75"/>
      <c r="L25" s="81"/>
      <c r="M25" s="143" t="s">
        <v>78</v>
      </c>
      <c r="N25" s="144"/>
      <c r="O25" s="145">
        <f>SUM(O21:O24)</f>
        <v>0</v>
      </c>
      <c r="P25" s="146"/>
      <c r="Q25" s="145">
        <f>SUM(Q21:Q24)</f>
        <v>0</v>
      </c>
      <c r="R25" s="146"/>
      <c r="S25" s="145">
        <f t="shared" ref="S25:T25" si="110">SUM(S21:S24)</f>
        <v>0</v>
      </c>
      <c r="T25" s="147">
        <f t="shared" si="110"/>
        <v>0</v>
      </c>
      <c r="U25" s="75"/>
      <c r="V25" s="75"/>
      <c r="W25" s="75"/>
      <c r="X25" s="81"/>
      <c r="Y25" s="143" t="s">
        <v>78</v>
      </c>
      <c r="Z25" s="144"/>
      <c r="AA25" s="145">
        <f>SUM(AA21:AA24)</f>
        <v>0</v>
      </c>
      <c r="AB25" s="146"/>
      <c r="AC25" s="145">
        <f>SUM(AC21:AC24)</f>
        <v>0</v>
      </c>
      <c r="AD25" s="146"/>
      <c r="AE25" s="145">
        <f t="shared" ref="AE25:AF25" si="111">SUM(AE21:AE24)</f>
        <v>0</v>
      </c>
      <c r="AF25" s="147">
        <f t="shared" si="111"/>
        <v>0</v>
      </c>
      <c r="AG25" s="75"/>
      <c r="AH25" s="75"/>
      <c r="AI25" s="75"/>
      <c r="AJ25" s="81"/>
      <c r="AK25" s="143" t="s">
        <v>78</v>
      </c>
      <c r="AL25" s="144"/>
      <c r="AM25" s="145">
        <f>SUM(AM21:AM24)</f>
        <v>0</v>
      </c>
      <c r="AN25" s="146"/>
      <c r="AO25" s="145">
        <f>SUM(AO21:AO24)</f>
        <v>0</v>
      </c>
      <c r="AP25" s="146"/>
      <c r="AQ25" s="145">
        <f t="shared" ref="AQ25:AR25" si="112">SUM(AQ21:AQ24)</f>
        <v>0</v>
      </c>
      <c r="AR25" s="147">
        <f t="shared" si="112"/>
        <v>0</v>
      </c>
      <c r="AS25" s="75"/>
      <c r="AT25" s="75"/>
      <c r="AU25" s="75"/>
      <c r="AV25" s="81"/>
      <c r="AW25" s="143" t="s">
        <v>78</v>
      </c>
      <c r="AX25" s="144"/>
      <c r="AY25" s="145">
        <f>SUM(AY21:AY24)</f>
        <v>0</v>
      </c>
      <c r="AZ25" s="146"/>
      <c r="BA25" s="145">
        <f>SUM(BA21:BA24)</f>
        <v>0</v>
      </c>
      <c r="BB25" s="146"/>
      <c r="BC25" s="145">
        <f t="shared" ref="BC25:BD25" si="113">SUM(BC21:BC24)</f>
        <v>0</v>
      </c>
      <c r="BD25" s="147">
        <f t="shared" si="113"/>
        <v>0</v>
      </c>
      <c r="BE25" s="75"/>
      <c r="BF25" s="75"/>
      <c r="BG25" s="75"/>
      <c r="BH25" s="81"/>
      <c r="BI25" s="143" t="s">
        <v>78</v>
      </c>
      <c r="BJ25" s="144"/>
      <c r="BK25" s="145">
        <f>SUM(BK21:BK24)</f>
        <v>0</v>
      </c>
      <c r="BL25" s="146"/>
      <c r="BM25" s="145">
        <f>SUM(BM21:BM24)</f>
        <v>0</v>
      </c>
      <c r="BN25" s="146"/>
      <c r="BO25" s="145">
        <f t="shared" ref="BO25:BP25" si="114">SUM(BO21:BO24)</f>
        <v>0</v>
      </c>
      <c r="BP25" s="147">
        <f t="shared" si="114"/>
        <v>0</v>
      </c>
      <c r="BQ25" s="75"/>
      <c r="BR25" s="75"/>
      <c r="BS25" s="75"/>
      <c r="BT25" s="81"/>
      <c r="BU25" s="143" t="s">
        <v>78</v>
      </c>
      <c r="BV25" s="144"/>
      <c r="BW25" s="145">
        <f>SUM(BW21:BW24)</f>
        <v>0</v>
      </c>
      <c r="BX25" s="146"/>
      <c r="BY25" s="145">
        <f>SUM(BY21:BY24)</f>
        <v>0</v>
      </c>
      <c r="BZ25" s="146"/>
      <c r="CA25" s="145">
        <f t="shared" ref="CA25:CB25" si="115">SUM(CA21:CA24)</f>
        <v>0</v>
      </c>
      <c r="CB25" s="147">
        <f t="shared" si="115"/>
        <v>0</v>
      </c>
      <c r="CC25" s="75"/>
      <c r="CD25" s="75"/>
      <c r="CE25" s="75"/>
      <c r="CF25" s="81"/>
      <c r="CG25" s="143" t="s">
        <v>78</v>
      </c>
      <c r="CH25" s="144"/>
      <c r="CI25" s="145">
        <f>SUM(CI21:CI24)</f>
        <v>0</v>
      </c>
      <c r="CJ25" s="146"/>
      <c r="CK25" s="145">
        <f>SUM(CK21:CK24)</f>
        <v>0</v>
      </c>
      <c r="CL25" s="146"/>
      <c r="CM25" s="145">
        <f t="shared" ref="CM25:CN25" si="116">SUM(CM21:CM24)</f>
        <v>0</v>
      </c>
      <c r="CN25" s="147">
        <f t="shared" si="116"/>
        <v>0</v>
      </c>
      <c r="CO25" s="75"/>
      <c r="CP25" s="75"/>
      <c r="CQ25" s="75"/>
      <c r="CR25" s="81"/>
      <c r="CS25" s="143" t="s">
        <v>78</v>
      </c>
      <c r="CT25" s="144"/>
      <c r="CU25" s="145">
        <f>SUM(CU21:CU24)</f>
        <v>0</v>
      </c>
      <c r="CV25" s="146"/>
      <c r="CW25" s="145">
        <f>SUM(CW21:CW24)</f>
        <v>0</v>
      </c>
      <c r="CX25" s="146"/>
      <c r="CY25" s="145">
        <f t="shared" ref="CY25:CZ25" si="117">SUM(CY21:CY24)</f>
        <v>0</v>
      </c>
      <c r="CZ25" s="147">
        <f t="shared" si="117"/>
        <v>0</v>
      </c>
      <c r="DA25" s="75"/>
      <c r="DB25" s="75"/>
      <c r="DC25" s="75"/>
      <c r="DD25" s="81"/>
      <c r="DE25" s="143" t="s">
        <v>78</v>
      </c>
      <c r="DF25" s="144"/>
      <c r="DG25" s="145">
        <f>SUM(DG21:DG24)</f>
        <v>0</v>
      </c>
      <c r="DH25" s="146"/>
      <c r="DI25" s="145">
        <f>SUM(DI21:DI24)</f>
        <v>0</v>
      </c>
      <c r="DJ25" s="146"/>
      <c r="DK25" s="145">
        <f t="shared" ref="DK25:DL25" si="118">SUM(DK21:DK24)</f>
        <v>0</v>
      </c>
      <c r="DL25" s="147">
        <f t="shared" si="118"/>
        <v>0</v>
      </c>
      <c r="DM25" s="75"/>
      <c r="DN25" s="75"/>
      <c r="DO25" s="75"/>
      <c r="DP25" s="81"/>
      <c r="DQ25" s="143" t="s">
        <v>78</v>
      </c>
      <c r="DR25" s="144"/>
      <c r="DS25" s="145">
        <f>SUM(DS21:DS24)</f>
        <v>0</v>
      </c>
      <c r="DT25" s="146"/>
      <c r="DU25" s="145">
        <f>SUM(DU21:DU24)</f>
        <v>0</v>
      </c>
      <c r="DV25" s="146"/>
      <c r="DW25" s="145">
        <f t="shared" ref="DW25:DX25" si="119">SUM(DW21:DW24)</f>
        <v>0</v>
      </c>
      <c r="DX25" s="147">
        <f t="shared" si="119"/>
        <v>0</v>
      </c>
      <c r="DY25" s="75"/>
      <c r="DZ25" s="75"/>
      <c r="EA25" s="75"/>
      <c r="EB25" s="81"/>
      <c r="EC25" s="143" t="s">
        <v>78</v>
      </c>
      <c r="ED25" s="144"/>
      <c r="EE25" s="145">
        <f>SUM(EE21:EE24)</f>
        <v>0</v>
      </c>
      <c r="EF25" s="146"/>
      <c r="EG25" s="145">
        <f>SUM(EG21:EG24)</f>
        <v>0</v>
      </c>
      <c r="EH25" s="146"/>
      <c r="EI25" s="145">
        <f t="shared" ref="EI25:EJ25" si="120">SUM(EI21:EI24)</f>
        <v>0</v>
      </c>
      <c r="EJ25" s="147">
        <f t="shared" si="120"/>
        <v>0</v>
      </c>
      <c r="EK25" s="75"/>
      <c r="EL25" s="75"/>
      <c r="EM25" s="75"/>
      <c r="EN25" s="81"/>
      <c r="EO25" s="143" t="s">
        <v>78</v>
      </c>
      <c r="EP25" s="144"/>
      <c r="EQ25" s="145">
        <f>SUM(EQ21:EQ24)</f>
        <v>0</v>
      </c>
      <c r="ER25" s="146"/>
      <c r="ES25" s="145">
        <f>SUM(ES21:ES24)</f>
        <v>0</v>
      </c>
      <c r="ET25" s="146"/>
      <c r="EU25" s="145">
        <f t="shared" ref="EU25:EV25" si="121">SUM(EU21:EU24)</f>
        <v>0</v>
      </c>
      <c r="EV25" s="147">
        <f t="shared" si="121"/>
        <v>0</v>
      </c>
      <c r="EW25" s="75"/>
      <c r="EX25" s="75"/>
      <c r="EY25" s="75"/>
      <c r="EZ25" s="81"/>
      <c r="FA25" s="143" t="s">
        <v>78</v>
      </c>
      <c r="FB25" s="144"/>
      <c r="FC25" s="145">
        <f>SUM(FC21:FC24)</f>
        <v>0</v>
      </c>
      <c r="FD25" s="146"/>
      <c r="FE25" s="145">
        <f>SUM(FE21:FE24)</f>
        <v>0</v>
      </c>
      <c r="FF25" s="146"/>
      <c r="FG25" s="145">
        <f t="shared" ref="FG25:FH25" si="122">SUM(FG21:FG24)</f>
        <v>0</v>
      </c>
      <c r="FH25" s="147">
        <f t="shared" si="122"/>
        <v>0</v>
      </c>
      <c r="FI25" s="75"/>
      <c r="FJ25" s="75"/>
      <c r="FK25" s="75"/>
      <c r="FL25" s="81"/>
      <c r="FM25" s="143" t="s">
        <v>78</v>
      </c>
      <c r="FN25" s="144"/>
      <c r="FO25" s="145">
        <f>SUM(FO21:FO24)</f>
        <v>0</v>
      </c>
      <c r="FP25" s="146"/>
      <c r="FQ25" s="145">
        <f>SUM(FQ21:FQ24)</f>
        <v>0</v>
      </c>
      <c r="FR25" s="146"/>
      <c r="FS25" s="145">
        <f t="shared" ref="FS25:FT25" si="123">SUM(FS21:FS24)</f>
        <v>0</v>
      </c>
      <c r="FT25" s="147">
        <f t="shared" si="123"/>
        <v>0</v>
      </c>
      <c r="FU25" s="75"/>
      <c r="FV25" s="75"/>
      <c r="FW25" s="75"/>
      <c r="FX25" s="81"/>
      <c r="FY25" s="143" t="s">
        <v>78</v>
      </c>
      <c r="FZ25" s="144"/>
      <c r="GA25" s="145">
        <f>SUM(GA21:GA24)</f>
        <v>0</v>
      </c>
      <c r="GB25" s="146"/>
      <c r="GC25" s="145">
        <f>SUM(GC21:GC24)</f>
        <v>0</v>
      </c>
      <c r="GD25" s="146"/>
      <c r="GE25" s="145">
        <f t="shared" ref="GE25:GF25" si="124">SUM(GE21:GE24)</f>
        <v>0</v>
      </c>
      <c r="GF25" s="147">
        <f t="shared" si="124"/>
        <v>0</v>
      </c>
      <c r="GG25" s="75"/>
      <c r="GH25" s="75"/>
      <c r="GI25" s="75"/>
      <c r="GJ25" s="81"/>
      <c r="GK25" s="143" t="s">
        <v>78</v>
      </c>
      <c r="GL25" s="144"/>
      <c r="GM25" s="145">
        <f>SUM(GM21:GM24)</f>
        <v>0</v>
      </c>
      <c r="GN25" s="146"/>
      <c r="GO25" s="145">
        <f>SUM(GO21:GO24)</f>
        <v>0</v>
      </c>
      <c r="GP25" s="146"/>
      <c r="GQ25" s="145">
        <f t="shared" ref="GQ25:GR25" si="125">SUM(GQ21:GQ24)</f>
        <v>0</v>
      </c>
      <c r="GR25" s="147">
        <f t="shared" si="125"/>
        <v>0</v>
      </c>
      <c r="GS25" s="75"/>
      <c r="GT25" s="75"/>
      <c r="GU25" s="75"/>
      <c r="GV25" s="81"/>
      <c r="GW25" s="143" t="s">
        <v>78</v>
      </c>
      <c r="GX25" s="144"/>
      <c r="GY25" s="145">
        <f>SUM(GY21:GY24)</f>
        <v>0</v>
      </c>
      <c r="GZ25" s="146"/>
      <c r="HA25" s="145">
        <f>SUM(HA21:HA24)</f>
        <v>0</v>
      </c>
      <c r="HB25" s="146"/>
      <c r="HC25" s="145">
        <f t="shared" ref="HC25:HD25" si="126">SUM(HC21:HC24)</f>
        <v>0</v>
      </c>
      <c r="HD25" s="147">
        <f t="shared" si="126"/>
        <v>0</v>
      </c>
      <c r="HE25" s="75"/>
      <c r="HF25" s="75"/>
      <c r="HG25" s="75"/>
      <c r="HH25" s="81"/>
      <c r="HI25" s="75"/>
    </row>
    <row r="26" ht="15.0" customHeight="1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81"/>
      <c r="M26" s="74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81"/>
      <c r="Y26" s="74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81"/>
      <c r="AK26" s="74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81"/>
      <c r="AW26" s="74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81"/>
      <c r="BI26" s="74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81"/>
      <c r="BU26" s="74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81"/>
      <c r="CG26" s="74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81"/>
      <c r="CS26" s="74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81"/>
      <c r="DE26" s="74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81"/>
      <c r="DQ26" s="74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81"/>
      <c r="EC26" s="74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81"/>
      <c r="EO26" s="74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81"/>
      <c r="FA26" s="74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81"/>
      <c r="FM26" s="74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81"/>
      <c r="FY26" s="74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81"/>
      <c r="GK26" s="74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81"/>
      <c r="GW26" s="74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81"/>
      <c r="HI26" s="75"/>
    </row>
    <row r="27" ht="15.0" customHeight="1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81"/>
      <c r="M27" s="74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81"/>
      <c r="Y27" s="74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81"/>
      <c r="AK27" s="74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81"/>
      <c r="AW27" s="74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81"/>
      <c r="BI27" s="74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81"/>
      <c r="BU27" s="74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81"/>
      <c r="CG27" s="74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81"/>
      <c r="CS27" s="74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81"/>
      <c r="DE27" s="74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81"/>
      <c r="DQ27" s="74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81"/>
      <c r="EC27" s="74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81"/>
      <c r="EO27" s="74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81"/>
      <c r="FA27" s="74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81"/>
      <c r="FM27" s="74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81"/>
      <c r="FY27" s="74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81"/>
      <c r="GK27" s="74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81"/>
      <c r="GW27" s="74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81"/>
      <c r="HI27" s="75"/>
    </row>
    <row r="28" ht="15.0" customHeight="1">
      <c r="A28" s="74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81"/>
      <c r="M28" s="74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81"/>
      <c r="Y28" s="74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81"/>
      <c r="AK28" s="74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81"/>
      <c r="AW28" s="74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81"/>
      <c r="BI28" s="74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81"/>
      <c r="BU28" s="74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81"/>
      <c r="CG28" s="74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81"/>
      <c r="CS28" s="74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81"/>
      <c r="DE28" s="74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81"/>
      <c r="DQ28" s="74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81"/>
      <c r="EC28" s="74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81"/>
      <c r="EO28" s="74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81"/>
      <c r="FA28" s="74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81"/>
      <c r="FM28" s="74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81"/>
      <c r="FY28" s="74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81"/>
      <c r="GK28" s="74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81"/>
      <c r="GW28" s="74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81"/>
      <c r="HI28" s="75"/>
    </row>
    <row r="29" ht="15.75" customHeight="1">
      <c r="A29" s="148"/>
      <c r="B29" s="149" t="s">
        <v>49</v>
      </c>
      <c r="C29" s="150" t="s">
        <v>50</v>
      </c>
      <c r="D29" s="151"/>
      <c r="E29" s="151"/>
      <c r="F29" s="151"/>
      <c r="G29" s="149" t="s">
        <v>51</v>
      </c>
      <c r="H29" s="151"/>
      <c r="I29" s="152"/>
      <c r="J29" s="87"/>
      <c r="K29" s="88" t="s">
        <v>83</v>
      </c>
      <c r="L29" s="89"/>
      <c r="M29" s="148"/>
      <c r="N29" s="149" t="s">
        <v>49</v>
      </c>
      <c r="O29" s="150" t="s">
        <v>50</v>
      </c>
      <c r="P29" s="151"/>
      <c r="Q29" s="151"/>
      <c r="R29" s="151"/>
      <c r="S29" s="149" t="s">
        <v>51</v>
      </c>
      <c r="T29" s="151"/>
      <c r="U29" s="152"/>
      <c r="V29" s="87"/>
      <c r="W29" s="88" t="s">
        <v>83</v>
      </c>
      <c r="X29" s="89"/>
      <c r="Y29" s="148"/>
      <c r="Z29" s="149" t="s">
        <v>49</v>
      </c>
      <c r="AA29" s="150" t="s">
        <v>50</v>
      </c>
      <c r="AB29" s="151"/>
      <c r="AC29" s="151"/>
      <c r="AD29" s="151"/>
      <c r="AE29" s="149" t="s">
        <v>51</v>
      </c>
      <c r="AF29" s="151"/>
      <c r="AG29" s="152"/>
      <c r="AH29" s="87"/>
      <c r="AI29" s="88" t="s">
        <v>83</v>
      </c>
      <c r="AJ29" s="89"/>
      <c r="AK29" s="148"/>
      <c r="AL29" s="149" t="s">
        <v>49</v>
      </c>
      <c r="AM29" s="150" t="s">
        <v>50</v>
      </c>
      <c r="AN29" s="151"/>
      <c r="AO29" s="151"/>
      <c r="AP29" s="151"/>
      <c r="AQ29" s="149" t="s">
        <v>51</v>
      </c>
      <c r="AR29" s="151"/>
      <c r="AS29" s="152"/>
      <c r="AT29" s="87"/>
      <c r="AU29" s="88" t="s">
        <v>83</v>
      </c>
      <c r="AV29" s="89"/>
      <c r="AW29" s="148"/>
      <c r="AX29" s="149" t="s">
        <v>49</v>
      </c>
      <c r="AY29" s="150" t="s">
        <v>50</v>
      </c>
      <c r="AZ29" s="151"/>
      <c r="BA29" s="151"/>
      <c r="BB29" s="151"/>
      <c r="BC29" s="149" t="s">
        <v>51</v>
      </c>
      <c r="BD29" s="151"/>
      <c r="BE29" s="152"/>
      <c r="BF29" s="87"/>
      <c r="BG29" s="88" t="s">
        <v>83</v>
      </c>
      <c r="BH29" s="89"/>
      <c r="BI29" s="148"/>
      <c r="BJ29" s="149" t="s">
        <v>49</v>
      </c>
      <c r="BK29" s="150" t="s">
        <v>50</v>
      </c>
      <c r="BL29" s="151"/>
      <c r="BM29" s="151"/>
      <c r="BN29" s="151"/>
      <c r="BO29" s="149" t="s">
        <v>51</v>
      </c>
      <c r="BP29" s="151"/>
      <c r="BQ29" s="152"/>
      <c r="BR29" s="87"/>
      <c r="BS29" s="88" t="s">
        <v>83</v>
      </c>
      <c r="BT29" s="89"/>
      <c r="BU29" s="148"/>
      <c r="BV29" s="149" t="s">
        <v>49</v>
      </c>
      <c r="BW29" s="150" t="s">
        <v>50</v>
      </c>
      <c r="BX29" s="151"/>
      <c r="BY29" s="151"/>
      <c r="BZ29" s="151"/>
      <c r="CA29" s="149" t="s">
        <v>51</v>
      </c>
      <c r="CB29" s="151"/>
      <c r="CC29" s="152"/>
      <c r="CD29" s="87"/>
      <c r="CE29" s="88" t="s">
        <v>83</v>
      </c>
      <c r="CF29" s="89"/>
      <c r="CG29" s="148"/>
      <c r="CH29" s="149" t="s">
        <v>49</v>
      </c>
      <c r="CI29" s="150" t="s">
        <v>50</v>
      </c>
      <c r="CJ29" s="151"/>
      <c r="CK29" s="151"/>
      <c r="CL29" s="151"/>
      <c r="CM29" s="149" t="s">
        <v>51</v>
      </c>
      <c r="CN29" s="151"/>
      <c r="CO29" s="152"/>
      <c r="CP29" s="87"/>
      <c r="CQ29" s="88" t="s">
        <v>83</v>
      </c>
      <c r="CR29" s="89"/>
      <c r="CS29" s="148"/>
      <c r="CT29" s="149" t="s">
        <v>49</v>
      </c>
      <c r="CU29" s="150" t="s">
        <v>50</v>
      </c>
      <c r="CV29" s="151"/>
      <c r="CW29" s="151"/>
      <c r="CX29" s="151"/>
      <c r="CY29" s="149" t="s">
        <v>51</v>
      </c>
      <c r="CZ29" s="151"/>
      <c r="DA29" s="152"/>
      <c r="DB29" s="87"/>
      <c r="DC29" s="88" t="s">
        <v>83</v>
      </c>
      <c r="DD29" s="89"/>
      <c r="DE29" s="148"/>
      <c r="DF29" s="149" t="s">
        <v>49</v>
      </c>
      <c r="DG29" s="150" t="s">
        <v>50</v>
      </c>
      <c r="DH29" s="151"/>
      <c r="DI29" s="151"/>
      <c r="DJ29" s="151"/>
      <c r="DK29" s="149" t="s">
        <v>51</v>
      </c>
      <c r="DL29" s="151"/>
      <c r="DM29" s="152"/>
      <c r="DN29" s="87"/>
      <c r="DO29" s="88" t="s">
        <v>83</v>
      </c>
      <c r="DP29" s="89"/>
      <c r="DQ29" s="148"/>
      <c r="DR29" s="149" t="s">
        <v>49</v>
      </c>
      <c r="DS29" s="150" t="s">
        <v>50</v>
      </c>
      <c r="DT29" s="151"/>
      <c r="DU29" s="151"/>
      <c r="DV29" s="151"/>
      <c r="DW29" s="149" t="s">
        <v>51</v>
      </c>
      <c r="DX29" s="151"/>
      <c r="DY29" s="152"/>
      <c r="DZ29" s="87"/>
      <c r="EA29" s="88" t="s">
        <v>83</v>
      </c>
      <c r="EB29" s="89"/>
      <c r="EC29" s="148"/>
      <c r="ED29" s="149" t="s">
        <v>49</v>
      </c>
      <c r="EE29" s="150" t="s">
        <v>50</v>
      </c>
      <c r="EF29" s="151"/>
      <c r="EG29" s="151"/>
      <c r="EH29" s="151"/>
      <c r="EI29" s="149" t="s">
        <v>51</v>
      </c>
      <c r="EJ29" s="151"/>
      <c r="EK29" s="152"/>
      <c r="EL29" s="87"/>
      <c r="EM29" s="88" t="s">
        <v>83</v>
      </c>
      <c r="EN29" s="89"/>
      <c r="EO29" s="148"/>
      <c r="EP29" s="149" t="s">
        <v>49</v>
      </c>
      <c r="EQ29" s="150" t="s">
        <v>50</v>
      </c>
      <c r="ER29" s="151"/>
      <c r="ES29" s="151"/>
      <c r="ET29" s="151"/>
      <c r="EU29" s="149" t="s">
        <v>51</v>
      </c>
      <c r="EV29" s="151"/>
      <c r="EW29" s="152"/>
      <c r="EX29" s="87"/>
      <c r="EY29" s="88" t="s">
        <v>83</v>
      </c>
      <c r="EZ29" s="89"/>
      <c r="FA29" s="148"/>
      <c r="FB29" s="149" t="s">
        <v>49</v>
      </c>
      <c r="FC29" s="150" t="s">
        <v>50</v>
      </c>
      <c r="FD29" s="151"/>
      <c r="FE29" s="151"/>
      <c r="FF29" s="151"/>
      <c r="FG29" s="149" t="s">
        <v>51</v>
      </c>
      <c r="FH29" s="151"/>
      <c r="FI29" s="152"/>
      <c r="FJ29" s="87"/>
      <c r="FK29" s="88" t="s">
        <v>83</v>
      </c>
      <c r="FL29" s="89"/>
      <c r="FM29" s="148"/>
      <c r="FN29" s="149" t="s">
        <v>49</v>
      </c>
      <c r="FO29" s="150" t="s">
        <v>50</v>
      </c>
      <c r="FP29" s="151"/>
      <c r="FQ29" s="151"/>
      <c r="FR29" s="151"/>
      <c r="FS29" s="149" t="s">
        <v>51</v>
      </c>
      <c r="FT29" s="151"/>
      <c r="FU29" s="152"/>
      <c r="FV29" s="87"/>
      <c r="FW29" s="88" t="s">
        <v>83</v>
      </c>
      <c r="FX29" s="89"/>
      <c r="FY29" s="148"/>
      <c r="FZ29" s="149" t="s">
        <v>49</v>
      </c>
      <c r="GA29" s="150" t="s">
        <v>50</v>
      </c>
      <c r="GB29" s="151"/>
      <c r="GC29" s="151"/>
      <c r="GD29" s="151"/>
      <c r="GE29" s="149" t="s">
        <v>51</v>
      </c>
      <c r="GF29" s="151"/>
      <c r="GG29" s="152"/>
      <c r="GH29" s="87"/>
      <c r="GI29" s="88" t="s">
        <v>83</v>
      </c>
      <c r="GJ29" s="89"/>
      <c r="GK29" s="148"/>
      <c r="GL29" s="149" t="s">
        <v>49</v>
      </c>
      <c r="GM29" s="150" t="s">
        <v>50</v>
      </c>
      <c r="GN29" s="151"/>
      <c r="GO29" s="151"/>
      <c r="GP29" s="151"/>
      <c r="GQ29" s="149" t="s">
        <v>51</v>
      </c>
      <c r="GR29" s="151"/>
      <c r="GS29" s="152"/>
      <c r="GT29" s="87"/>
      <c r="GU29" s="88" t="s">
        <v>83</v>
      </c>
      <c r="GV29" s="89"/>
      <c r="GW29" s="148"/>
      <c r="GX29" s="149" t="s">
        <v>49</v>
      </c>
      <c r="GY29" s="150" t="s">
        <v>50</v>
      </c>
      <c r="GZ29" s="151"/>
      <c r="HA29" s="151"/>
      <c r="HB29" s="151"/>
      <c r="HC29" s="149" t="s">
        <v>51</v>
      </c>
      <c r="HD29" s="151"/>
      <c r="HE29" s="152"/>
      <c r="HF29" s="87"/>
      <c r="HG29" s="88" t="s">
        <v>83</v>
      </c>
      <c r="HH29" s="89"/>
      <c r="HI29" s="87"/>
    </row>
    <row r="30" ht="15.75" customHeight="1">
      <c r="A30" s="153"/>
      <c r="B30" s="154" t="s">
        <v>23</v>
      </c>
      <c r="C30" s="155" t="s">
        <v>53</v>
      </c>
      <c r="D30" s="155"/>
      <c r="E30" s="155"/>
      <c r="F30" s="155"/>
      <c r="G30" s="154" t="s">
        <v>54</v>
      </c>
      <c r="H30" s="155"/>
      <c r="I30" s="156"/>
      <c r="J30" s="87"/>
      <c r="K30" s="94"/>
      <c r="L30" s="89"/>
      <c r="M30" s="153"/>
      <c r="N30" s="154" t="s">
        <v>23</v>
      </c>
      <c r="O30" s="155" t="s">
        <v>53</v>
      </c>
      <c r="P30" s="155"/>
      <c r="Q30" s="155"/>
      <c r="R30" s="155"/>
      <c r="S30" s="154" t="s">
        <v>54</v>
      </c>
      <c r="T30" s="155"/>
      <c r="U30" s="156"/>
      <c r="V30" s="87"/>
      <c r="W30" s="94"/>
      <c r="X30" s="89"/>
      <c r="Y30" s="153"/>
      <c r="Z30" s="154" t="s">
        <v>23</v>
      </c>
      <c r="AA30" s="155" t="s">
        <v>53</v>
      </c>
      <c r="AB30" s="155"/>
      <c r="AC30" s="155"/>
      <c r="AD30" s="155"/>
      <c r="AE30" s="154" t="s">
        <v>54</v>
      </c>
      <c r="AF30" s="155"/>
      <c r="AG30" s="156"/>
      <c r="AH30" s="87"/>
      <c r="AI30" s="94"/>
      <c r="AJ30" s="89"/>
      <c r="AK30" s="153"/>
      <c r="AL30" s="154" t="s">
        <v>23</v>
      </c>
      <c r="AM30" s="155" t="s">
        <v>53</v>
      </c>
      <c r="AN30" s="155"/>
      <c r="AO30" s="155"/>
      <c r="AP30" s="155"/>
      <c r="AQ30" s="154" t="s">
        <v>54</v>
      </c>
      <c r="AR30" s="155"/>
      <c r="AS30" s="156"/>
      <c r="AT30" s="87"/>
      <c r="AU30" s="94"/>
      <c r="AV30" s="89"/>
      <c r="AW30" s="153"/>
      <c r="AX30" s="154" t="s">
        <v>23</v>
      </c>
      <c r="AY30" s="155" t="s">
        <v>53</v>
      </c>
      <c r="AZ30" s="155"/>
      <c r="BA30" s="155"/>
      <c r="BB30" s="155"/>
      <c r="BC30" s="154" t="s">
        <v>54</v>
      </c>
      <c r="BD30" s="155"/>
      <c r="BE30" s="156"/>
      <c r="BF30" s="87"/>
      <c r="BG30" s="94"/>
      <c r="BH30" s="89"/>
      <c r="BI30" s="153"/>
      <c r="BJ30" s="154" t="s">
        <v>23</v>
      </c>
      <c r="BK30" s="155" t="s">
        <v>53</v>
      </c>
      <c r="BL30" s="155"/>
      <c r="BM30" s="155"/>
      <c r="BN30" s="155"/>
      <c r="BO30" s="154" t="s">
        <v>54</v>
      </c>
      <c r="BP30" s="155"/>
      <c r="BQ30" s="156"/>
      <c r="BR30" s="87"/>
      <c r="BS30" s="94"/>
      <c r="BT30" s="89"/>
      <c r="BU30" s="153"/>
      <c r="BV30" s="154" t="s">
        <v>23</v>
      </c>
      <c r="BW30" s="155" t="s">
        <v>53</v>
      </c>
      <c r="BX30" s="155"/>
      <c r="BY30" s="155"/>
      <c r="BZ30" s="155"/>
      <c r="CA30" s="154" t="s">
        <v>54</v>
      </c>
      <c r="CB30" s="155"/>
      <c r="CC30" s="156"/>
      <c r="CD30" s="87"/>
      <c r="CE30" s="94"/>
      <c r="CF30" s="89"/>
      <c r="CG30" s="153"/>
      <c r="CH30" s="154" t="s">
        <v>23</v>
      </c>
      <c r="CI30" s="155" t="s">
        <v>53</v>
      </c>
      <c r="CJ30" s="155"/>
      <c r="CK30" s="155"/>
      <c r="CL30" s="155"/>
      <c r="CM30" s="154" t="s">
        <v>54</v>
      </c>
      <c r="CN30" s="155"/>
      <c r="CO30" s="156"/>
      <c r="CP30" s="87"/>
      <c r="CQ30" s="94"/>
      <c r="CR30" s="89"/>
      <c r="CS30" s="153"/>
      <c r="CT30" s="154" t="s">
        <v>23</v>
      </c>
      <c r="CU30" s="155" t="s">
        <v>53</v>
      </c>
      <c r="CV30" s="155"/>
      <c r="CW30" s="155"/>
      <c r="CX30" s="155"/>
      <c r="CY30" s="154" t="s">
        <v>54</v>
      </c>
      <c r="CZ30" s="155"/>
      <c r="DA30" s="156"/>
      <c r="DB30" s="87"/>
      <c r="DC30" s="94"/>
      <c r="DD30" s="89"/>
      <c r="DE30" s="153"/>
      <c r="DF30" s="154" t="s">
        <v>23</v>
      </c>
      <c r="DG30" s="155" t="s">
        <v>53</v>
      </c>
      <c r="DH30" s="155"/>
      <c r="DI30" s="155"/>
      <c r="DJ30" s="155"/>
      <c r="DK30" s="154" t="s">
        <v>54</v>
      </c>
      <c r="DL30" s="155"/>
      <c r="DM30" s="156"/>
      <c r="DN30" s="87"/>
      <c r="DO30" s="94"/>
      <c r="DP30" s="89"/>
      <c r="DQ30" s="153"/>
      <c r="DR30" s="154" t="s">
        <v>23</v>
      </c>
      <c r="DS30" s="155" t="s">
        <v>53</v>
      </c>
      <c r="DT30" s="155"/>
      <c r="DU30" s="155"/>
      <c r="DV30" s="155"/>
      <c r="DW30" s="154" t="s">
        <v>54</v>
      </c>
      <c r="DX30" s="155"/>
      <c r="DY30" s="156"/>
      <c r="DZ30" s="87"/>
      <c r="EA30" s="94"/>
      <c r="EB30" s="89"/>
      <c r="EC30" s="153"/>
      <c r="ED30" s="154" t="s">
        <v>23</v>
      </c>
      <c r="EE30" s="155" t="s">
        <v>53</v>
      </c>
      <c r="EF30" s="155"/>
      <c r="EG30" s="155"/>
      <c r="EH30" s="155"/>
      <c r="EI30" s="154" t="s">
        <v>54</v>
      </c>
      <c r="EJ30" s="155"/>
      <c r="EK30" s="156"/>
      <c r="EL30" s="87"/>
      <c r="EM30" s="94"/>
      <c r="EN30" s="89"/>
      <c r="EO30" s="153"/>
      <c r="EP30" s="154" t="s">
        <v>23</v>
      </c>
      <c r="EQ30" s="155" t="s">
        <v>53</v>
      </c>
      <c r="ER30" s="155"/>
      <c r="ES30" s="155"/>
      <c r="ET30" s="155"/>
      <c r="EU30" s="154" t="s">
        <v>54</v>
      </c>
      <c r="EV30" s="155"/>
      <c r="EW30" s="156"/>
      <c r="EX30" s="87"/>
      <c r="EY30" s="94"/>
      <c r="EZ30" s="89"/>
      <c r="FA30" s="153"/>
      <c r="FB30" s="154" t="s">
        <v>23</v>
      </c>
      <c r="FC30" s="155" t="s">
        <v>53</v>
      </c>
      <c r="FD30" s="155"/>
      <c r="FE30" s="155"/>
      <c r="FF30" s="155"/>
      <c r="FG30" s="154" t="s">
        <v>54</v>
      </c>
      <c r="FH30" s="155"/>
      <c r="FI30" s="156"/>
      <c r="FJ30" s="87"/>
      <c r="FK30" s="94"/>
      <c r="FL30" s="89"/>
      <c r="FM30" s="153"/>
      <c r="FN30" s="154" t="s">
        <v>23</v>
      </c>
      <c r="FO30" s="155" t="s">
        <v>53</v>
      </c>
      <c r="FP30" s="155"/>
      <c r="FQ30" s="155"/>
      <c r="FR30" s="155"/>
      <c r="FS30" s="154" t="s">
        <v>54</v>
      </c>
      <c r="FT30" s="155"/>
      <c r="FU30" s="156"/>
      <c r="FV30" s="87"/>
      <c r="FW30" s="94"/>
      <c r="FX30" s="89"/>
      <c r="FY30" s="153"/>
      <c r="FZ30" s="154" t="s">
        <v>23</v>
      </c>
      <c r="GA30" s="155" t="s">
        <v>53</v>
      </c>
      <c r="GB30" s="155"/>
      <c r="GC30" s="155"/>
      <c r="GD30" s="155"/>
      <c r="GE30" s="154" t="s">
        <v>54</v>
      </c>
      <c r="GF30" s="155"/>
      <c r="GG30" s="156"/>
      <c r="GH30" s="87"/>
      <c r="GI30" s="94"/>
      <c r="GJ30" s="89"/>
      <c r="GK30" s="153"/>
      <c r="GL30" s="154" t="s">
        <v>23</v>
      </c>
      <c r="GM30" s="155" t="s">
        <v>53</v>
      </c>
      <c r="GN30" s="155"/>
      <c r="GO30" s="155"/>
      <c r="GP30" s="155"/>
      <c r="GQ30" s="154" t="s">
        <v>54</v>
      </c>
      <c r="GR30" s="155"/>
      <c r="GS30" s="156"/>
      <c r="GT30" s="87"/>
      <c r="GU30" s="94"/>
      <c r="GV30" s="89"/>
      <c r="GW30" s="153"/>
      <c r="GX30" s="154" t="s">
        <v>23</v>
      </c>
      <c r="GY30" s="155" t="s">
        <v>53</v>
      </c>
      <c r="GZ30" s="155"/>
      <c r="HA30" s="155"/>
      <c r="HB30" s="155"/>
      <c r="HC30" s="154" t="s">
        <v>54</v>
      </c>
      <c r="HD30" s="155"/>
      <c r="HE30" s="156"/>
      <c r="HF30" s="87"/>
      <c r="HG30" s="94"/>
      <c r="HH30" s="89"/>
      <c r="HI30" s="87"/>
    </row>
    <row r="31" ht="15.0" customHeight="1">
      <c r="A31" s="153"/>
      <c r="B31" s="154" t="s">
        <v>55</v>
      </c>
      <c r="C31" s="155" t="s">
        <v>56</v>
      </c>
      <c r="D31" s="155"/>
      <c r="E31" s="155"/>
      <c r="F31" s="155"/>
      <c r="G31" s="154" t="s">
        <v>84</v>
      </c>
      <c r="H31" s="155"/>
      <c r="I31" s="156"/>
      <c r="J31" s="87"/>
      <c r="K31" s="95" t="str">
        <f>"I/"&amp;K$6</f>
        <v>I/2010</v>
      </c>
      <c r="L31" s="89"/>
      <c r="M31" s="153"/>
      <c r="N31" s="154" t="s">
        <v>55</v>
      </c>
      <c r="O31" s="155" t="s">
        <v>56</v>
      </c>
      <c r="P31" s="155"/>
      <c r="Q31" s="155"/>
      <c r="R31" s="155"/>
      <c r="S31" s="154" t="s">
        <v>84</v>
      </c>
      <c r="T31" s="155"/>
      <c r="U31" s="156"/>
      <c r="V31" s="87"/>
      <c r="W31" s="95" t="str">
        <f>"I/"&amp;W$6</f>
        <v>I/2011</v>
      </c>
      <c r="X31" s="89"/>
      <c r="Y31" s="153"/>
      <c r="Z31" s="154" t="s">
        <v>55</v>
      </c>
      <c r="AA31" s="155" t="s">
        <v>56</v>
      </c>
      <c r="AB31" s="155"/>
      <c r="AC31" s="155"/>
      <c r="AD31" s="155"/>
      <c r="AE31" s="154" t="s">
        <v>84</v>
      </c>
      <c r="AF31" s="155"/>
      <c r="AG31" s="156"/>
      <c r="AH31" s="87"/>
      <c r="AI31" s="95" t="str">
        <f>"I/"&amp;AI$6</f>
        <v>I/2012</v>
      </c>
      <c r="AJ31" s="89"/>
      <c r="AK31" s="153"/>
      <c r="AL31" s="154" t="s">
        <v>55</v>
      </c>
      <c r="AM31" s="155" t="s">
        <v>56</v>
      </c>
      <c r="AN31" s="155"/>
      <c r="AO31" s="155"/>
      <c r="AP31" s="155"/>
      <c r="AQ31" s="154" t="s">
        <v>84</v>
      </c>
      <c r="AR31" s="155"/>
      <c r="AS31" s="156"/>
      <c r="AT31" s="87"/>
      <c r="AU31" s="95" t="str">
        <f>"I/"&amp;AU$6</f>
        <v>I/2013</v>
      </c>
      <c r="AV31" s="89"/>
      <c r="AW31" s="153"/>
      <c r="AX31" s="154" t="s">
        <v>55</v>
      </c>
      <c r="AY31" s="155" t="s">
        <v>56</v>
      </c>
      <c r="AZ31" s="155"/>
      <c r="BA31" s="155"/>
      <c r="BB31" s="155"/>
      <c r="BC31" s="154" t="s">
        <v>84</v>
      </c>
      <c r="BD31" s="155"/>
      <c r="BE31" s="156"/>
      <c r="BF31" s="87"/>
      <c r="BG31" s="95" t="str">
        <f>"I/"&amp;BG$6</f>
        <v>I/2014</v>
      </c>
      <c r="BH31" s="89"/>
      <c r="BI31" s="153"/>
      <c r="BJ31" s="154" t="s">
        <v>55</v>
      </c>
      <c r="BK31" s="155" t="s">
        <v>56</v>
      </c>
      <c r="BL31" s="155"/>
      <c r="BM31" s="155"/>
      <c r="BN31" s="155"/>
      <c r="BO31" s="154" t="s">
        <v>84</v>
      </c>
      <c r="BP31" s="155"/>
      <c r="BQ31" s="156"/>
      <c r="BR31" s="87"/>
      <c r="BS31" s="95" t="str">
        <f>"I/"&amp;BS$6</f>
        <v>I/2015</v>
      </c>
      <c r="BT31" s="89"/>
      <c r="BU31" s="153"/>
      <c r="BV31" s="154" t="s">
        <v>55</v>
      </c>
      <c r="BW31" s="155" t="s">
        <v>56</v>
      </c>
      <c r="BX31" s="155"/>
      <c r="BY31" s="155"/>
      <c r="BZ31" s="155"/>
      <c r="CA31" s="154" t="s">
        <v>84</v>
      </c>
      <c r="CB31" s="155"/>
      <c r="CC31" s="156"/>
      <c r="CD31" s="87"/>
      <c r="CE31" s="95" t="str">
        <f>"I/"&amp;CE$6</f>
        <v>I/2016</v>
      </c>
      <c r="CF31" s="89"/>
      <c r="CG31" s="153"/>
      <c r="CH31" s="154" t="s">
        <v>55</v>
      </c>
      <c r="CI31" s="155" t="s">
        <v>56</v>
      </c>
      <c r="CJ31" s="155"/>
      <c r="CK31" s="155"/>
      <c r="CL31" s="155"/>
      <c r="CM31" s="154" t="s">
        <v>84</v>
      </c>
      <c r="CN31" s="155"/>
      <c r="CO31" s="156"/>
      <c r="CP31" s="87"/>
      <c r="CQ31" s="95" t="str">
        <f>"I/"&amp;CQ$6</f>
        <v>I/2017</v>
      </c>
      <c r="CR31" s="89"/>
      <c r="CS31" s="153"/>
      <c r="CT31" s="154" t="s">
        <v>55</v>
      </c>
      <c r="CU31" s="155" t="s">
        <v>56</v>
      </c>
      <c r="CV31" s="155"/>
      <c r="CW31" s="155"/>
      <c r="CX31" s="155"/>
      <c r="CY31" s="154" t="s">
        <v>84</v>
      </c>
      <c r="CZ31" s="155"/>
      <c r="DA31" s="156"/>
      <c r="DB31" s="87"/>
      <c r="DC31" s="95" t="str">
        <f>"I/"&amp;DC$6</f>
        <v>I/2018</v>
      </c>
      <c r="DD31" s="89"/>
      <c r="DE31" s="153"/>
      <c r="DF31" s="154" t="s">
        <v>55</v>
      </c>
      <c r="DG31" s="155" t="s">
        <v>56</v>
      </c>
      <c r="DH31" s="155"/>
      <c r="DI31" s="155"/>
      <c r="DJ31" s="155"/>
      <c r="DK31" s="154" t="s">
        <v>84</v>
      </c>
      <c r="DL31" s="155"/>
      <c r="DM31" s="156"/>
      <c r="DN31" s="87"/>
      <c r="DO31" s="95" t="str">
        <f>"I/"&amp;DO$6</f>
        <v>I/2019</v>
      </c>
      <c r="DP31" s="89"/>
      <c r="DQ31" s="153"/>
      <c r="DR31" s="154" t="s">
        <v>55</v>
      </c>
      <c r="DS31" s="155" t="s">
        <v>56</v>
      </c>
      <c r="DT31" s="155"/>
      <c r="DU31" s="155"/>
      <c r="DV31" s="155"/>
      <c r="DW31" s="154" t="s">
        <v>84</v>
      </c>
      <c r="DX31" s="155"/>
      <c r="DY31" s="156"/>
      <c r="DZ31" s="87"/>
      <c r="EA31" s="95" t="str">
        <f>"I/"&amp;EA$6</f>
        <v>I/2020</v>
      </c>
      <c r="EB31" s="89"/>
      <c r="EC31" s="153"/>
      <c r="ED31" s="154" t="s">
        <v>55</v>
      </c>
      <c r="EE31" s="155" t="s">
        <v>56</v>
      </c>
      <c r="EF31" s="155"/>
      <c r="EG31" s="155"/>
      <c r="EH31" s="155"/>
      <c r="EI31" s="154" t="s">
        <v>84</v>
      </c>
      <c r="EJ31" s="155"/>
      <c r="EK31" s="156"/>
      <c r="EL31" s="87"/>
      <c r="EM31" s="95" t="str">
        <f>"I/"&amp;EM$6</f>
        <v>I/2021</v>
      </c>
      <c r="EN31" s="89"/>
      <c r="EO31" s="153"/>
      <c r="EP31" s="154" t="s">
        <v>55</v>
      </c>
      <c r="EQ31" s="155" t="s">
        <v>56</v>
      </c>
      <c r="ER31" s="155"/>
      <c r="ES31" s="155"/>
      <c r="ET31" s="155"/>
      <c r="EU31" s="154" t="s">
        <v>84</v>
      </c>
      <c r="EV31" s="155"/>
      <c r="EW31" s="156"/>
      <c r="EX31" s="87"/>
      <c r="EY31" s="95" t="str">
        <f>"I/"&amp;EY$6</f>
        <v>I/2022</v>
      </c>
      <c r="EZ31" s="89"/>
      <c r="FA31" s="153"/>
      <c r="FB31" s="154" t="s">
        <v>55</v>
      </c>
      <c r="FC31" s="155" t="s">
        <v>56</v>
      </c>
      <c r="FD31" s="155"/>
      <c r="FE31" s="155"/>
      <c r="FF31" s="155"/>
      <c r="FG31" s="154" t="s">
        <v>84</v>
      </c>
      <c r="FH31" s="155"/>
      <c r="FI31" s="156"/>
      <c r="FJ31" s="87"/>
      <c r="FK31" s="95" t="str">
        <f>"I/"&amp;FK$6</f>
        <v>I/2023</v>
      </c>
      <c r="FL31" s="89"/>
      <c r="FM31" s="153"/>
      <c r="FN31" s="154" t="s">
        <v>55</v>
      </c>
      <c r="FO31" s="155" t="s">
        <v>56</v>
      </c>
      <c r="FP31" s="155"/>
      <c r="FQ31" s="155"/>
      <c r="FR31" s="155"/>
      <c r="FS31" s="154" t="s">
        <v>84</v>
      </c>
      <c r="FT31" s="155"/>
      <c r="FU31" s="156"/>
      <c r="FV31" s="87"/>
      <c r="FW31" s="95" t="str">
        <f>"I/"&amp;FW$6</f>
        <v>I/2024</v>
      </c>
      <c r="FX31" s="89"/>
      <c r="FY31" s="153"/>
      <c r="FZ31" s="154" t="s">
        <v>55</v>
      </c>
      <c r="GA31" s="155" t="s">
        <v>56</v>
      </c>
      <c r="GB31" s="155"/>
      <c r="GC31" s="155"/>
      <c r="GD31" s="155"/>
      <c r="GE31" s="154" t="s">
        <v>84</v>
      </c>
      <c r="GF31" s="155"/>
      <c r="GG31" s="156"/>
      <c r="GH31" s="87"/>
      <c r="GI31" s="95" t="str">
        <f>"I/"&amp;GI$6</f>
        <v>I/2025</v>
      </c>
      <c r="GJ31" s="89"/>
      <c r="GK31" s="153"/>
      <c r="GL31" s="154" t="s">
        <v>55</v>
      </c>
      <c r="GM31" s="155" t="s">
        <v>56</v>
      </c>
      <c r="GN31" s="155"/>
      <c r="GO31" s="155"/>
      <c r="GP31" s="155"/>
      <c r="GQ31" s="154" t="s">
        <v>84</v>
      </c>
      <c r="GR31" s="155"/>
      <c r="GS31" s="156"/>
      <c r="GT31" s="87"/>
      <c r="GU31" s="95" t="str">
        <f>"I/"&amp;GU$6</f>
        <v>I/2026</v>
      </c>
      <c r="GV31" s="89"/>
      <c r="GW31" s="153"/>
      <c r="GX31" s="154" t="s">
        <v>55</v>
      </c>
      <c r="GY31" s="155" t="s">
        <v>56</v>
      </c>
      <c r="GZ31" s="155"/>
      <c r="HA31" s="155"/>
      <c r="HB31" s="155"/>
      <c r="HC31" s="154" t="s">
        <v>84</v>
      </c>
      <c r="HD31" s="155"/>
      <c r="HE31" s="156"/>
      <c r="HF31" s="87"/>
      <c r="HG31" s="95" t="str">
        <f>"I/"&amp;HG$6</f>
        <v>I/2027</v>
      </c>
      <c r="HH31" s="89"/>
      <c r="HI31" s="87"/>
    </row>
    <row r="32" ht="15.0" customHeight="1">
      <c r="A32" s="153"/>
      <c r="B32" s="154" t="s">
        <v>58</v>
      </c>
      <c r="C32" s="155" t="s">
        <v>59</v>
      </c>
      <c r="D32" s="155"/>
      <c r="E32" s="155"/>
      <c r="F32" s="155"/>
      <c r="G32" s="157" t="s">
        <v>79</v>
      </c>
      <c r="H32" s="155"/>
      <c r="I32" s="156"/>
      <c r="J32" s="87"/>
      <c r="K32" s="94"/>
      <c r="L32" s="89"/>
      <c r="M32" s="153"/>
      <c r="N32" s="154" t="s">
        <v>58</v>
      </c>
      <c r="O32" s="155" t="s">
        <v>59</v>
      </c>
      <c r="P32" s="155"/>
      <c r="Q32" s="155"/>
      <c r="R32" s="155"/>
      <c r="S32" s="157" t="s">
        <v>79</v>
      </c>
      <c r="T32" s="155"/>
      <c r="U32" s="156"/>
      <c r="V32" s="87"/>
      <c r="W32" s="94"/>
      <c r="X32" s="89"/>
      <c r="Y32" s="153"/>
      <c r="Z32" s="154" t="s">
        <v>58</v>
      </c>
      <c r="AA32" s="155" t="s">
        <v>59</v>
      </c>
      <c r="AB32" s="155"/>
      <c r="AC32" s="155"/>
      <c r="AD32" s="155"/>
      <c r="AE32" s="157" t="s">
        <v>79</v>
      </c>
      <c r="AF32" s="155"/>
      <c r="AG32" s="156"/>
      <c r="AH32" s="87"/>
      <c r="AI32" s="94"/>
      <c r="AJ32" s="89"/>
      <c r="AK32" s="153"/>
      <c r="AL32" s="154" t="s">
        <v>58</v>
      </c>
      <c r="AM32" s="155" t="s">
        <v>59</v>
      </c>
      <c r="AN32" s="155"/>
      <c r="AO32" s="155"/>
      <c r="AP32" s="155"/>
      <c r="AQ32" s="157" t="s">
        <v>79</v>
      </c>
      <c r="AR32" s="155"/>
      <c r="AS32" s="156"/>
      <c r="AT32" s="87"/>
      <c r="AU32" s="94"/>
      <c r="AV32" s="89"/>
      <c r="AW32" s="153"/>
      <c r="AX32" s="154" t="s">
        <v>58</v>
      </c>
      <c r="AY32" s="155" t="s">
        <v>59</v>
      </c>
      <c r="AZ32" s="155"/>
      <c r="BA32" s="155"/>
      <c r="BB32" s="155"/>
      <c r="BC32" s="157" t="s">
        <v>79</v>
      </c>
      <c r="BD32" s="155"/>
      <c r="BE32" s="156"/>
      <c r="BF32" s="87"/>
      <c r="BG32" s="94"/>
      <c r="BH32" s="89"/>
      <c r="BI32" s="153"/>
      <c r="BJ32" s="154" t="s">
        <v>58</v>
      </c>
      <c r="BK32" s="155" t="s">
        <v>59</v>
      </c>
      <c r="BL32" s="155"/>
      <c r="BM32" s="155"/>
      <c r="BN32" s="155"/>
      <c r="BO32" s="157" t="s">
        <v>79</v>
      </c>
      <c r="BP32" s="155"/>
      <c r="BQ32" s="156"/>
      <c r="BR32" s="87"/>
      <c r="BS32" s="94"/>
      <c r="BT32" s="89"/>
      <c r="BU32" s="153"/>
      <c r="BV32" s="154" t="s">
        <v>58</v>
      </c>
      <c r="BW32" s="155" t="s">
        <v>59</v>
      </c>
      <c r="BX32" s="155"/>
      <c r="BY32" s="155"/>
      <c r="BZ32" s="155"/>
      <c r="CA32" s="157" t="s">
        <v>79</v>
      </c>
      <c r="CB32" s="155"/>
      <c r="CC32" s="156"/>
      <c r="CD32" s="87"/>
      <c r="CE32" s="94"/>
      <c r="CF32" s="89"/>
      <c r="CG32" s="153"/>
      <c r="CH32" s="154" t="s">
        <v>58</v>
      </c>
      <c r="CI32" s="155" t="s">
        <v>59</v>
      </c>
      <c r="CJ32" s="155"/>
      <c r="CK32" s="155"/>
      <c r="CL32" s="155"/>
      <c r="CM32" s="157" t="s">
        <v>79</v>
      </c>
      <c r="CN32" s="155"/>
      <c r="CO32" s="156"/>
      <c r="CP32" s="87"/>
      <c r="CQ32" s="94"/>
      <c r="CR32" s="89"/>
      <c r="CS32" s="153"/>
      <c r="CT32" s="154" t="s">
        <v>58</v>
      </c>
      <c r="CU32" s="155" t="s">
        <v>59</v>
      </c>
      <c r="CV32" s="155"/>
      <c r="CW32" s="155"/>
      <c r="CX32" s="155"/>
      <c r="CY32" s="157" t="s">
        <v>79</v>
      </c>
      <c r="CZ32" s="155"/>
      <c r="DA32" s="156"/>
      <c r="DB32" s="87"/>
      <c r="DC32" s="94"/>
      <c r="DD32" s="89"/>
      <c r="DE32" s="153"/>
      <c r="DF32" s="154" t="s">
        <v>58</v>
      </c>
      <c r="DG32" s="155" t="s">
        <v>59</v>
      </c>
      <c r="DH32" s="155"/>
      <c r="DI32" s="155"/>
      <c r="DJ32" s="155"/>
      <c r="DK32" s="157" t="s">
        <v>79</v>
      </c>
      <c r="DL32" s="155"/>
      <c r="DM32" s="156"/>
      <c r="DN32" s="87"/>
      <c r="DO32" s="94"/>
      <c r="DP32" s="89"/>
      <c r="DQ32" s="153"/>
      <c r="DR32" s="154" t="s">
        <v>58</v>
      </c>
      <c r="DS32" s="155" t="s">
        <v>59</v>
      </c>
      <c r="DT32" s="155"/>
      <c r="DU32" s="155"/>
      <c r="DV32" s="155"/>
      <c r="DW32" s="157" t="s">
        <v>79</v>
      </c>
      <c r="DX32" s="155"/>
      <c r="DY32" s="156"/>
      <c r="DZ32" s="87"/>
      <c r="EA32" s="94"/>
      <c r="EB32" s="89"/>
      <c r="EC32" s="153"/>
      <c r="ED32" s="154" t="s">
        <v>58</v>
      </c>
      <c r="EE32" s="155" t="s">
        <v>59</v>
      </c>
      <c r="EF32" s="155"/>
      <c r="EG32" s="155"/>
      <c r="EH32" s="155"/>
      <c r="EI32" s="157" t="s">
        <v>79</v>
      </c>
      <c r="EJ32" s="155"/>
      <c r="EK32" s="156"/>
      <c r="EL32" s="87"/>
      <c r="EM32" s="94"/>
      <c r="EN32" s="89"/>
      <c r="EO32" s="153"/>
      <c r="EP32" s="154" t="s">
        <v>58</v>
      </c>
      <c r="EQ32" s="155" t="s">
        <v>59</v>
      </c>
      <c r="ER32" s="155"/>
      <c r="ES32" s="155"/>
      <c r="ET32" s="155"/>
      <c r="EU32" s="157" t="s">
        <v>79</v>
      </c>
      <c r="EV32" s="155"/>
      <c r="EW32" s="156"/>
      <c r="EX32" s="87"/>
      <c r="EY32" s="94"/>
      <c r="EZ32" s="89"/>
      <c r="FA32" s="153"/>
      <c r="FB32" s="154" t="s">
        <v>58</v>
      </c>
      <c r="FC32" s="155" t="s">
        <v>59</v>
      </c>
      <c r="FD32" s="155"/>
      <c r="FE32" s="155"/>
      <c r="FF32" s="155"/>
      <c r="FG32" s="157" t="s">
        <v>79</v>
      </c>
      <c r="FH32" s="155"/>
      <c r="FI32" s="156"/>
      <c r="FJ32" s="87"/>
      <c r="FK32" s="94"/>
      <c r="FL32" s="89"/>
      <c r="FM32" s="153"/>
      <c r="FN32" s="154" t="s">
        <v>58</v>
      </c>
      <c r="FO32" s="155" t="s">
        <v>59</v>
      </c>
      <c r="FP32" s="155"/>
      <c r="FQ32" s="155"/>
      <c r="FR32" s="155"/>
      <c r="FS32" s="157" t="s">
        <v>79</v>
      </c>
      <c r="FT32" s="155"/>
      <c r="FU32" s="156"/>
      <c r="FV32" s="87"/>
      <c r="FW32" s="94"/>
      <c r="FX32" s="89"/>
      <c r="FY32" s="153"/>
      <c r="FZ32" s="154" t="s">
        <v>58</v>
      </c>
      <c r="GA32" s="155" t="s">
        <v>59</v>
      </c>
      <c r="GB32" s="155"/>
      <c r="GC32" s="155"/>
      <c r="GD32" s="155"/>
      <c r="GE32" s="157" t="s">
        <v>79</v>
      </c>
      <c r="GF32" s="155"/>
      <c r="GG32" s="156"/>
      <c r="GH32" s="87"/>
      <c r="GI32" s="94"/>
      <c r="GJ32" s="89"/>
      <c r="GK32" s="153"/>
      <c r="GL32" s="154" t="s">
        <v>58</v>
      </c>
      <c r="GM32" s="155" t="s">
        <v>59</v>
      </c>
      <c r="GN32" s="155"/>
      <c r="GO32" s="155"/>
      <c r="GP32" s="155"/>
      <c r="GQ32" s="157" t="s">
        <v>79</v>
      </c>
      <c r="GR32" s="155"/>
      <c r="GS32" s="156"/>
      <c r="GT32" s="87"/>
      <c r="GU32" s="94"/>
      <c r="GV32" s="89"/>
      <c r="GW32" s="153"/>
      <c r="GX32" s="154" t="s">
        <v>58</v>
      </c>
      <c r="GY32" s="155" t="s">
        <v>59</v>
      </c>
      <c r="GZ32" s="155"/>
      <c r="HA32" s="155"/>
      <c r="HB32" s="155"/>
      <c r="HC32" s="157" t="s">
        <v>79</v>
      </c>
      <c r="HD32" s="155"/>
      <c r="HE32" s="156"/>
      <c r="HF32" s="87"/>
      <c r="HG32" s="94"/>
      <c r="HH32" s="89"/>
      <c r="HI32" s="87"/>
    </row>
    <row r="33" ht="15.75" customHeight="1">
      <c r="A33" s="158"/>
      <c r="B33" s="159" t="s">
        <v>60</v>
      </c>
      <c r="C33" s="160" t="s">
        <v>85</v>
      </c>
      <c r="D33" s="160"/>
      <c r="E33" s="160"/>
      <c r="F33" s="160"/>
      <c r="G33" s="160" t="str">
        <f>"Tahun "&amp;K$6</f>
        <v>Tahun 2010</v>
      </c>
      <c r="H33" s="160"/>
      <c r="I33" s="161"/>
      <c r="J33" s="87"/>
      <c r="K33" s="87"/>
      <c r="L33" s="89"/>
      <c r="M33" s="158"/>
      <c r="N33" s="159" t="s">
        <v>60</v>
      </c>
      <c r="O33" s="160" t="s">
        <v>85</v>
      </c>
      <c r="P33" s="160"/>
      <c r="Q33" s="160"/>
      <c r="R33" s="160"/>
      <c r="S33" s="160" t="str">
        <f>"Tahun "&amp;W$6</f>
        <v>Tahun 2011</v>
      </c>
      <c r="T33" s="160"/>
      <c r="U33" s="161"/>
      <c r="V33" s="87"/>
      <c r="W33" s="87"/>
      <c r="X33" s="89"/>
      <c r="Y33" s="158"/>
      <c r="Z33" s="159" t="s">
        <v>60</v>
      </c>
      <c r="AA33" s="160" t="s">
        <v>85</v>
      </c>
      <c r="AB33" s="160"/>
      <c r="AC33" s="160"/>
      <c r="AD33" s="160"/>
      <c r="AE33" s="160" t="str">
        <f>"Tahun "&amp;AI$6</f>
        <v>Tahun 2012</v>
      </c>
      <c r="AF33" s="160"/>
      <c r="AG33" s="161"/>
      <c r="AH33" s="87"/>
      <c r="AI33" s="87"/>
      <c r="AJ33" s="89"/>
      <c r="AK33" s="158"/>
      <c r="AL33" s="159" t="s">
        <v>60</v>
      </c>
      <c r="AM33" s="160" t="s">
        <v>85</v>
      </c>
      <c r="AN33" s="160"/>
      <c r="AO33" s="160"/>
      <c r="AP33" s="160"/>
      <c r="AQ33" s="160" t="str">
        <f>"Tahun "&amp;AU$6</f>
        <v>Tahun 2013</v>
      </c>
      <c r="AR33" s="160"/>
      <c r="AS33" s="161"/>
      <c r="AT33" s="87"/>
      <c r="AU33" s="87"/>
      <c r="AV33" s="89"/>
      <c r="AW33" s="158"/>
      <c r="AX33" s="159" t="s">
        <v>60</v>
      </c>
      <c r="AY33" s="160" t="s">
        <v>85</v>
      </c>
      <c r="AZ33" s="160"/>
      <c r="BA33" s="160"/>
      <c r="BB33" s="160"/>
      <c r="BC33" s="160" t="str">
        <f>"Tahun "&amp;BG$6</f>
        <v>Tahun 2014</v>
      </c>
      <c r="BD33" s="160"/>
      <c r="BE33" s="161"/>
      <c r="BF33" s="87"/>
      <c r="BG33" s="87"/>
      <c r="BH33" s="89"/>
      <c r="BI33" s="158"/>
      <c r="BJ33" s="159" t="s">
        <v>60</v>
      </c>
      <c r="BK33" s="160" t="s">
        <v>85</v>
      </c>
      <c r="BL33" s="160"/>
      <c r="BM33" s="160"/>
      <c r="BN33" s="160"/>
      <c r="BO33" s="160" t="str">
        <f>"Tahun "&amp;BS$6</f>
        <v>Tahun 2015</v>
      </c>
      <c r="BP33" s="160"/>
      <c r="BQ33" s="161"/>
      <c r="BR33" s="87"/>
      <c r="BS33" s="87"/>
      <c r="BT33" s="89"/>
      <c r="BU33" s="158"/>
      <c r="BV33" s="159" t="s">
        <v>60</v>
      </c>
      <c r="BW33" s="160" t="s">
        <v>85</v>
      </c>
      <c r="BX33" s="160"/>
      <c r="BY33" s="160"/>
      <c r="BZ33" s="160"/>
      <c r="CA33" s="160" t="str">
        <f>"Tahun "&amp;CE$6</f>
        <v>Tahun 2016</v>
      </c>
      <c r="CB33" s="160"/>
      <c r="CC33" s="161"/>
      <c r="CD33" s="87"/>
      <c r="CE33" s="87"/>
      <c r="CF33" s="89"/>
      <c r="CG33" s="158"/>
      <c r="CH33" s="159" t="s">
        <v>60</v>
      </c>
      <c r="CI33" s="160" t="s">
        <v>85</v>
      </c>
      <c r="CJ33" s="160"/>
      <c r="CK33" s="160"/>
      <c r="CL33" s="160"/>
      <c r="CM33" s="160" t="str">
        <f>"Tahun "&amp;CQ$6</f>
        <v>Tahun 2017</v>
      </c>
      <c r="CN33" s="160"/>
      <c r="CO33" s="161"/>
      <c r="CP33" s="87"/>
      <c r="CQ33" s="87"/>
      <c r="CR33" s="89"/>
      <c r="CS33" s="158"/>
      <c r="CT33" s="159" t="s">
        <v>60</v>
      </c>
      <c r="CU33" s="160" t="s">
        <v>85</v>
      </c>
      <c r="CV33" s="160"/>
      <c r="CW33" s="160"/>
      <c r="CX33" s="160"/>
      <c r="CY33" s="160" t="str">
        <f>"Tahun "&amp;DC$6</f>
        <v>Tahun 2018</v>
      </c>
      <c r="CZ33" s="160"/>
      <c r="DA33" s="161"/>
      <c r="DB33" s="87"/>
      <c r="DC33" s="87"/>
      <c r="DD33" s="89"/>
      <c r="DE33" s="158"/>
      <c r="DF33" s="159" t="s">
        <v>60</v>
      </c>
      <c r="DG33" s="160" t="s">
        <v>85</v>
      </c>
      <c r="DH33" s="160"/>
      <c r="DI33" s="160"/>
      <c r="DJ33" s="160"/>
      <c r="DK33" s="160" t="str">
        <f>"Tahun "&amp;DO$6</f>
        <v>Tahun 2019</v>
      </c>
      <c r="DL33" s="160"/>
      <c r="DM33" s="161"/>
      <c r="DN33" s="87"/>
      <c r="DO33" s="87"/>
      <c r="DP33" s="89"/>
      <c r="DQ33" s="158"/>
      <c r="DR33" s="159" t="s">
        <v>60</v>
      </c>
      <c r="DS33" s="160" t="s">
        <v>85</v>
      </c>
      <c r="DT33" s="160"/>
      <c r="DU33" s="160"/>
      <c r="DV33" s="160"/>
      <c r="DW33" s="160" t="str">
        <f>"Tahun "&amp;EA$6</f>
        <v>Tahun 2020</v>
      </c>
      <c r="DX33" s="160"/>
      <c r="DY33" s="161"/>
      <c r="DZ33" s="87"/>
      <c r="EA33" s="87"/>
      <c r="EB33" s="89"/>
      <c r="EC33" s="158"/>
      <c r="ED33" s="159" t="s">
        <v>60</v>
      </c>
      <c r="EE33" s="160" t="s">
        <v>85</v>
      </c>
      <c r="EF33" s="160"/>
      <c r="EG33" s="160"/>
      <c r="EH33" s="160"/>
      <c r="EI33" s="160" t="str">
        <f>"Tahun "&amp;EM$6</f>
        <v>Tahun 2021</v>
      </c>
      <c r="EJ33" s="160"/>
      <c r="EK33" s="161"/>
      <c r="EL33" s="87"/>
      <c r="EM33" s="87"/>
      <c r="EN33" s="89"/>
      <c r="EO33" s="158"/>
      <c r="EP33" s="159" t="s">
        <v>60</v>
      </c>
      <c r="EQ33" s="160" t="s">
        <v>85</v>
      </c>
      <c r="ER33" s="160"/>
      <c r="ES33" s="160"/>
      <c r="ET33" s="160"/>
      <c r="EU33" s="160" t="str">
        <f>"Tahun "&amp;EY$6</f>
        <v>Tahun 2022</v>
      </c>
      <c r="EV33" s="160"/>
      <c r="EW33" s="161"/>
      <c r="EX33" s="87"/>
      <c r="EY33" s="87"/>
      <c r="EZ33" s="89"/>
      <c r="FA33" s="158"/>
      <c r="FB33" s="159" t="s">
        <v>60</v>
      </c>
      <c r="FC33" s="160" t="s">
        <v>85</v>
      </c>
      <c r="FD33" s="160"/>
      <c r="FE33" s="160"/>
      <c r="FF33" s="160"/>
      <c r="FG33" s="160" t="str">
        <f>"Tahun "&amp;FK$6</f>
        <v>Tahun 2023</v>
      </c>
      <c r="FH33" s="160"/>
      <c r="FI33" s="161"/>
      <c r="FJ33" s="87"/>
      <c r="FK33" s="87"/>
      <c r="FL33" s="89"/>
      <c r="FM33" s="158"/>
      <c r="FN33" s="159" t="s">
        <v>60</v>
      </c>
      <c r="FO33" s="160" t="s">
        <v>85</v>
      </c>
      <c r="FP33" s="160"/>
      <c r="FQ33" s="160"/>
      <c r="FR33" s="160"/>
      <c r="FS33" s="160" t="str">
        <f>"Tahun "&amp;FW$6</f>
        <v>Tahun 2024</v>
      </c>
      <c r="FT33" s="160"/>
      <c r="FU33" s="161"/>
      <c r="FV33" s="87"/>
      <c r="FW33" s="87"/>
      <c r="FX33" s="89"/>
      <c r="FY33" s="158"/>
      <c r="FZ33" s="159" t="s">
        <v>60</v>
      </c>
      <c r="GA33" s="160" t="s">
        <v>85</v>
      </c>
      <c r="GB33" s="160"/>
      <c r="GC33" s="160"/>
      <c r="GD33" s="160"/>
      <c r="GE33" s="160" t="str">
        <f>"Tahun "&amp;GI$6</f>
        <v>Tahun 2025</v>
      </c>
      <c r="GF33" s="160"/>
      <c r="GG33" s="161"/>
      <c r="GH33" s="87"/>
      <c r="GI33" s="87"/>
      <c r="GJ33" s="89"/>
      <c r="GK33" s="158"/>
      <c r="GL33" s="159" t="s">
        <v>60</v>
      </c>
      <c r="GM33" s="160" t="s">
        <v>85</v>
      </c>
      <c r="GN33" s="160"/>
      <c r="GO33" s="160"/>
      <c r="GP33" s="160"/>
      <c r="GQ33" s="160" t="str">
        <f>"Tahun "&amp;GU$6</f>
        <v>Tahun 2026</v>
      </c>
      <c r="GR33" s="160"/>
      <c r="GS33" s="161"/>
      <c r="GT33" s="87"/>
      <c r="GU33" s="87"/>
      <c r="GV33" s="89"/>
      <c r="GW33" s="158"/>
      <c r="GX33" s="159" t="s">
        <v>60</v>
      </c>
      <c r="GY33" s="160" t="s">
        <v>85</v>
      </c>
      <c r="GZ33" s="160"/>
      <c r="HA33" s="160"/>
      <c r="HB33" s="160"/>
      <c r="HC33" s="160" t="str">
        <f>"Tahun "&amp;HG$6</f>
        <v>Tahun 2027</v>
      </c>
      <c r="HD33" s="160"/>
      <c r="HE33" s="161"/>
      <c r="HF33" s="87"/>
      <c r="HG33" s="87"/>
      <c r="HH33" s="89"/>
      <c r="HI33" s="87"/>
    </row>
    <row r="34" ht="15.75" customHeight="1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81"/>
      <c r="M34" s="74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81"/>
      <c r="Y34" s="74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81"/>
      <c r="AK34" s="74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81"/>
      <c r="AW34" s="74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81"/>
      <c r="BI34" s="74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81"/>
      <c r="BU34" s="74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81"/>
      <c r="CG34" s="74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81"/>
      <c r="CS34" s="74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81"/>
      <c r="DE34" s="74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81"/>
      <c r="DQ34" s="74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81"/>
      <c r="EC34" s="74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81"/>
      <c r="EO34" s="74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81"/>
      <c r="FA34" s="74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81"/>
      <c r="FM34" s="74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81"/>
      <c r="FY34" s="74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81"/>
      <c r="GK34" s="74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81"/>
      <c r="GW34" s="74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81"/>
      <c r="HI34" s="75"/>
    </row>
    <row r="35" ht="33.75" customHeight="1">
      <c r="A35" s="162" t="s">
        <v>62</v>
      </c>
      <c r="B35" s="163" t="s">
        <v>63</v>
      </c>
      <c r="C35" s="163" t="s">
        <v>86</v>
      </c>
      <c r="D35" s="163" t="s">
        <v>65</v>
      </c>
      <c r="E35" s="163" t="s">
        <v>66</v>
      </c>
      <c r="F35" s="164" t="s">
        <v>67</v>
      </c>
      <c r="G35" s="104"/>
      <c r="H35" s="165" t="s">
        <v>68</v>
      </c>
      <c r="I35" s="166"/>
      <c r="J35" s="166"/>
      <c r="K35" s="166"/>
      <c r="L35" s="107"/>
      <c r="M35" s="162" t="s">
        <v>62</v>
      </c>
      <c r="N35" s="163" t="s">
        <v>63</v>
      </c>
      <c r="O35" s="163" t="s">
        <v>86</v>
      </c>
      <c r="P35" s="163" t="s">
        <v>65</v>
      </c>
      <c r="Q35" s="163" t="s">
        <v>66</v>
      </c>
      <c r="R35" s="164" t="s">
        <v>67</v>
      </c>
      <c r="S35" s="104"/>
      <c r="T35" s="165" t="s">
        <v>68</v>
      </c>
      <c r="U35" s="166"/>
      <c r="V35" s="166"/>
      <c r="W35" s="166"/>
      <c r="X35" s="107"/>
      <c r="Y35" s="162" t="s">
        <v>62</v>
      </c>
      <c r="Z35" s="163" t="s">
        <v>63</v>
      </c>
      <c r="AA35" s="163" t="s">
        <v>86</v>
      </c>
      <c r="AB35" s="163" t="s">
        <v>65</v>
      </c>
      <c r="AC35" s="163" t="s">
        <v>66</v>
      </c>
      <c r="AD35" s="164" t="s">
        <v>67</v>
      </c>
      <c r="AE35" s="104"/>
      <c r="AF35" s="165" t="s">
        <v>68</v>
      </c>
      <c r="AG35" s="166"/>
      <c r="AH35" s="166"/>
      <c r="AI35" s="166"/>
      <c r="AJ35" s="107"/>
      <c r="AK35" s="162" t="s">
        <v>62</v>
      </c>
      <c r="AL35" s="163" t="s">
        <v>63</v>
      </c>
      <c r="AM35" s="163" t="s">
        <v>86</v>
      </c>
      <c r="AN35" s="163" t="s">
        <v>65</v>
      </c>
      <c r="AO35" s="163" t="s">
        <v>66</v>
      </c>
      <c r="AP35" s="164" t="s">
        <v>67</v>
      </c>
      <c r="AQ35" s="104"/>
      <c r="AR35" s="165" t="s">
        <v>68</v>
      </c>
      <c r="AS35" s="166"/>
      <c r="AT35" s="166"/>
      <c r="AU35" s="166"/>
      <c r="AV35" s="107"/>
      <c r="AW35" s="162" t="s">
        <v>62</v>
      </c>
      <c r="AX35" s="163" t="s">
        <v>63</v>
      </c>
      <c r="AY35" s="163" t="s">
        <v>86</v>
      </c>
      <c r="AZ35" s="163" t="s">
        <v>65</v>
      </c>
      <c r="BA35" s="163" t="s">
        <v>66</v>
      </c>
      <c r="BB35" s="164" t="s">
        <v>67</v>
      </c>
      <c r="BC35" s="104"/>
      <c r="BD35" s="165" t="s">
        <v>68</v>
      </c>
      <c r="BE35" s="166"/>
      <c r="BF35" s="166"/>
      <c r="BG35" s="166"/>
      <c r="BH35" s="107"/>
      <c r="BI35" s="162" t="s">
        <v>62</v>
      </c>
      <c r="BJ35" s="163" t="s">
        <v>63</v>
      </c>
      <c r="BK35" s="163" t="s">
        <v>86</v>
      </c>
      <c r="BL35" s="163" t="s">
        <v>65</v>
      </c>
      <c r="BM35" s="163" t="s">
        <v>66</v>
      </c>
      <c r="BN35" s="164" t="s">
        <v>67</v>
      </c>
      <c r="BO35" s="104"/>
      <c r="BP35" s="165" t="s">
        <v>68</v>
      </c>
      <c r="BQ35" s="166"/>
      <c r="BR35" s="166"/>
      <c r="BS35" s="166"/>
      <c r="BT35" s="107"/>
      <c r="BU35" s="162" t="s">
        <v>62</v>
      </c>
      <c r="BV35" s="163" t="s">
        <v>63</v>
      </c>
      <c r="BW35" s="163" t="s">
        <v>86</v>
      </c>
      <c r="BX35" s="163" t="s">
        <v>65</v>
      </c>
      <c r="BY35" s="163" t="s">
        <v>66</v>
      </c>
      <c r="BZ35" s="164" t="s">
        <v>67</v>
      </c>
      <c r="CA35" s="104"/>
      <c r="CB35" s="165" t="s">
        <v>68</v>
      </c>
      <c r="CC35" s="166"/>
      <c r="CD35" s="166"/>
      <c r="CE35" s="166"/>
      <c r="CF35" s="107"/>
      <c r="CG35" s="162" t="s">
        <v>62</v>
      </c>
      <c r="CH35" s="163" t="s">
        <v>63</v>
      </c>
      <c r="CI35" s="163" t="s">
        <v>86</v>
      </c>
      <c r="CJ35" s="163" t="s">
        <v>65</v>
      </c>
      <c r="CK35" s="163" t="s">
        <v>66</v>
      </c>
      <c r="CL35" s="164" t="s">
        <v>67</v>
      </c>
      <c r="CM35" s="104"/>
      <c r="CN35" s="165" t="s">
        <v>68</v>
      </c>
      <c r="CO35" s="166"/>
      <c r="CP35" s="166"/>
      <c r="CQ35" s="166"/>
      <c r="CR35" s="107"/>
      <c r="CS35" s="162" t="s">
        <v>62</v>
      </c>
      <c r="CT35" s="163" t="s">
        <v>63</v>
      </c>
      <c r="CU35" s="163" t="s">
        <v>86</v>
      </c>
      <c r="CV35" s="163" t="s">
        <v>65</v>
      </c>
      <c r="CW35" s="163" t="s">
        <v>66</v>
      </c>
      <c r="CX35" s="164" t="s">
        <v>67</v>
      </c>
      <c r="CY35" s="104"/>
      <c r="CZ35" s="165" t="s">
        <v>68</v>
      </c>
      <c r="DA35" s="166"/>
      <c r="DB35" s="166"/>
      <c r="DC35" s="166"/>
      <c r="DD35" s="107"/>
      <c r="DE35" s="162" t="s">
        <v>62</v>
      </c>
      <c r="DF35" s="163" t="s">
        <v>63</v>
      </c>
      <c r="DG35" s="163" t="s">
        <v>86</v>
      </c>
      <c r="DH35" s="163" t="s">
        <v>65</v>
      </c>
      <c r="DI35" s="163" t="s">
        <v>66</v>
      </c>
      <c r="DJ35" s="164" t="s">
        <v>67</v>
      </c>
      <c r="DK35" s="104"/>
      <c r="DL35" s="165" t="s">
        <v>68</v>
      </c>
      <c r="DM35" s="166"/>
      <c r="DN35" s="166"/>
      <c r="DO35" s="166"/>
      <c r="DP35" s="107"/>
      <c r="DQ35" s="162" t="s">
        <v>62</v>
      </c>
      <c r="DR35" s="163" t="s">
        <v>63</v>
      </c>
      <c r="DS35" s="163" t="s">
        <v>86</v>
      </c>
      <c r="DT35" s="163" t="s">
        <v>65</v>
      </c>
      <c r="DU35" s="163" t="s">
        <v>66</v>
      </c>
      <c r="DV35" s="164" t="s">
        <v>67</v>
      </c>
      <c r="DW35" s="104"/>
      <c r="DX35" s="165" t="s">
        <v>68</v>
      </c>
      <c r="DY35" s="166"/>
      <c r="DZ35" s="166"/>
      <c r="EA35" s="166"/>
      <c r="EB35" s="107"/>
      <c r="EC35" s="162" t="s">
        <v>62</v>
      </c>
      <c r="ED35" s="163" t="s">
        <v>63</v>
      </c>
      <c r="EE35" s="163" t="s">
        <v>86</v>
      </c>
      <c r="EF35" s="163" t="s">
        <v>65</v>
      </c>
      <c r="EG35" s="163" t="s">
        <v>66</v>
      </c>
      <c r="EH35" s="164" t="s">
        <v>67</v>
      </c>
      <c r="EI35" s="104"/>
      <c r="EJ35" s="165" t="s">
        <v>68</v>
      </c>
      <c r="EK35" s="166"/>
      <c r="EL35" s="166"/>
      <c r="EM35" s="166"/>
      <c r="EN35" s="107"/>
      <c r="EO35" s="162" t="s">
        <v>62</v>
      </c>
      <c r="EP35" s="163" t="s">
        <v>63</v>
      </c>
      <c r="EQ35" s="163" t="s">
        <v>86</v>
      </c>
      <c r="ER35" s="163" t="s">
        <v>65</v>
      </c>
      <c r="ES35" s="163" t="s">
        <v>66</v>
      </c>
      <c r="ET35" s="164" t="s">
        <v>67</v>
      </c>
      <c r="EU35" s="104"/>
      <c r="EV35" s="165" t="s">
        <v>68</v>
      </c>
      <c r="EW35" s="166"/>
      <c r="EX35" s="166"/>
      <c r="EY35" s="166"/>
      <c r="EZ35" s="107"/>
      <c r="FA35" s="162" t="s">
        <v>62</v>
      </c>
      <c r="FB35" s="163" t="s">
        <v>63</v>
      </c>
      <c r="FC35" s="163" t="s">
        <v>86</v>
      </c>
      <c r="FD35" s="163" t="s">
        <v>65</v>
      </c>
      <c r="FE35" s="163" t="s">
        <v>66</v>
      </c>
      <c r="FF35" s="164" t="s">
        <v>67</v>
      </c>
      <c r="FG35" s="104"/>
      <c r="FH35" s="165" t="s">
        <v>68</v>
      </c>
      <c r="FI35" s="166"/>
      <c r="FJ35" s="166"/>
      <c r="FK35" s="166"/>
      <c r="FL35" s="107"/>
      <c r="FM35" s="162" t="s">
        <v>62</v>
      </c>
      <c r="FN35" s="163" t="s">
        <v>63</v>
      </c>
      <c r="FO35" s="163" t="s">
        <v>86</v>
      </c>
      <c r="FP35" s="163" t="s">
        <v>65</v>
      </c>
      <c r="FQ35" s="163" t="s">
        <v>66</v>
      </c>
      <c r="FR35" s="164" t="s">
        <v>67</v>
      </c>
      <c r="FS35" s="104"/>
      <c r="FT35" s="165" t="s">
        <v>68</v>
      </c>
      <c r="FU35" s="166"/>
      <c r="FV35" s="166"/>
      <c r="FW35" s="166"/>
      <c r="FX35" s="107"/>
      <c r="FY35" s="162" t="s">
        <v>62</v>
      </c>
      <c r="FZ35" s="163" t="s">
        <v>63</v>
      </c>
      <c r="GA35" s="163" t="s">
        <v>86</v>
      </c>
      <c r="GB35" s="163" t="s">
        <v>65</v>
      </c>
      <c r="GC35" s="163" t="s">
        <v>66</v>
      </c>
      <c r="GD35" s="164" t="s">
        <v>67</v>
      </c>
      <c r="GE35" s="104"/>
      <c r="GF35" s="165" t="s">
        <v>68</v>
      </c>
      <c r="GG35" s="166"/>
      <c r="GH35" s="166"/>
      <c r="GI35" s="166"/>
      <c r="GJ35" s="107"/>
      <c r="GK35" s="162" t="s">
        <v>62</v>
      </c>
      <c r="GL35" s="163" t="s">
        <v>63</v>
      </c>
      <c r="GM35" s="163" t="s">
        <v>86</v>
      </c>
      <c r="GN35" s="163" t="s">
        <v>65</v>
      </c>
      <c r="GO35" s="163" t="s">
        <v>66</v>
      </c>
      <c r="GP35" s="164" t="s">
        <v>67</v>
      </c>
      <c r="GQ35" s="104"/>
      <c r="GR35" s="165" t="s">
        <v>68</v>
      </c>
      <c r="GS35" s="166"/>
      <c r="GT35" s="166"/>
      <c r="GU35" s="166"/>
      <c r="GV35" s="107"/>
      <c r="GW35" s="162" t="s">
        <v>62</v>
      </c>
      <c r="GX35" s="163" t="s">
        <v>63</v>
      </c>
      <c r="GY35" s="163" t="s">
        <v>86</v>
      </c>
      <c r="GZ35" s="163" t="s">
        <v>65</v>
      </c>
      <c r="HA35" s="163" t="s">
        <v>66</v>
      </c>
      <c r="HB35" s="164" t="s">
        <v>67</v>
      </c>
      <c r="HC35" s="104"/>
      <c r="HD35" s="165" t="s">
        <v>68</v>
      </c>
      <c r="HE35" s="166"/>
      <c r="HF35" s="166"/>
      <c r="HG35" s="166"/>
      <c r="HH35" s="107"/>
      <c r="HI35" s="106"/>
    </row>
    <row r="36" ht="66.0" customHeight="1">
      <c r="A36" s="108"/>
      <c r="B36" s="94"/>
      <c r="C36" s="94"/>
      <c r="D36" s="94"/>
      <c r="E36" s="94"/>
      <c r="F36" s="167" t="s">
        <v>69</v>
      </c>
      <c r="G36" s="167" t="s">
        <v>70</v>
      </c>
      <c r="H36" s="110"/>
      <c r="I36" s="166"/>
      <c r="J36" s="166"/>
      <c r="K36" s="166"/>
      <c r="L36" s="107"/>
      <c r="M36" s="108"/>
      <c r="N36" s="94"/>
      <c r="O36" s="94"/>
      <c r="P36" s="94"/>
      <c r="Q36" s="94"/>
      <c r="R36" s="167" t="s">
        <v>69</v>
      </c>
      <c r="S36" s="167" t="s">
        <v>70</v>
      </c>
      <c r="T36" s="110"/>
      <c r="U36" s="166"/>
      <c r="V36" s="166"/>
      <c r="W36" s="166"/>
      <c r="X36" s="107"/>
      <c r="Y36" s="108"/>
      <c r="Z36" s="94"/>
      <c r="AA36" s="94"/>
      <c r="AB36" s="94"/>
      <c r="AC36" s="94"/>
      <c r="AD36" s="167" t="s">
        <v>69</v>
      </c>
      <c r="AE36" s="167" t="s">
        <v>70</v>
      </c>
      <c r="AF36" s="110"/>
      <c r="AG36" s="166"/>
      <c r="AH36" s="166"/>
      <c r="AI36" s="166"/>
      <c r="AJ36" s="107"/>
      <c r="AK36" s="108"/>
      <c r="AL36" s="94"/>
      <c r="AM36" s="94"/>
      <c r="AN36" s="94"/>
      <c r="AO36" s="94"/>
      <c r="AP36" s="167" t="s">
        <v>69</v>
      </c>
      <c r="AQ36" s="167" t="s">
        <v>70</v>
      </c>
      <c r="AR36" s="110"/>
      <c r="AS36" s="166"/>
      <c r="AT36" s="166"/>
      <c r="AU36" s="166"/>
      <c r="AV36" s="107"/>
      <c r="AW36" s="108"/>
      <c r="AX36" s="94"/>
      <c r="AY36" s="94"/>
      <c r="AZ36" s="94"/>
      <c r="BA36" s="94"/>
      <c r="BB36" s="167" t="s">
        <v>69</v>
      </c>
      <c r="BC36" s="167" t="s">
        <v>70</v>
      </c>
      <c r="BD36" s="110"/>
      <c r="BE36" s="166"/>
      <c r="BF36" s="166"/>
      <c r="BG36" s="166"/>
      <c r="BH36" s="107"/>
      <c r="BI36" s="108"/>
      <c r="BJ36" s="94"/>
      <c r="BK36" s="94"/>
      <c r="BL36" s="94"/>
      <c r="BM36" s="94"/>
      <c r="BN36" s="167" t="s">
        <v>69</v>
      </c>
      <c r="BO36" s="167" t="s">
        <v>70</v>
      </c>
      <c r="BP36" s="110"/>
      <c r="BQ36" s="166"/>
      <c r="BR36" s="166"/>
      <c r="BS36" s="166"/>
      <c r="BT36" s="107"/>
      <c r="BU36" s="108"/>
      <c r="BV36" s="94"/>
      <c r="BW36" s="94"/>
      <c r="BX36" s="94"/>
      <c r="BY36" s="94"/>
      <c r="BZ36" s="167" t="s">
        <v>69</v>
      </c>
      <c r="CA36" s="167" t="s">
        <v>70</v>
      </c>
      <c r="CB36" s="110"/>
      <c r="CC36" s="166"/>
      <c r="CD36" s="166"/>
      <c r="CE36" s="166"/>
      <c r="CF36" s="107"/>
      <c r="CG36" s="108"/>
      <c r="CH36" s="94"/>
      <c r="CI36" s="94"/>
      <c r="CJ36" s="94"/>
      <c r="CK36" s="94"/>
      <c r="CL36" s="167" t="s">
        <v>69</v>
      </c>
      <c r="CM36" s="167" t="s">
        <v>70</v>
      </c>
      <c r="CN36" s="110"/>
      <c r="CO36" s="166"/>
      <c r="CP36" s="166"/>
      <c r="CQ36" s="166"/>
      <c r="CR36" s="107"/>
      <c r="CS36" s="108"/>
      <c r="CT36" s="94"/>
      <c r="CU36" s="94"/>
      <c r="CV36" s="94"/>
      <c r="CW36" s="94"/>
      <c r="CX36" s="167" t="s">
        <v>69</v>
      </c>
      <c r="CY36" s="167" t="s">
        <v>70</v>
      </c>
      <c r="CZ36" s="110"/>
      <c r="DA36" s="166"/>
      <c r="DB36" s="166"/>
      <c r="DC36" s="166"/>
      <c r="DD36" s="107"/>
      <c r="DE36" s="108"/>
      <c r="DF36" s="94"/>
      <c r="DG36" s="94"/>
      <c r="DH36" s="94"/>
      <c r="DI36" s="94"/>
      <c r="DJ36" s="167" t="s">
        <v>69</v>
      </c>
      <c r="DK36" s="167" t="s">
        <v>70</v>
      </c>
      <c r="DL36" s="110"/>
      <c r="DM36" s="166"/>
      <c r="DN36" s="166"/>
      <c r="DO36" s="166"/>
      <c r="DP36" s="107"/>
      <c r="DQ36" s="108"/>
      <c r="DR36" s="94"/>
      <c r="DS36" s="94"/>
      <c r="DT36" s="94"/>
      <c r="DU36" s="94"/>
      <c r="DV36" s="167" t="s">
        <v>69</v>
      </c>
      <c r="DW36" s="167" t="s">
        <v>70</v>
      </c>
      <c r="DX36" s="110"/>
      <c r="DY36" s="166"/>
      <c r="DZ36" s="166"/>
      <c r="EA36" s="166"/>
      <c r="EB36" s="107"/>
      <c r="EC36" s="108"/>
      <c r="ED36" s="94"/>
      <c r="EE36" s="94"/>
      <c r="EF36" s="94"/>
      <c r="EG36" s="94"/>
      <c r="EH36" s="167" t="s">
        <v>69</v>
      </c>
      <c r="EI36" s="167" t="s">
        <v>70</v>
      </c>
      <c r="EJ36" s="110"/>
      <c r="EK36" s="166"/>
      <c r="EL36" s="166"/>
      <c r="EM36" s="166"/>
      <c r="EN36" s="107"/>
      <c r="EO36" s="108"/>
      <c r="EP36" s="94"/>
      <c r="EQ36" s="94"/>
      <c r="ER36" s="94"/>
      <c r="ES36" s="94"/>
      <c r="ET36" s="167" t="s">
        <v>69</v>
      </c>
      <c r="EU36" s="167" t="s">
        <v>70</v>
      </c>
      <c r="EV36" s="110"/>
      <c r="EW36" s="166"/>
      <c r="EX36" s="166"/>
      <c r="EY36" s="166"/>
      <c r="EZ36" s="107"/>
      <c r="FA36" s="108"/>
      <c r="FB36" s="94"/>
      <c r="FC36" s="94"/>
      <c r="FD36" s="94"/>
      <c r="FE36" s="94"/>
      <c r="FF36" s="167" t="s">
        <v>69</v>
      </c>
      <c r="FG36" s="167" t="s">
        <v>70</v>
      </c>
      <c r="FH36" s="110"/>
      <c r="FI36" s="166"/>
      <c r="FJ36" s="166"/>
      <c r="FK36" s="166"/>
      <c r="FL36" s="107"/>
      <c r="FM36" s="108"/>
      <c r="FN36" s="94"/>
      <c r="FO36" s="94"/>
      <c r="FP36" s="94"/>
      <c r="FQ36" s="94"/>
      <c r="FR36" s="167" t="s">
        <v>69</v>
      </c>
      <c r="FS36" s="167" t="s">
        <v>70</v>
      </c>
      <c r="FT36" s="110"/>
      <c r="FU36" s="166"/>
      <c r="FV36" s="166"/>
      <c r="FW36" s="166"/>
      <c r="FX36" s="107"/>
      <c r="FY36" s="108"/>
      <c r="FZ36" s="94"/>
      <c r="GA36" s="94"/>
      <c r="GB36" s="94"/>
      <c r="GC36" s="94"/>
      <c r="GD36" s="167" t="s">
        <v>69</v>
      </c>
      <c r="GE36" s="167" t="s">
        <v>70</v>
      </c>
      <c r="GF36" s="110"/>
      <c r="GG36" s="166"/>
      <c r="GH36" s="166"/>
      <c r="GI36" s="166"/>
      <c r="GJ36" s="107"/>
      <c r="GK36" s="108"/>
      <c r="GL36" s="94"/>
      <c r="GM36" s="94"/>
      <c r="GN36" s="94"/>
      <c r="GO36" s="94"/>
      <c r="GP36" s="167" t="s">
        <v>69</v>
      </c>
      <c r="GQ36" s="167" t="s">
        <v>70</v>
      </c>
      <c r="GR36" s="110"/>
      <c r="GS36" s="166"/>
      <c r="GT36" s="166"/>
      <c r="GU36" s="166"/>
      <c r="GV36" s="107"/>
      <c r="GW36" s="108"/>
      <c r="GX36" s="94"/>
      <c r="GY36" s="94"/>
      <c r="GZ36" s="94"/>
      <c r="HA36" s="94"/>
      <c r="HB36" s="167" t="s">
        <v>69</v>
      </c>
      <c r="HC36" s="167" t="s">
        <v>70</v>
      </c>
      <c r="HD36" s="110"/>
      <c r="HE36" s="166"/>
      <c r="HF36" s="166"/>
      <c r="HG36" s="166"/>
      <c r="HH36" s="107"/>
      <c r="HI36" s="106"/>
    </row>
    <row r="37" ht="15.75" customHeight="1">
      <c r="A37" s="168">
        <v>-1.0</v>
      </c>
      <c r="B37" s="169">
        <v>-2.0</v>
      </c>
      <c r="C37" s="169">
        <v>-3.0</v>
      </c>
      <c r="D37" s="169">
        <v>-4.0</v>
      </c>
      <c r="E37" s="169">
        <v>-5.0</v>
      </c>
      <c r="F37" s="169">
        <v>-6.0</v>
      </c>
      <c r="G37" s="169">
        <v>-7.0</v>
      </c>
      <c r="H37" s="170">
        <v>-8.0</v>
      </c>
      <c r="I37" s="171"/>
      <c r="J37" s="171"/>
      <c r="K37" s="171"/>
      <c r="L37" s="115"/>
      <c r="M37" s="168">
        <v>-1.0</v>
      </c>
      <c r="N37" s="169">
        <v>-2.0</v>
      </c>
      <c r="O37" s="169">
        <v>-3.0</v>
      </c>
      <c r="P37" s="169">
        <v>-4.0</v>
      </c>
      <c r="Q37" s="169">
        <v>-5.0</v>
      </c>
      <c r="R37" s="169">
        <v>-6.0</v>
      </c>
      <c r="S37" s="169">
        <v>-7.0</v>
      </c>
      <c r="T37" s="170">
        <v>-8.0</v>
      </c>
      <c r="U37" s="171"/>
      <c r="V37" s="171"/>
      <c r="W37" s="171"/>
      <c r="X37" s="115"/>
      <c r="Y37" s="168">
        <v>-1.0</v>
      </c>
      <c r="Z37" s="169">
        <v>-2.0</v>
      </c>
      <c r="AA37" s="169">
        <v>-3.0</v>
      </c>
      <c r="AB37" s="169">
        <v>-4.0</v>
      </c>
      <c r="AC37" s="169">
        <v>-5.0</v>
      </c>
      <c r="AD37" s="169">
        <v>-6.0</v>
      </c>
      <c r="AE37" s="169">
        <v>-7.0</v>
      </c>
      <c r="AF37" s="170">
        <v>-8.0</v>
      </c>
      <c r="AG37" s="171"/>
      <c r="AH37" s="171"/>
      <c r="AI37" s="171"/>
      <c r="AJ37" s="115"/>
      <c r="AK37" s="168">
        <v>-1.0</v>
      </c>
      <c r="AL37" s="169">
        <v>-2.0</v>
      </c>
      <c r="AM37" s="169">
        <v>-3.0</v>
      </c>
      <c r="AN37" s="169">
        <v>-4.0</v>
      </c>
      <c r="AO37" s="169">
        <v>-5.0</v>
      </c>
      <c r="AP37" s="169">
        <v>-6.0</v>
      </c>
      <c r="AQ37" s="169">
        <v>-7.0</v>
      </c>
      <c r="AR37" s="170">
        <v>-8.0</v>
      </c>
      <c r="AS37" s="171"/>
      <c r="AT37" s="171"/>
      <c r="AU37" s="171"/>
      <c r="AV37" s="115"/>
      <c r="AW37" s="168">
        <v>-1.0</v>
      </c>
      <c r="AX37" s="169">
        <v>-2.0</v>
      </c>
      <c r="AY37" s="169">
        <v>-3.0</v>
      </c>
      <c r="AZ37" s="169">
        <v>-4.0</v>
      </c>
      <c r="BA37" s="169">
        <v>-5.0</v>
      </c>
      <c r="BB37" s="169">
        <v>-6.0</v>
      </c>
      <c r="BC37" s="169">
        <v>-7.0</v>
      </c>
      <c r="BD37" s="170">
        <v>-8.0</v>
      </c>
      <c r="BE37" s="171"/>
      <c r="BF37" s="171"/>
      <c r="BG37" s="171"/>
      <c r="BH37" s="115"/>
      <c r="BI37" s="168">
        <v>-1.0</v>
      </c>
      <c r="BJ37" s="169">
        <v>-2.0</v>
      </c>
      <c r="BK37" s="169">
        <v>-3.0</v>
      </c>
      <c r="BL37" s="169">
        <v>-4.0</v>
      </c>
      <c r="BM37" s="169">
        <v>-5.0</v>
      </c>
      <c r="BN37" s="169">
        <v>-6.0</v>
      </c>
      <c r="BO37" s="169">
        <v>-7.0</v>
      </c>
      <c r="BP37" s="170">
        <v>-8.0</v>
      </c>
      <c r="BQ37" s="171"/>
      <c r="BR37" s="171"/>
      <c r="BS37" s="171"/>
      <c r="BT37" s="115"/>
      <c r="BU37" s="168">
        <v>-1.0</v>
      </c>
      <c r="BV37" s="169">
        <v>-2.0</v>
      </c>
      <c r="BW37" s="169">
        <v>-3.0</v>
      </c>
      <c r="BX37" s="169">
        <v>-4.0</v>
      </c>
      <c r="BY37" s="169">
        <v>-5.0</v>
      </c>
      <c r="BZ37" s="169">
        <v>-6.0</v>
      </c>
      <c r="CA37" s="169">
        <v>-7.0</v>
      </c>
      <c r="CB37" s="170">
        <v>-8.0</v>
      </c>
      <c r="CC37" s="171"/>
      <c r="CD37" s="171"/>
      <c r="CE37" s="171"/>
      <c r="CF37" s="115"/>
      <c r="CG37" s="168">
        <v>-1.0</v>
      </c>
      <c r="CH37" s="169">
        <v>-2.0</v>
      </c>
      <c r="CI37" s="169">
        <v>-3.0</v>
      </c>
      <c r="CJ37" s="169">
        <v>-4.0</v>
      </c>
      <c r="CK37" s="169">
        <v>-5.0</v>
      </c>
      <c r="CL37" s="169">
        <v>-6.0</v>
      </c>
      <c r="CM37" s="169">
        <v>-7.0</v>
      </c>
      <c r="CN37" s="170">
        <v>-8.0</v>
      </c>
      <c r="CO37" s="171"/>
      <c r="CP37" s="171"/>
      <c r="CQ37" s="171"/>
      <c r="CR37" s="115"/>
      <c r="CS37" s="168">
        <v>-1.0</v>
      </c>
      <c r="CT37" s="169">
        <v>-2.0</v>
      </c>
      <c r="CU37" s="169">
        <v>-3.0</v>
      </c>
      <c r="CV37" s="169">
        <v>-4.0</v>
      </c>
      <c r="CW37" s="169">
        <v>-5.0</v>
      </c>
      <c r="CX37" s="169">
        <v>-6.0</v>
      </c>
      <c r="CY37" s="169">
        <v>-7.0</v>
      </c>
      <c r="CZ37" s="170">
        <v>-8.0</v>
      </c>
      <c r="DA37" s="171"/>
      <c r="DB37" s="171"/>
      <c r="DC37" s="171"/>
      <c r="DD37" s="115"/>
      <c r="DE37" s="168">
        <v>-1.0</v>
      </c>
      <c r="DF37" s="169">
        <v>-2.0</v>
      </c>
      <c r="DG37" s="169">
        <v>-3.0</v>
      </c>
      <c r="DH37" s="169">
        <v>-4.0</v>
      </c>
      <c r="DI37" s="169">
        <v>-5.0</v>
      </c>
      <c r="DJ37" s="169">
        <v>-6.0</v>
      </c>
      <c r="DK37" s="169">
        <v>-7.0</v>
      </c>
      <c r="DL37" s="170">
        <v>-8.0</v>
      </c>
      <c r="DM37" s="171"/>
      <c r="DN37" s="171"/>
      <c r="DO37" s="171"/>
      <c r="DP37" s="115"/>
      <c r="DQ37" s="168">
        <v>-1.0</v>
      </c>
      <c r="DR37" s="169">
        <v>-2.0</v>
      </c>
      <c r="DS37" s="169">
        <v>-3.0</v>
      </c>
      <c r="DT37" s="169">
        <v>-4.0</v>
      </c>
      <c r="DU37" s="169">
        <v>-5.0</v>
      </c>
      <c r="DV37" s="169">
        <v>-6.0</v>
      </c>
      <c r="DW37" s="169">
        <v>-7.0</v>
      </c>
      <c r="DX37" s="170">
        <v>-8.0</v>
      </c>
      <c r="DY37" s="171"/>
      <c r="DZ37" s="171"/>
      <c r="EA37" s="171"/>
      <c r="EB37" s="115"/>
      <c r="EC37" s="168">
        <v>-1.0</v>
      </c>
      <c r="ED37" s="169">
        <v>-2.0</v>
      </c>
      <c r="EE37" s="169">
        <v>-3.0</v>
      </c>
      <c r="EF37" s="169">
        <v>-4.0</v>
      </c>
      <c r="EG37" s="169">
        <v>-5.0</v>
      </c>
      <c r="EH37" s="169">
        <v>-6.0</v>
      </c>
      <c r="EI37" s="169">
        <v>-7.0</v>
      </c>
      <c r="EJ37" s="170">
        <v>-8.0</v>
      </c>
      <c r="EK37" s="171"/>
      <c r="EL37" s="171"/>
      <c r="EM37" s="171"/>
      <c r="EN37" s="115"/>
      <c r="EO37" s="168">
        <v>-1.0</v>
      </c>
      <c r="EP37" s="169">
        <v>-2.0</v>
      </c>
      <c r="EQ37" s="169">
        <v>-3.0</v>
      </c>
      <c r="ER37" s="169">
        <v>-4.0</v>
      </c>
      <c r="ES37" s="169">
        <v>-5.0</v>
      </c>
      <c r="ET37" s="169">
        <v>-6.0</v>
      </c>
      <c r="EU37" s="169">
        <v>-7.0</v>
      </c>
      <c r="EV37" s="170">
        <v>-8.0</v>
      </c>
      <c r="EW37" s="171"/>
      <c r="EX37" s="171"/>
      <c r="EY37" s="171"/>
      <c r="EZ37" s="115"/>
      <c r="FA37" s="168">
        <v>-1.0</v>
      </c>
      <c r="FB37" s="169">
        <v>-2.0</v>
      </c>
      <c r="FC37" s="169">
        <v>-3.0</v>
      </c>
      <c r="FD37" s="169">
        <v>-4.0</v>
      </c>
      <c r="FE37" s="169">
        <v>-5.0</v>
      </c>
      <c r="FF37" s="169">
        <v>-6.0</v>
      </c>
      <c r="FG37" s="169">
        <v>-7.0</v>
      </c>
      <c r="FH37" s="170">
        <v>-8.0</v>
      </c>
      <c r="FI37" s="171"/>
      <c r="FJ37" s="171"/>
      <c r="FK37" s="171"/>
      <c r="FL37" s="115"/>
      <c r="FM37" s="168">
        <v>-1.0</v>
      </c>
      <c r="FN37" s="169">
        <v>-2.0</v>
      </c>
      <c r="FO37" s="169">
        <v>-3.0</v>
      </c>
      <c r="FP37" s="169">
        <v>-4.0</v>
      </c>
      <c r="FQ37" s="169">
        <v>-5.0</v>
      </c>
      <c r="FR37" s="169">
        <v>-6.0</v>
      </c>
      <c r="FS37" s="169">
        <v>-7.0</v>
      </c>
      <c r="FT37" s="170">
        <v>-8.0</v>
      </c>
      <c r="FU37" s="171"/>
      <c r="FV37" s="171"/>
      <c r="FW37" s="171"/>
      <c r="FX37" s="115"/>
      <c r="FY37" s="168">
        <v>-1.0</v>
      </c>
      <c r="FZ37" s="169">
        <v>-2.0</v>
      </c>
      <c r="GA37" s="169">
        <v>-3.0</v>
      </c>
      <c r="GB37" s="169">
        <v>-4.0</v>
      </c>
      <c r="GC37" s="169">
        <v>-5.0</v>
      </c>
      <c r="GD37" s="169">
        <v>-6.0</v>
      </c>
      <c r="GE37" s="169">
        <v>-7.0</v>
      </c>
      <c r="GF37" s="170">
        <v>-8.0</v>
      </c>
      <c r="GG37" s="171"/>
      <c r="GH37" s="171"/>
      <c r="GI37" s="171"/>
      <c r="GJ37" s="115"/>
      <c r="GK37" s="168">
        <v>-1.0</v>
      </c>
      <c r="GL37" s="169">
        <v>-2.0</v>
      </c>
      <c r="GM37" s="169">
        <v>-3.0</v>
      </c>
      <c r="GN37" s="169">
        <v>-4.0</v>
      </c>
      <c r="GO37" s="169">
        <v>-5.0</v>
      </c>
      <c r="GP37" s="169">
        <v>-6.0</v>
      </c>
      <c r="GQ37" s="169">
        <v>-7.0</v>
      </c>
      <c r="GR37" s="170">
        <v>-8.0</v>
      </c>
      <c r="GS37" s="171"/>
      <c r="GT37" s="171"/>
      <c r="GU37" s="171"/>
      <c r="GV37" s="115"/>
      <c r="GW37" s="168">
        <v>-1.0</v>
      </c>
      <c r="GX37" s="169">
        <v>-2.0</v>
      </c>
      <c r="GY37" s="169">
        <v>-3.0</v>
      </c>
      <c r="GZ37" s="169">
        <v>-4.0</v>
      </c>
      <c r="HA37" s="169">
        <v>-5.0</v>
      </c>
      <c r="HB37" s="169">
        <v>-6.0</v>
      </c>
      <c r="HC37" s="169">
        <v>-7.0</v>
      </c>
      <c r="HD37" s="170">
        <v>-8.0</v>
      </c>
      <c r="HE37" s="171"/>
      <c r="HF37" s="171"/>
      <c r="HG37" s="171"/>
      <c r="HH37" s="115"/>
      <c r="HI37" s="114"/>
    </row>
    <row r="38" ht="15.75" customHeight="1">
      <c r="A38" s="172"/>
      <c r="B38" s="173"/>
      <c r="C38" s="174"/>
      <c r="D38" s="174"/>
      <c r="E38" s="174"/>
      <c r="F38" s="174"/>
      <c r="G38" s="174"/>
      <c r="H38" s="175"/>
      <c r="I38" s="176"/>
      <c r="J38" s="176"/>
      <c r="K38" s="176"/>
      <c r="L38" s="81"/>
      <c r="M38" s="172"/>
      <c r="N38" s="173"/>
      <c r="O38" s="174"/>
      <c r="P38" s="174"/>
      <c r="Q38" s="174"/>
      <c r="R38" s="174"/>
      <c r="S38" s="174"/>
      <c r="T38" s="175"/>
      <c r="U38" s="176"/>
      <c r="V38" s="176"/>
      <c r="W38" s="176"/>
      <c r="X38" s="81"/>
      <c r="Y38" s="172"/>
      <c r="Z38" s="173"/>
      <c r="AA38" s="174"/>
      <c r="AB38" s="174"/>
      <c r="AC38" s="174"/>
      <c r="AD38" s="174"/>
      <c r="AE38" s="174"/>
      <c r="AF38" s="175"/>
      <c r="AG38" s="176"/>
      <c r="AH38" s="176"/>
      <c r="AI38" s="176"/>
      <c r="AJ38" s="81"/>
      <c r="AK38" s="172"/>
      <c r="AL38" s="173"/>
      <c r="AM38" s="174"/>
      <c r="AN38" s="174"/>
      <c r="AO38" s="174"/>
      <c r="AP38" s="174"/>
      <c r="AQ38" s="174"/>
      <c r="AR38" s="175"/>
      <c r="AS38" s="176"/>
      <c r="AT38" s="176"/>
      <c r="AU38" s="176"/>
      <c r="AV38" s="81"/>
      <c r="AW38" s="172"/>
      <c r="AX38" s="173"/>
      <c r="AY38" s="174"/>
      <c r="AZ38" s="174"/>
      <c r="BA38" s="174"/>
      <c r="BB38" s="174"/>
      <c r="BC38" s="174"/>
      <c r="BD38" s="175"/>
      <c r="BE38" s="176"/>
      <c r="BF38" s="176"/>
      <c r="BG38" s="176"/>
      <c r="BH38" s="81"/>
      <c r="BI38" s="172"/>
      <c r="BJ38" s="173"/>
      <c r="BK38" s="174"/>
      <c r="BL38" s="174"/>
      <c r="BM38" s="174"/>
      <c r="BN38" s="174"/>
      <c r="BO38" s="174"/>
      <c r="BP38" s="175"/>
      <c r="BQ38" s="176"/>
      <c r="BR38" s="176"/>
      <c r="BS38" s="176"/>
      <c r="BT38" s="81"/>
      <c r="BU38" s="172"/>
      <c r="BV38" s="173"/>
      <c r="BW38" s="174"/>
      <c r="BX38" s="174"/>
      <c r="BY38" s="174"/>
      <c r="BZ38" s="174"/>
      <c r="CA38" s="174"/>
      <c r="CB38" s="175"/>
      <c r="CC38" s="176"/>
      <c r="CD38" s="176"/>
      <c r="CE38" s="176"/>
      <c r="CF38" s="81"/>
      <c r="CG38" s="172"/>
      <c r="CH38" s="173"/>
      <c r="CI38" s="174"/>
      <c r="CJ38" s="174"/>
      <c r="CK38" s="174"/>
      <c r="CL38" s="174"/>
      <c r="CM38" s="174"/>
      <c r="CN38" s="175"/>
      <c r="CO38" s="176"/>
      <c r="CP38" s="176"/>
      <c r="CQ38" s="176"/>
      <c r="CR38" s="81"/>
      <c r="CS38" s="172"/>
      <c r="CT38" s="173"/>
      <c r="CU38" s="174"/>
      <c r="CV38" s="174"/>
      <c r="CW38" s="174"/>
      <c r="CX38" s="174"/>
      <c r="CY38" s="174"/>
      <c r="CZ38" s="175"/>
      <c r="DA38" s="176"/>
      <c r="DB38" s="176"/>
      <c r="DC38" s="176"/>
      <c r="DD38" s="81"/>
      <c r="DE38" s="172"/>
      <c r="DF38" s="173"/>
      <c r="DG38" s="174"/>
      <c r="DH38" s="174"/>
      <c r="DI38" s="174"/>
      <c r="DJ38" s="174"/>
      <c r="DK38" s="174"/>
      <c r="DL38" s="175"/>
      <c r="DM38" s="176"/>
      <c r="DN38" s="176"/>
      <c r="DO38" s="176"/>
      <c r="DP38" s="81"/>
      <c r="DQ38" s="172"/>
      <c r="DR38" s="173"/>
      <c r="DS38" s="174"/>
      <c r="DT38" s="174"/>
      <c r="DU38" s="174"/>
      <c r="DV38" s="174"/>
      <c r="DW38" s="174"/>
      <c r="DX38" s="175"/>
      <c r="DY38" s="176"/>
      <c r="DZ38" s="176"/>
      <c r="EA38" s="176"/>
      <c r="EB38" s="81"/>
      <c r="EC38" s="172"/>
      <c r="ED38" s="173"/>
      <c r="EE38" s="174"/>
      <c r="EF38" s="174"/>
      <c r="EG38" s="174"/>
      <c r="EH38" s="174"/>
      <c r="EI38" s="174"/>
      <c r="EJ38" s="175"/>
      <c r="EK38" s="176"/>
      <c r="EL38" s="176"/>
      <c r="EM38" s="176"/>
      <c r="EN38" s="81"/>
      <c r="EO38" s="172"/>
      <c r="EP38" s="173"/>
      <c r="EQ38" s="174"/>
      <c r="ER38" s="174"/>
      <c r="ES38" s="174"/>
      <c r="ET38" s="174"/>
      <c r="EU38" s="174"/>
      <c r="EV38" s="175"/>
      <c r="EW38" s="176"/>
      <c r="EX38" s="176"/>
      <c r="EY38" s="176"/>
      <c r="EZ38" s="81"/>
      <c r="FA38" s="172"/>
      <c r="FB38" s="173"/>
      <c r="FC38" s="174"/>
      <c r="FD38" s="174"/>
      <c r="FE38" s="174"/>
      <c r="FF38" s="174"/>
      <c r="FG38" s="174"/>
      <c r="FH38" s="175"/>
      <c r="FI38" s="176"/>
      <c r="FJ38" s="176"/>
      <c r="FK38" s="176"/>
      <c r="FL38" s="81"/>
      <c r="FM38" s="172"/>
      <c r="FN38" s="173"/>
      <c r="FO38" s="174"/>
      <c r="FP38" s="174"/>
      <c r="FQ38" s="174"/>
      <c r="FR38" s="174"/>
      <c r="FS38" s="174"/>
      <c r="FT38" s="175"/>
      <c r="FU38" s="176"/>
      <c r="FV38" s="176"/>
      <c r="FW38" s="176"/>
      <c r="FX38" s="81"/>
      <c r="FY38" s="172"/>
      <c r="FZ38" s="173"/>
      <c r="GA38" s="174"/>
      <c r="GB38" s="174"/>
      <c r="GC38" s="174"/>
      <c r="GD38" s="174"/>
      <c r="GE38" s="174"/>
      <c r="GF38" s="175"/>
      <c r="GG38" s="176"/>
      <c r="GH38" s="176"/>
      <c r="GI38" s="176"/>
      <c r="GJ38" s="81"/>
      <c r="GK38" s="172"/>
      <c r="GL38" s="173"/>
      <c r="GM38" s="174"/>
      <c r="GN38" s="174"/>
      <c r="GO38" s="174"/>
      <c r="GP38" s="174"/>
      <c r="GQ38" s="174"/>
      <c r="GR38" s="175"/>
      <c r="GS38" s="176"/>
      <c r="GT38" s="176"/>
      <c r="GU38" s="176"/>
      <c r="GV38" s="81"/>
      <c r="GW38" s="172"/>
      <c r="GX38" s="173"/>
      <c r="GY38" s="174"/>
      <c r="GZ38" s="174"/>
      <c r="HA38" s="174"/>
      <c r="HB38" s="174"/>
      <c r="HC38" s="174"/>
      <c r="HD38" s="175"/>
      <c r="HE38" s="176"/>
      <c r="HF38" s="176"/>
      <c r="HG38" s="176"/>
      <c r="HH38" s="81"/>
      <c r="HI38" s="75"/>
    </row>
    <row r="39" ht="15.75" customHeight="1">
      <c r="A39" s="177">
        <v>1.0</v>
      </c>
      <c r="B39" s="178" t="s">
        <v>71</v>
      </c>
      <c r="C39" s="179"/>
      <c r="D39" s="180">
        <f t="shared" ref="D39:D44" si="127">1.16180660667508/100</f>
        <v>0.01161806607</v>
      </c>
      <c r="E39" s="179">
        <f t="shared" ref="E39:E44" si="128">IFERROR(+D39*C39,"0")</f>
        <v>0</v>
      </c>
      <c r="F39" s="180">
        <v>0.16716266605705102</v>
      </c>
      <c r="G39" s="179">
        <f t="shared" ref="G39:G44" si="129">IFERROR(+E39*F39,"")</f>
        <v>0</v>
      </c>
      <c r="H39" s="181">
        <f t="shared" ref="H39:H44" si="130">IFERROR(+(IF(E39="","0",E39))-(IF(G39="","0",G39)),"")</f>
        <v>0</v>
      </c>
      <c r="I39" s="176"/>
      <c r="J39" s="176"/>
      <c r="K39" s="176"/>
      <c r="L39" s="81"/>
      <c r="M39" s="177">
        <v>1.0</v>
      </c>
      <c r="N39" s="178" t="s">
        <v>71</v>
      </c>
      <c r="O39" s="179"/>
      <c r="P39" s="180">
        <f t="shared" ref="P39:P44" si="131">1.16180660667508/100</f>
        <v>0.01161806607</v>
      </c>
      <c r="Q39" s="179">
        <f t="shared" ref="Q39:Q44" si="132">IFERROR(+P39*O39,"0")</f>
        <v>0</v>
      </c>
      <c r="R39" s="180">
        <v>0.16716266605705102</v>
      </c>
      <c r="S39" s="179">
        <f t="shared" ref="S39:S44" si="133">IFERROR(+Q39*R39,"")</f>
        <v>0</v>
      </c>
      <c r="T39" s="181">
        <f t="shared" ref="T39:T44" si="134">IFERROR(+(IF(Q39="","0",Q39))-(IF(S39="","0",S39)),"")</f>
        <v>0</v>
      </c>
      <c r="U39" s="176"/>
      <c r="V39" s="176"/>
      <c r="W39" s="176"/>
      <c r="X39" s="81"/>
      <c r="Y39" s="177">
        <v>1.0</v>
      </c>
      <c r="Z39" s="178" t="s">
        <v>71</v>
      </c>
      <c r="AA39" s="179"/>
      <c r="AB39" s="180">
        <f t="shared" ref="AB39:AB44" si="135">1.16180660667508/100</f>
        <v>0.01161806607</v>
      </c>
      <c r="AC39" s="179">
        <f t="shared" ref="AC39:AC44" si="136">IFERROR(+AB39*AA39,"0")</f>
        <v>0</v>
      </c>
      <c r="AD39" s="180">
        <v>0.16716266605705102</v>
      </c>
      <c r="AE39" s="179">
        <f t="shared" ref="AE39:AE44" si="137">IFERROR(+AC39*AD39,"")</f>
        <v>0</v>
      </c>
      <c r="AF39" s="181">
        <f t="shared" ref="AF39:AF44" si="138">IFERROR(+(IF(AC39="","0",AC39))-(IF(AE39="","0",AE39)),"")</f>
        <v>0</v>
      </c>
      <c r="AG39" s="176"/>
      <c r="AH39" s="176"/>
      <c r="AI39" s="176"/>
      <c r="AJ39" s="81"/>
      <c r="AK39" s="177">
        <v>1.0</v>
      </c>
      <c r="AL39" s="178" t="s">
        <v>71</v>
      </c>
      <c r="AM39" s="179"/>
      <c r="AN39" s="180">
        <f t="shared" ref="AN39:AN44" si="139">1.16180660667508/100</f>
        <v>0.01161806607</v>
      </c>
      <c r="AO39" s="179">
        <f t="shared" ref="AO39:AO44" si="140">IFERROR(+AN39*AM39,"0")</f>
        <v>0</v>
      </c>
      <c r="AP39" s="180">
        <v>0.16716266605705102</v>
      </c>
      <c r="AQ39" s="179">
        <f t="shared" ref="AQ39:AQ44" si="141">IFERROR(+AO39*AP39,"")</f>
        <v>0</v>
      </c>
      <c r="AR39" s="181">
        <f t="shared" ref="AR39:AR44" si="142">IFERROR(+(IF(AO39="","0",AO39))-(IF(AQ39="","0",AQ39)),"")</f>
        <v>0</v>
      </c>
      <c r="AS39" s="176"/>
      <c r="AT39" s="176"/>
      <c r="AU39" s="176"/>
      <c r="AV39" s="81"/>
      <c r="AW39" s="177">
        <v>1.0</v>
      </c>
      <c r="AX39" s="178" t="s">
        <v>71</v>
      </c>
      <c r="AY39" s="179"/>
      <c r="AZ39" s="180">
        <f t="shared" ref="AZ39:AZ44" si="143">1.16180660667508/100</f>
        <v>0.01161806607</v>
      </c>
      <c r="BA39" s="179">
        <f t="shared" ref="BA39:BA44" si="144">IFERROR(+AZ39*AY39,"0")</f>
        <v>0</v>
      </c>
      <c r="BB39" s="180">
        <v>0.16716266605705102</v>
      </c>
      <c r="BC39" s="179">
        <f t="shared" ref="BC39:BC44" si="145">IFERROR(+BA39*BB39,"")</f>
        <v>0</v>
      </c>
      <c r="BD39" s="181">
        <f t="shared" ref="BD39:BD44" si="146">IFERROR(+(IF(BA39="","0",BA39))-(IF(BC39="","0",BC39)),"")</f>
        <v>0</v>
      </c>
      <c r="BE39" s="176"/>
      <c r="BF39" s="176"/>
      <c r="BG39" s="176"/>
      <c r="BH39" s="81"/>
      <c r="BI39" s="177">
        <v>1.0</v>
      </c>
      <c r="BJ39" s="178" t="s">
        <v>71</v>
      </c>
      <c r="BK39" s="179"/>
      <c r="BL39" s="180">
        <f t="shared" ref="BL39:BL44" si="147">1.16180660667508/100</f>
        <v>0.01161806607</v>
      </c>
      <c r="BM39" s="179">
        <f t="shared" ref="BM39:BM44" si="148">IFERROR(+BL39*BK39,"0")</f>
        <v>0</v>
      </c>
      <c r="BN39" s="180">
        <v>0.16716266605705102</v>
      </c>
      <c r="BO39" s="179">
        <f t="shared" ref="BO39:BO44" si="149">IFERROR(+BM39*BN39,"")</f>
        <v>0</v>
      </c>
      <c r="BP39" s="181">
        <f t="shared" ref="BP39:BP44" si="150">IFERROR(+(IF(BM39="","0",BM39))-(IF(BO39="","0",BO39)),"")</f>
        <v>0</v>
      </c>
      <c r="BQ39" s="176"/>
      <c r="BR39" s="176"/>
      <c r="BS39" s="176"/>
      <c r="BT39" s="81"/>
      <c r="BU39" s="177">
        <v>1.0</v>
      </c>
      <c r="BV39" s="178" t="s">
        <v>71</v>
      </c>
      <c r="BW39" s="179"/>
      <c r="BX39" s="180">
        <f t="shared" ref="BX39:BX44" si="151">1.16180660667508/100</f>
        <v>0.01161806607</v>
      </c>
      <c r="BY39" s="179">
        <f t="shared" ref="BY39:BY44" si="152">IFERROR(+BX39*BW39,"0")</f>
        <v>0</v>
      </c>
      <c r="BZ39" s="180">
        <v>0.16716266605705102</v>
      </c>
      <c r="CA39" s="179">
        <f t="shared" ref="CA39:CA44" si="153">IFERROR(+BY39*BZ39,"")</f>
        <v>0</v>
      </c>
      <c r="CB39" s="181">
        <f t="shared" ref="CB39:CB44" si="154">IFERROR(+(IF(BY39="","0",BY39))-(IF(CA39="","0",CA39)),"")</f>
        <v>0</v>
      </c>
      <c r="CC39" s="176"/>
      <c r="CD39" s="176"/>
      <c r="CE39" s="176"/>
      <c r="CF39" s="81"/>
      <c r="CG39" s="177">
        <v>1.0</v>
      </c>
      <c r="CH39" s="178" t="s">
        <v>71</v>
      </c>
      <c r="CI39" s="179"/>
      <c r="CJ39" s="180">
        <f t="shared" ref="CJ39:CJ44" si="155">1.16180660667508/100</f>
        <v>0.01161806607</v>
      </c>
      <c r="CK39" s="179">
        <f t="shared" ref="CK39:CK44" si="156">IFERROR(+CJ39*CI39,"0")</f>
        <v>0</v>
      </c>
      <c r="CL39" s="180">
        <v>0.16716266605705102</v>
      </c>
      <c r="CM39" s="179">
        <f t="shared" ref="CM39:CM44" si="157">IFERROR(+CK39*CL39,"")</f>
        <v>0</v>
      </c>
      <c r="CN39" s="181">
        <f t="shared" ref="CN39:CN44" si="158">IFERROR(+(IF(CK39="","0",CK39))-(IF(CM39="","0",CM39)),"")</f>
        <v>0</v>
      </c>
      <c r="CO39" s="176"/>
      <c r="CP39" s="176"/>
      <c r="CQ39" s="176"/>
      <c r="CR39" s="81"/>
      <c r="CS39" s="177">
        <v>1.0</v>
      </c>
      <c r="CT39" s="178" t="s">
        <v>71</v>
      </c>
      <c r="CU39" s="179"/>
      <c r="CV39" s="180">
        <f t="shared" ref="CV39:CV44" si="159">1.16180660667508/100</f>
        <v>0.01161806607</v>
      </c>
      <c r="CW39" s="179">
        <f t="shared" ref="CW39:CW44" si="160">IFERROR(+CV39*CU39,"0")</f>
        <v>0</v>
      </c>
      <c r="CX39" s="180">
        <v>0.16716266605705102</v>
      </c>
      <c r="CY39" s="179">
        <f t="shared" ref="CY39:CY44" si="161">IFERROR(+CW39*CX39,"")</f>
        <v>0</v>
      </c>
      <c r="CZ39" s="181">
        <f t="shared" ref="CZ39:CZ44" si="162">IFERROR(+(IF(CW39="","0",CW39))-(IF(CY39="","0",CY39)),"")</f>
        <v>0</v>
      </c>
      <c r="DA39" s="176"/>
      <c r="DB39" s="176"/>
      <c r="DC39" s="176"/>
      <c r="DD39" s="81"/>
      <c r="DE39" s="177">
        <v>1.0</v>
      </c>
      <c r="DF39" s="178" t="s">
        <v>71</v>
      </c>
      <c r="DG39" s="179">
        <f>'Hitung Output'!BG29</f>
        <v>646087.9552</v>
      </c>
      <c r="DH39" s="180">
        <f t="shared" ref="DH39:DH44" si="163">1.16180660667508/100</f>
        <v>0.01161806607</v>
      </c>
      <c r="DI39" s="183">
        <f t="shared" ref="DI39:DI44" si="164">IFERROR(+DH39*DG39,"0")</f>
        <v>7506.292548</v>
      </c>
      <c r="DJ39" s="180">
        <v>0.16716266605705102</v>
      </c>
      <c r="DK39" s="179">
        <f t="shared" ref="DK39:DK44" si="165">IFERROR(+DI39*DJ39,"")</f>
        <v>1254.771875</v>
      </c>
      <c r="DL39" s="181">
        <f t="shared" ref="DL39:DL44" si="166">IFERROR(+(IF(DI39="","0",DI39))-(IF(DK39="","0",DK39)),"")</f>
        <v>6251.520673</v>
      </c>
      <c r="DM39" s="176"/>
      <c r="DN39" s="176"/>
      <c r="DO39" s="176"/>
      <c r="DP39" s="81"/>
      <c r="DQ39" s="177">
        <v>1.0</v>
      </c>
      <c r="DR39" s="178" t="s">
        <v>71</v>
      </c>
      <c r="DS39" s="180">
        <f>'Hitung Output'!BL29</f>
        <v>628759.3229</v>
      </c>
      <c r="DT39" s="180">
        <f t="shared" ref="DT39:DT44" si="167">1.16180660667508/100</f>
        <v>0.01161806607</v>
      </c>
      <c r="DU39" s="390">
        <f t="shared" ref="DU39:DU44" si="168">IFERROR(+DT39*DS39,"0")</f>
        <v>7304.967353</v>
      </c>
      <c r="DV39" s="180">
        <v>0.16716266605705102</v>
      </c>
      <c r="DW39" s="179">
        <f t="shared" ref="DW39:DW44" si="169">IFERROR(+DU39*DV39,"")</f>
        <v>1221.117818</v>
      </c>
      <c r="DX39" s="181">
        <f t="shared" ref="DX39:DX44" si="170">IFERROR(+(IF(DU39="","0",DU39))-(IF(DW39="","0",DW39)),"")</f>
        <v>6083.849535</v>
      </c>
      <c r="DY39" s="176"/>
      <c r="DZ39" s="176"/>
      <c r="EA39" s="176"/>
      <c r="EB39" s="81"/>
      <c r="EC39" s="177">
        <v>1.0</v>
      </c>
      <c r="ED39" s="178" t="s">
        <v>71</v>
      </c>
      <c r="EE39" s="180">
        <f>'Hitung Output'!BQ29</f>
        <v>553722.2862</v>
      </c>
      <c r="EF39" s="180">
        <f t="shared" ref="EF39:EF44" si="171">1.16180660667508/100</f>
        <v>0.01161806607</v>
      </c>
      <c r="EG39" s="391">
        <f t="shared" ref="EG39:EG44" si="172">IFERROR(+EF39*EE39,"0")</f>
        <v>6433.182103</v>
      </c>
      <c r="EH39" s="180">
        <v>0.16716266605705102</v>
      </c>
      <c r="EI39" s="179">
        <f t="shared" ref="EI39:EI44" si="173">IFERROR(+EG39*EH39,"")</f>
        <v>1075.387872</v>
      </c>
      <c r="EJ39" s="181">
        <f t="shared" ref="EJ39:EJ44" si="174">IFERROR(+(IF(EG39="","0",EG39))-(IF(EI39="","0",EI39)),"")</f>
        <v>5357.794232</v>
      </c>
      <c r="EK39" s="176"/>
      <c r="EL39" s="176"/>
      <c r="EM39" s="176"/>
      <c r="EN39" s="81"/>
      <c r="EO39" s="177">
        <v>1.0</v>
      </c>
      <c r="EP39" s="178" t="s">
        <v>71</v>
      </c>
      <c r="EQ39" s="179">
        <f>'Hitung Output'!BV29</f>
        <v>576384.0934</v>
      </c>
      <c r="ER39" s="180">
        <f t="shared" ref="ER39:ER44" si="175">1.16180660667508/100</f>
        <v>0.01161806607</v>
      </c>
      <c r="ES39" s="392">
        <f t="shared" ref="ES39:ES44" si="176">IFERROR(+ER39*EQ39,"0")</f>
        <v>6696.468477</v>
      </c>
      <c r="ET39" s="180">
        <v>0.16716266605705102</v>
      </c>
      <c r="EU39" s="179">
        <f t="shared" ref="EU39:EU44" si="177">IFERROR(+ES39*ET39,"")</f>
        <v>1119.399524</v>
      </c>
      <c r="EV39" s="181">
        <f t="shared" ref="EV39:EV44" si="178">IFERROR(+(IF(ES39="","0",ES39))-(IF(EU39="","0",EU39)),"")</f>
        <v>5577.068953</v>
      </c>
      <c r="EW39" s="176"/>
      <c r="EX39" s="176"/>
      <c r="EY39" s="176"/>
      <c r="EZ39" s="81"/>
      <c r="FA39" s="177">
        <v>1.0</v>
      </c>
      <c r="FB39" s="178" t="s">
        <v>71</v>
      </c>
      <c r="FC39" s="179">
        <f>'Hitung Output'!CA29</f>
        <v>585919.9703</v>
      </c>
      <c r="FD39" s="180">
        <f t="shared" ref="FD39:FD44" si="179">1.16180660667508/100</f>
        <v>0.01161806607</v>
      </c>
      <c r="FE39" s="393">
        <f t="shared" ref="FE39:FE44" si="180">IFERROR(+FD39*FC39,"0")</f>
        <v>6807.256925</v>
      </c>
      <c r="FF39" s="180">
        <v>0.16716266605705102</v>
      </c>
      <c r="FG39" s="179">
        <f t="shared" ref="FG39:FG44" si="181">IFERROR(+FE39*FF39,"")</f>
        <v>1137.919216</v>
      </c>
      <c r="FH39" s="181">
        <f t="shared" ref="FH39:FH44" si="182">IFERROR(+(IF(FE39="","0",FE39))-(IF(FG39="","0",FG39)),"")</f>
        <v>5669.337708</v>
      </c>
      <c r="FI39" s="176"/>
      <c r="FJ39" s="176"/>
      <c r="FK39" s="176"/>
      <c r="FL39" s="81"/>
      <c r="FM39" s="177">
        <v>1.0</v>
      </c>
      <c r="FN39" s="178" t="s">
        <v>71</v>
      </c>
      <c r="FO39" s="179">
        <f>'Hitung Output'!CF29</f>
        <v>578733.0169</v>
      </c>
      <c r="FP39" s="180">
        <f t="shared" ref="FP39:FP44" si="183">1.16180660667508/100</f>
        <v>0.01161806607</v>
      </c>
      <c r="FQ39" s="393">
        <f t="shared" ref="FQ39:FQ44" si="184">IFERROR(+FP39*FO39,"0")</f>
        <v>6723.758425</v>
      </c>
      <c r="FR39" s="180">
        <v>0.16716266605705102</v>
      </c>
      <c r="FS39" s="179">
        <f t="shared" ref="FS39:FS44" si="185">IFERROR(+FQ39*FR39,"")</f>
        <v>1123.961384</v>
      </c>
      <c r="FT39" s="181">
        <f t="shared" ref="FT39:FT44" si="186">IFERROR(+(IF(FQ39="","0",FQ39))-(IF(FS39="","0",FS39)),"")</f>
        <v>5599.797041</v>
      </c>
      <c r="FU39" s="176"/>
      <c r="FV39" s="176"/>
      <c r="FW39" s="176"/>
      <c r="FX39" s="81"/>
      <c r="FY39" s="177">
        <v>1.0</v>
      </c>
      <c r="FZ39" s="178" t="s">
        <v>71</v>
      </c>
      <c r="GA39" s="179">
        <f>'Hitung Output'!CK29</f>
        <v>657059.5763</v>
      </c>
      <c r="GB39" s="180">
        <f t="shared" ref="GB39:GB44" si="187">1.16180660667508/100</f>
        <v>0.01161806607</v>
      </c>
      <c r="GC39" s="179">
        <f t="shared" ref="GC39:GC44" si="188">IFERROR(+GB39*GA39,"0")</f>
        <v>7633.761567</v>
      </c>
      <c r="GD39" s="180">
        <v>0.16716266605705102</v>
      </c>
      <c r="GE39" s="179">
        <f t="shared" ref="GE39:GE44" si="189">IFERROR(+GC39*GD39,"")</f>
        <v>1276.079936</v>
      </c>
      <c r="GF39" s="181">
        <f t="shared" ref="GF39:GF44" si="190">IFERROR(+(IF(GC39="","0",GC39))-(IF(GE39="","0",GE39)),"")</f>
        <v>6357.681631</v>
      </c>
      <c r="GG39" s="176"/>
      <c r="GH39" s="176"/>
      <c r="GI39" s="176"/>
      <c r="GJ39" s="81"/>
      <c r="GK39" s="177">
        <v>1.0</v>
      </c>
      <c r="GL39" s="178" t="s">
        <v>71</v>
      </c>
      <c r="GM39" s="179">
        <f>'Hitung Output'!CP29</f>
        <v>675011.1195</v>
      </c>
      <c r="GN39" s="180">
        <f t="shared" ref="GN39:GN44" si="191">1.16180660667508/100</f>
        <v>0.01161806607</v>
      </c>
      <c r="GO39" s="179">
        <f t="shared" ref="GO39:GO44" si="192">IFERROR(+GN39*GM39,"0")</f>
        <v>7842.323782</v>
      </c>
      <c r="GP39" s="180">
        <v>0.16716266605705102</v>
      </c>
      <c r="GQ39" s="179">
        <f t="shared" ref="GQ39:GQ44" si="193">IFERROR(+GO39*GP39,"")</f>
        <v>1310.943752</v>
      </c>
      <c r="GR39" s="181">
        <f t="shared" ref="GR39:GR44" si="194">IFERROR(+(IF(GO39="","0",GO39))-(IF(GQ39="","0",GQ39)),"")</f>
        <v>6531.380031</v>
      </c>
      <c r="GS39" s="176"/>
      <c r="GT39" s="176"/>
      <c r="GU39" s="176"/>
      <c r="GV39" s="81"/>
      <c r="GW39" s="177">
        <v>1.0</v>
      </c>
      <c r="GX39" s="178" t="s">
        <v>71</v>
      </c>
      <c r="GY39" s="179"/>
      <c r="GZ39" s="180">
        <f t="shared" ref="GZ39:GZ44" si="195">1.16180660667508/100</f>
        <v>0.01161806607</v>
      </c>
      <c r="HA39" s="179">
        <f t="shared" ref="HA39:HA44" si="196">IFERROR(+GZ39*GY39,"0")</f>
        <v>0</v>
      </c>
      <c r="HB39" s="180">
        <v>0.16716266605705102</v>
      </c>
      <c r="HC39" s="179">
        <f t="shared" ref="HC39:HC44" si="197">IFERROR(+HA39*HB39,"")</f>
        <v>0</v>
      </c>
      <c r="HD39" s="181">
        <f t="shared" ref="HD39:HD44" si="198">IFERROR(+(IF(HA39="","0",HA39))-(IF(HC39="","0",HC39)),"")</f>
        <v>0</v>
      </c>
      <c r="HE39" s="176"/>
      <c r="HF39" s="176"/>
      <c r="HG39" s="176"/>
      <c r="HH39" s="81"/>
      <c r="HI39" s="75"/>
    </row>
    <row r="40" ht="15.75" customHeight="1">
      <c r="A40" s="177">
        <f t="shared" ref="A40:A44" si="199">A39+1</f>
        <v>2</v>
      </c>
      <c r="B40" s="178" t="s">
        <v>72</v>
      </c>
      <c r="C40" s="179"/>
      <c r="D40" s="180">
        <f t="shared" si="127"/>
        <v>0.01161806607</v>
      </c>
      <c r="E40" s="179">
        <f t="shared" si="128"/>
        <v>0</v>
      </c>
      <c r="F40" s="180">
        <v>0.16716266605705102</v>
      </c>
      <c r="G40" s="179">
        <f t="shared" si="129"/>
        <v>0</v>
      </c>
      <c r="H40" s="181">
        <f t="shared" si="130"/>
        <v>0</v>
      </c>
      <c r="I40" s="176"/>
      <c r="J40" s="176"/>
      <c r="K40" s="176"/>
      <c r="L40" s="81"/>
      <c r="M40" s="177">
        <f t="shared" ref="M40:M44" si="200">M39+1</f>
        <v>2</v>
      </c>
      <c r="N40" s="178" t="s">
        <v>72</v>
      </c>
      <c r="O40" s="179"/>
      <c r="P40" s="180">
        <f t="shared" si="131"/>
        <v>0.01161806607</v>
      </c>
      <c r="Q40" s="179">
        <f t="shared" si="132"/>
        <v>0</v>
      </c>
      <c r="R40" s="180">
        <v>0.16716266605705102</v>
      </c>
      <c r="S40" s="179">
        <f t="shared" si="133"/>
        <v>0</v>
      </c>
      <c r="T40" s="181">
        <f t="shared" si="134"/>
        <v>0</v>
      </c>
      <c r="U40" s="176"/>
      <c r="V40" s="176"/>
      <c r="W40" s="176"/>
      <c r="X40" s="81"/>
      <c r="Y40" s="177">
        <f t="shared" ref="Y40:Y44" si="201">Y39+1</f>
        <v>2</v>
      </c>
      <c r="Z40" s="178" t="s">
        <v>72</v>
      </c>
      <c r="AA40" s="179"/>
      <c r="AB40" s="180">
        <f t="shared" si="135"/>
        <v>0.01161806607</v>
      </c>
      <c r="AC40" s="179">
        <f t="shared" si="136"/>
        <v>0</v>
      </c>
      <c r="AD40" s="180">
        <v>0.16716266605705102</v>
      </c>
      <c r="AE40" s="179">
        <f t="shared" si="137"/>
        <v>0</v>
      </c>
      <c r="AF40" s="181">
        <f t="shared" si="138"/>
        <v>0</v>
      </c>
      <c r="AG40" s="176"/>
      <c r="AH40" s="176"/>
      <c r="AI40" s="176"/>
      <c r="AJ40" s="81"/>
      <c r="AK40" s="177">
        <f t="shared" ref="AK40:AK44" si="202">AK39+1</f>
        <v>2</v>
      </c>
      <c r="AL40" s="178" t="s">
        <v>72</v>
      </c>
      <c r="AM40" s="179"/>
      <c r="AN40" s="180">
        <f t="shared" si="139"/>
        <v>0.01161806607</v>
      </c>
      <c r="AO40" s="179">
        <f t="shared" si="140"/>
        <v>0</v>
      </c>
      <c r="AP40" s="180">
        <v>0.16716266605705102</v>
      </c>
      <c r="AQ40" s="179">
        <f t="shared" si="141"/>
        <v>0</v>
      </c>
      <c r="AR40" s="181">
        <f t="shared" si="142"/>
        <v>0</v>
      </c>
      <c r="AS40" s="176"/>
      <c r="AT40" s="176"/>
      <c r="AU40" s="176"/>
      <c r="AV40" s="81"/>
      <c r="AW40" s="177">
        <f t="shared" ref="AW40:AW44" si="203">AW39+1</f>
        <v>2</v>
      </c>
      <c r="AX40" s="178" t="s">
        <v>72</v>
      </c>
      <c r="AY40" s="179"/>
      <c r="AZ40" s="180">
        <f t="shared" si="143"/>
        <v>0.01161806607</v>
      </c>
      <c r="BA40" s="179">
        <f t="shared" si="144"/>
        <v>0</v>
      </c>
      <c r="BB40" s="180">
        <v>0.16716266605705102</v>
      </c>
      <c r="BC40" s="179">
        <f t="shared" si="145"/>
        <v>0</v>
      </c>
      <c r="BD40" s="181">
        <f t="shared" si="146"/>
        <v>0</v>
      </c>
      <c r="BE40" s="176"/>
      <c r="BF40" s="176"/>
      <c r="BG40" s="176"/>
      <c r="BH40" s="81"/>
      <c r="BI40" s="177">
        <f t="shared" ref="BI40:BI44" si="204">BI39+1</f>
        <v>2</v>
      </c>
      <c r="BJ40" s="178" t="s">
        <v>72</v>
      </c>
      <c r="BK40" s="179"/>
      <c r="BL40" s="180">
        <f t="shared" si="147"/>
        <v>0.01161806607</v>
      </c>
      <c r="BM40" s="179">
        <f t="shared" si="148"/>
        <v>0</v>
      </c>
      <c r="BN40" s="180">
        <v>0.16716266605705102</v>
      </c>
      <c r="BO40" s="179">
        <f t="shared" si="149"/>
        <v>0</v>
      </c>
      <c r="BP40" s="181">
        <f t="shared" si="150"/>
        <v>0</v>
      </c>
      <c r="BQ40" s="176"/>
      <c r="BR40" s="176"/>
      <c r="BS40" s="176"/>
      <c r="BT40" s="81"/>
      <c r="BU40" s="177">
        <f t="shared" ref="BU40:BU44" si="205">BU39+1</f>
        <v>2</v>
      </c>
      <c r="BV40" s="178" t="s">
        <v>72</v>
      </c>
      <c r="BW40" s="179"/>
      <c r="BX40" s="180">
        <f t="shared" si="151"/>
        <v>0.01161806607</v>
      </c>
      <c r="BY40" s="179">
        <f t="shared" si="152"/>
        <v>0</v>
      </c>
      <c r="BZ40" s="180">
        <v>0.16716266605705102</v>
      </c>
      <c r="CA40" s="179">
        <f t="shared" si="153"/>
        <v>0</v>
      </c>
      <c r="CB40" s="181">
        <f t="shared" si="154"/>
        <v>0</v>
      </c>
      <c r="CC40" s="176"/>
      <c r="CD40" s="176"/>
      <c r="CE40" s="176"/>
      <c r="CF40" s="81"/>
      <c r="CG40" s="177">
        <f t="shared" ref="CG40:CG44" si="206">CG39+1</f>
        <v>2</v>
      </c>
      <c r="CH40" s="178" t="s">
        <v>72</v>
      </c>
      <c r="CI40" s="179"/>
      <c r="CJ40" s="180">
        <f t="shared" si="155"/>
        <v>0.01161806607</v>
      </c>
      <c r="CK40" s="179">
        <f t="shared" si="156"/>
        <v>0</v>
      </c>
      <c r="CL40" s="180">
        <v>0.16716266605705102</v>
      </c>
      <c r="CM40" s="179">
        <f t="shared" si="157"/>
        <v>0</v>
      </c>
      <c r="CN40" s="181">
        <f t="shared" si="158"/>
        <v>0</v>
      </c>
      <c r="CO40" s="176"/>
      <c r="CP40" s="176"/>
      <c r="CQ40" s="176"/>
      <c r="CR40" s="81"/>
      <c r="CS40" s="177">
        <f t="shared" ref="CS40:CS44" si="207">CS39+1</f>
        <v>2</v>
      </c>
      <c r="CT40" s="178" t="s">
        <v>72</v>
      </c>
      <c r="CU40" s="179"/>
      <c r="CV40" s="180">
        <f t="shared" si="159"/>
        <v>0.01161806607</v>
      </c>
      <c r="CW40" s="179">
        <f t="shared" si="160"/>
        <v>0</v>
      </c>
      <c r="CX40" s="180">
        <v>0.16716266605705102</v>
      </c>
      <c r="CY40" s="179">
        <f t="shared" si="161"/>
        <v>0</v>
      </c>
      <c r="CZ40" s="181">
        <f t="shared" si="162"/>
        <v>0</v>
      </c>
      <c r="DA40" s="176"/>
      <c r="DB40" s="176"/>
      <c r="DC40" s="176"/>
      <c r="DD40" s="81"/>
      <c r="DE40" s="177">
        <f t="shared" ref="DE40:DE44" si="208">DE39+1</f>
        <v>2</v>
      </c>
      <c r="DF40" s="178" t="s">
        <v>72</v>
      </c>
      <c r="DG40" s="179">
        <f>'Hitung Output'!BG30</f>
        <v>96455.92161</v>
      </c>
      <c r="DH40" s="180">
        <f t="shared" si="163"/>
        <v>0.01161806607</v>
      </c>
      <c r="DI40" s="183">
        <f t="shared" si="164"/>
        <v>1120.63127</v>
      </c>
      <c r="DJ40" s="180">
        <v>0.16716266605705102</v>
      </c>
      <c r="DK40" s="179">
        <f t="shared" si="165"/>
        <v>187.3277107</v>
      </c>
      <c r="DL40" s="181">
        <f t="shared" si="166"/>
        <v>933.303559</v>
      </c>
      <c r="DM40" s="176"/>
      <c r="DN40" s="176"/>
      <c r="DO40" s="176"/>
      <c r="DP40" s="81"/>
      <c r="DQ40" s="177">
        <f t="shared" ref="DQ40:DQ44" si="209">DQ39+1</f>
        <v>2</v>
      </c>
      <c r="DR40" s="178" t="s">
        <v>72</v>
      </c>
      <c r="DS40" s="180">
        <f>'Hitung Output'!BL30</f>
        <v>95966.67036</v>
      </c>
      <c r="DT40" s="180">
        <f t="shared" si="167"/>
        <v>0.01161806607</v>
      </c>
      <c r="DU40" s="390">
        <f t="shared" si="168"/>
        <v>1114.947116</v>
      </c>
      <c r="DV40" s="180">
        <v>0.16716266605705102</v>
      </c>
      <c r="DW40" s="179">
        <f t="shared" si="169"/>
        <v>186.3775325</v>
      </c>
      <c r="DX40" s="181">
        <f t="shared" si="170"/>
        <v>928.569584</v>
      </c>
      <c r="DY40" s="176"/>
      <c r="DZ40" s="176"/>
      <c r="EA40" s="176"/>
      <c r="EB40" s="81"/>
      <c r="EC40" s="177">
        <f t="shared" ref="EC40:EC44" si="210">EC39+1</f>
        <v>2</v>
      </c>
      <c r="ED40" s="178" t="s">
        <v>72</v>
      </c>
      <c r="EE40" s="180">
        <f>'Hitung Output'!BQ30</f>
        <v>100344.1969</v>
      </c>
      <c r="EF40" s="180">
        <f t="shared" si="171"/>
        <v>0.01161806607</v>
      </c>
      <c r="EG40" s="391">
        <f t="shared" si="172"/>
        <v>1165.805509</v>
      </c>
      <c r="EH40" s="180">
        <v>0.16716266605705102</v>
      </c>
      <c r="EI40" s="179">
        <f t="shared" si="173"/>
        <v>194.8791569</v>
      </c>
      <c r="EJ40" s="181">
        <f t="shared" si="174"/>
        <v>970.9263516</v>
      </c>
      <c r="EK40" s="176"/>
      <c r="EL40" s="176"/>
      <c r="EM40" s="176"/>
      <c r="EN40" s="81"/>
      <c r="EO40" s="177">
        <f t="shared" ref="EO40:EO44" si="211">EO39+1</f>
        <v>2</v>
      </c>
      <c r="EP40" s="178" t="s">
        <v>72</v>
      </c>
      <c r="EQ40" s="179">
        <f>'Hitung Output'!BV30</f>
        <v>98954.31047</v>
      </c>
      <c r="ER40" s="180">
        <f t="shared" si="175"/>
        <v>0.01161806607</v>
      </c>
      <c r="ES40" s="392">
        <f t="shared" si="176"/>
        <v>1149.657717</v>
      </c>
      <c r="ET40" s="180">
        <v>0.16716266605705102</v>
      </c>
      <c r="EU40" s="179">
        <f t="shared" si="177"/>
        <v>192.179849</v>
      </c>
      <c r="EV40" s="181">
        <f t="shared" si="178"/>
        <v>957.4778677</v>
      </c>
      <c r="EW40" s="176"/>
      <c r="EX40" s="176"/>
      <c r="EY40" s="176"/>
      <c r="EZ40" s="81"/>
      <c r="FA40" s="177">
        <f t="shared" ref="FA40:FA44" si="212">FA39+1</f>
        <v>2</v>
      </c>
      <c r="FB40" s="178" t="s">
        <v>72</v>
      </c>
      <c r="FC40" s="179">
        <f>'Hitung Output'!CA30</f>
        <v>113961.4449</v>
      </c>
      <c r="FD40" s="180">
        <f t="shared" si="179"/>
        <v>0.01161806607</v>
      </c>
      <c r="FE40" s="393">
        <f t="shared" si="180"/>
        <v>1324.011595</v>
      </c>
      <c r="FF40" s="180">
        <v>0.16716266605705102</v>
      </c>
      <c r="FG40" s="179">
        <f t="shared" si="181"/>
        <v>221.3253082</v>
      </c>
      <c r="FH40" s="181">
        <f t="shared" si="182"/>
        <v>1102.686287</v>
      </c>
      <c r="FI40" s="176"/>
      <c r="FJ40" s="176"/>
      <c r="FK40" s="176"/>
      <c r="FL40" s="81"/>
      <c r="FM40" s="177">
        <f t="shared" ref="FM40:FM44" si="213">FM39+1</f>
        <v>2</v>
      </c>
      <c r="FN40" s="178" t="s">
        <v>72</v>
      </c>
      <c r="FO40" s="179">
        <f>'Hitung Output'!CF30</f>
        <v>128570.345</v>
      </c>
      <c r="FP40" s="180">
        <f t="shared" si="183"/>
        <v>0.01161806607</v>
      </c>
      <c r="FQ40" s="393">
        <f t="shared" si="184"/>
        <v>1493.738762</v>
      </c>
      <c r="FR40" s="180">
        <v>0.16716266605705102</v>
      </c>
      <c r="FS40" s="179">
        <f t="shared" si="185"/>
        <v>249.6973539</v>
      </c>
      <c r="FT40" s="181">
        <f t="shared" si="186"/>
        <v>1244.041409</v>
      </c>
      <c r="FU40" s="176"/>
      <c r="FV40" s="176"/>
      <c r="FW40" s="176"/>
      <c r="FX40" s="81"/>
      <c r="FY40" s="177">
        <f t="shared" ref="FY40:FY44" si="214">FY39+1</f>
        <v>2</v>
      </c>
      <c r="FZ40" s="178" t="s">
        <v>72</v>
      </c>
      <c r="GA40" s="179">
        <f>'Hitung Output'!CK30</f>
        <v>122966.6722</v>
      </c>
      <c r="GB40" s="180">
        <f t="shared" si="187"/>
        <v>0.01161806607</v>
      </c>
      <c r="GC40" s="179">
        <f t="shared" si="188"/>
        <v>1428.634922</v>
      </c>
      <c r="GD40" s="180">
        <v>0.16716266605705102</v>
      </c>
      <c r="GE40" s="179">
        <f t="shared" si="189"/>
        <v>238.8144224</v>
      </c>
      <c r="GF40" s="181">
        <f t="shared" si="190"/>
        <v>1189.8205</v>
      </c>
      <c r="GG40" s="176"/>
      <c r="GH40" s="176"/>
      <c r="GI40" s="176"/>
      <c r="GJ40" s="81"/>
      <c r="GK40" s="177">
        <f t="shared" ref="GK40:GK44" si="215">GK39+1</f>
        <v>2</v>
      </c>
      <c r="GL40" s="178" t="s">
        <v>72</v>
      </c>
      <c r="GM40" s="179">
        <f>'Hitung Output'!CP30</f>
        <v>140656.0199</v>
      </c>
      <c r="GN40" s="180">
        <f t="shared" si="191"/>
        <v>0.01161806607</v>
      </c>
      <c r="GO40" s="179">
        <f t="shared" si="192"/>
        <v>1634.150932</v>
      </c>
      <c r="GP40" s="180">
        <v>0.16716266605705102</v>
      </c>
      <c r="GQ40" s="179">
        <f t="shared" si="193"/>
        <v>273.1690265</v>
      </c>
      <c r="GR40" s="181">
        <f t="shared" si="194"/>
        <v>1360.981905</v>
      </c>
      <c r="GS40" s="176"/>
      <c r="GT40" s="176"/>
      <c r="GU40" s="176"/>
      <c r="GV40" s="81"/>
      <c r="GW40" s="177">
        <f t="shared" ref="GW40:GW44" si="216">GW39+1</f>
        <v>2</v>
      </c>
      <c r="GX40" s="178" t="s">
        <v>72</v>
      </c>
      <c r="GY40" s="179"/>
      <c r="GZ40" s="180">
        <f t="shared" si="195"/>
        <v>0.01161806607</v>
      </c>
      <c r="HA40" s="179">
        <f t="shared" si="196"/>
        <v>0</v>
      </c>
      <c r="HB40" s="180">
        <v>0.16716266605705102</v>
      </c>
      <c r="HC40" s="179">
        <f t="shared" si="197"/>
        <v>0</v>
      </c>
      <c r="HD40" s="181">
        <f t="shared" si="198"/>
        <v>0</v>
      </c>
      <c r="HE40" s="176"/>
      <c r="HF40" s="176"/>
      <c r="HG40" s="176"/>
      <c r="HH40" s="81"/>
      <c r="HI40" s="75"/>
    </row>
    <row r="41" ht="15.75" customHeight="1">
      <c r="A41" s="177">
        <f t="shared" si="199"/>
        <v>3</v>
      </c>
      <c r="B41" s="178" t="s">
        <v>73</v>
      </c>
      <c r="C41" s="179"/>
      <c r="D41" s="180">
        <f t="shared" si="127"/>
        <v>0.01161806607</v>
      </c>
      <c r="E41" s="179">
        <f t="shared" si="128"/>
        <v>0</v>
      </c>
      <c r="F41" s="180">
        <v>0.16716266605705102</v>
      </c>
      <c r="G41" s="179">
        <f t="shared" si="129"/>
        <v>0</v>
      </c>
      <c r="H41" s="181">
        <f t="shared" si="130"/>
        <v>0</v>
      </c>
      <c r="I41" s="176"/>
      <c r="J41" s="176"/>
      <c r="K41" s="176"/>
      <c r="L41" s="81"/>
      <c r="M41" s="177">
        <f t="shared" si="200"/>
        <v>3</v>
      </c>
      <c r="N41" s="178" t="s">
        <v>73</v>
      </c>
      <c r="O41" s="179"/>
      <c r="P41" s="180">
        <f t="shared" si="131"/>
        <v>0.01161806607</v>
      </c>
      <c r="Q41" s="179">
        <f t="shared" si="132"/>
        <v>0</v>
      </c>
      <c r="R41" s="180">
        <v>0.16716266605705102</v>
      </c>
      <c r="S41" s="179">
        <f t="shared" si="133"/>
        <v>0</v>
      </c>
      <c r="T41" s="181">
        <f t="shared" si="134"/>
        <v>0</v>
      </c>
      <c r="U41" s="176"/>
      <c r="V41" s="176"/>
      <c r="W41" s="176"/>
      <c r="X41" s="81"/>
      <c r="Y41" s="177">
        <f t="shared" si="201"/>
        <v>3</v>
      </c>
      <c r="Z41" s="178" t="s">
        <v>73</v>
      </c>
      <c r="AA41" s="179"/>
      <c r="AB41" s="180">
        <f t="shared" si="135"/>
        <v>0.01161806607</v>
      </c>
      <c r="AC41" s="179">
        <f t="shared" si="136"/>
        <v>0</v>
      </c>
      <c r="AD41" s="180">
        <v>0.16716266605705102</v>
      </c>
      <c r="AE41" s="179">
        <f t="shared" si="137"/>
        <v>0</v>
      </c>
      <c r="AF41" s="181">
        <f t="shared" si="138"/>
        <v>0</v>
      </c>
      <c r="AG41" s="176"/>
      <c r="AH41" s="176"/>
      <c r="AI41" s="176"/>
      <c r="AJ41" s="81"/>
      <c r="AK41" s="177">
        <f t="shared" si="202"/>
        <v>3</v>
      </c>
      <c r="AL41" s="178" t="s">
        <v>73</v>
      </c>
      <c r="AM41" s="179"/>
      <c r="AN41" s="180">
        <f t="shared" si="139"/>
        <v>0.01161806607</v>
      </c>
      <c r="AO41" s="179">
        <f t="shared" si="140"/>
        <v>0</v>
      </c>
      <c r="AP41" s="180">
        <v>0.16716266605705102</v>
      </c>
      <c r="AQ41" s="179">
        <f t="shared" si="141"/>
        <v>0</v>
      </c>
      <c r="AR41" s="181">
        <f t="shared" si="142"/>
        <v>0</v>
      </c>
      <c r="AS41" s="176"/>
      <c r="AT41" s="176"/>
      <c r="AU41" s="176"/>
      <c r="AV41" s="81"/>
      <c r="AW41" s="177">
        <f t="shared" si="203"/>
        <v>3</v>
      </c>
      <c r="AX41" s="178" t="s">
        <v>73</v>
      </c>
      <c r="AY41" s="179"/>
      <c r="AZ41" s="180">
        <f t="shared" si="143"/>
        <v>0.01161806607</v>
      </c>
      <c r="BA41" s="179">
        <f t="shared" si="144"/>
        <v>0</v>
      </c>
      <c r="BB41" s="180">
        <v>0.16716266605705102</v>
      </c>
      <c r="BC41" s="179">
        <f t="shared" si="145"/>
        <v>0</v>
      </c>
      <c r="BD41" s="181">
        <f t="shared" si="146"/>
        <v>0</v>
      </c>
      <c r="BE41" s="176"/>
      <c r="BF41" s="176"/>
      <c r="BG41" s="176"/>
      <c r="BH41" s="81"/>
      <c r="BI41" s="177">
        <f t="shared" si="204"/>
        <v>3</v>
      </c>
      <c r="BJ41" s="178" t="s">
        <v>73</v>
      </c>
      <c r="BK41" s="179"/>
      <c r="BL41" s="180">
        <f t="shared" si="147"/>
        <v>0.01161806607</v>
      </c>
      <c r="BM41" s="179">
        <f t="shared" si="148"/>
        <v>0</v>
      </c>
      <c r="BN41" s="180">
        <v>0.16716266605705102</v>
      </c>
      <c r="BO41" s="179">
        <f t="shared" si="149"/>
        <v>0</v>
      </c>
      <c r="BP41" s="181">
        <f t="shared" si="150"/>
        <v>0</v>
      </c>
      <c r="BQ41" s="176"/>
      <c r="BR41" s="176"/>
      <c r="BS41" s="176"/>
      <c r="BT41" s="81"/>
      <c r="BU41" s="177">
        <f t="shared" si="205"/>
        <v>3</v>
      </c>
      <c r="BV41" s="178" t="s">
        <v>73</v>
      </c>
      <c r="BW41" s="179"/>
      <c r="BX41" s="180">
        <f t="shared" si="151"/>
        <v>0.01161806607</v>
      </c>
      <c r="BY41" s="179">
        <f t="shared" si="152"/>
        <v>0</v>
      </c>
      <c r="BZ41" s="180">
        <v>0.16716266605705102</v>
      </c>
      <c r="CA41" s="179">
        <f t="shared" si="153"/>
        <v>0</v>
      </c>
      <c r="CB41" s="181">
        <f t="shared" si="154"/>
        <v>0</v>
      </c>
      <c r="CC41" s="176"/>
      <c r="CD41" s="176"/>
      <c r="CE41" s="176"/>
      <c r="CF41" s="81"/>
      <c r="CG41" s="177">
        <f t="shared" si="206"/>
        <v>3</v>
      </c>
      <c r="CH41" s="178" t="s">
        <v>73</v>
      </c>
      <c r="CI41" s="179"/>
      <c r="CJ41" s="180">
        <f t="shared" si="155"/>
        <v>0.01161806607</v>
      </c>
      <c r="CK41" s="179">
        <f t="shared" si="156"/>
        <v>0</v>
      </c>
      <c r="CL41" s="180">
        <v>0.16716266605705102</v>
      </c>
      <c r="CM41" s="179">
        <f t="shared" si="157"/>
        <v>0</v>
      </c>
      <c r="CN41" s="181">
        <f t="shared" si="158"/>
        <v>0</v>
      </c>
      <c r="CO41" s="176"/>
      <c r="CP41" s="176"/>
      <c r="CQ41" s="176"/>
      <c r="CR41" s="81"/>
      <c r="CS41" s="177">
        <f t="shared" si="207"/>
        <v>3</v>
      </c>
      <c r="CT41" s="178" t="s">
        <v>73</v>
      </c>
      <c r="CU41" s="179"/>
      <c r="CV41" s="180">
        <f t="shared" si="159"/>
        <v>0.01161806607</v>
      </c>
      <c r="CW41" s="179">
        <f t="shared" si="160"/>
        <v>0</v>
      </c>
      <c r="CX41" s="180">
        <v>0.16716266605705102</v>
      </c>
      <c r="CY41" s="179">
        <f t="shared" si="161"/>
        <v>0</v>
      </c>
      <c r="CZ41" s="181">
        <f t="shared" si="162"/>
        <v>0</v>
      </c>
      <c r="DA41" s="176"/>
      <c r="DB41" s="176"/>
      <c r="DC41" s="176"/>
      <c r="DD41" s="81"/>
      <c r="DE41" s="177">
        <f t="shared" si="208"/>
        <v>3</v>
      </c>
      <c r="DF41" s="178" t="s">
        <v>73</v>
      </c>
      <c r="DG41" s="179">
        <f>'Hitung Output'!BG31</f>
        <v>26963.07504</v>
      </c>
      <c r="DH41" s="180">
        <f t="shared" si="163"/>
        <v>0.01161806607</v>
      </c>
      <c r="DI41" s="183">
        <f t="shared" si="164"/>
        <v>313.2587872</v>
      </c>
      <c r="DJ41" s="180">
        <v>0.16716266605705102</v>
      </c>
      <c r="DK41" s="179">
        <f t="shared" si="165"/>
        <v>52.36517403</v>
      </c>
      <c r="DL41" s="181">
        <f t="shared" si="166"/>
        <v>260.8936131</v>
      </c>
      <c r="DM41" s="176"/>
      <c r="DN41" s="176"/>
      <c r="DO41" s="176"/>
      <c r="DP41" s="81"/>
      <c r="DQ41" s="177">
        <f t="shared" si="209"/>
        <v>3</v>
      </c>
      <c r="DR41" s="178" t="s">
        <v>73</v>
      </c>
      <c r="DS41" s="180">
        <f>'Hitung Output'!BL31</f>
        <v>30270.36718</v>
      </c>
      <c r="DT41" s="180">
        <f t="shared" si="167"/>
        <v>0.01161806607</v>
      </c>
      <c r="DU41" s="390">
        <f t="shared" si="168"/>
        <v>351.6831258</v>
      </c>
      <c r="DV41" s="180">
        <v>0.16716266605705102</v>
      </c>
      <c r="DW41" s="179">
        <f t="shared" si="169"/>
        <v>58.78828891</v>
      </c>
      <c r="DX41" s="181">
        <f t="shared" si="170"/>
        <v>292.8948369</v>
      </c>
      <c r="DY41" s="176"/>
      <c r="DZ41" s="176"/>
      <c r="EA41" s="176"/>
      <c r="EB41" s="81"/>
      <c r="EC41" s="177">
        <f t="shared" si="210"/>
        <v>3</v>
      </c>
      <c r="ED41" s="178" t="s">
        <v>73</v>
      </c>
      <c r="EE41" s="180">
        <f>'Hitung Output'!BQ31</f>
        <v>27961.45185</v>
      </c>
      <c r="EF41" s="180">
        <f t="shared" si="171"/>
        <v>0.01161806607</v>
      </c>
      <c r="EG41" s="391">
        <f t="shared" si="172"/>
        <v>324.8579949</v>
      </c>
      <c r="EH41" s="180">
        <v>0.16716266605705102</v>
      </c>
      <c r="EI41" s="179">
        <f t="shared" si="173"/>
        <v>54.30412852</v>
      </c>
      <c r="EJ41" s="181">
        <f t="shared" si="174"/>
        <v>270.5538664</v>
      </c>
      <c r="EK41" s="176"/>
      <c r="EL41" s="176"/>
      <c r="EM41" s="176"/>
      <c r="EN41" s="81"/>
      <c r="EO41" s="177">
        <f t="shared" si="211"/>
        <v>3</v>
      </c>
      <c r="EP41" s="178" t="s">
        <v>73</v>
      </c>
      <c r="EQ41" s="179">
        <f>'Hitung Output'!BV31</f>
        <v>36930.88028</v>
      </c>
      <c r="ER41" s="180">
        <f t="shared" si="175"/>
        <v>0.01161806607</v>
      </c>
      <c r="ES41" s="392">
        <f t="shared" si="176"/>
        <v>429.065407</v>
      </c>
      <c r="ET41" s="180">
        <v>0.16716266605705102</v>
      </c>
      <c r="EU41" s="179">
        <f t="shared" si="177"/>
        <v>71.72371735</v>
      </c>
      <c r="EV41" s="181">
        <f t="shared" si="178"/>
        <v>357.3416897</v>
      </c>
      <c r="EW41" s="176"/>
      <c r="EX41" s="176"/>
      <c r="EY41" s="176"/>
      <c r="EZ41" s="81"/>
      <c r="FA41" s="177">
        <f t="shared" si="212"/>
        <v>3</v>
      </c>
      <c r="FB41" s="178" t="s">
        <v>73</v>
      </c>
      <c r="FC41" s="179">
        <f>'Hitung Output'!CA31</f>
        <v>29450.84326</v>
      </c>
      <c r="FD41" s="180">
        <f t="shared" si="179"/>
        <v>0.01161806607</v>
      </c>
      <c r="FE41" s="393">
        <f t="shared" si="180"/>
        <v>342.1618428</v>
      </c>
      <c r="FF41" s="180">
        <v>0.16716266605705102</v>
      </c>
      <c r="FG41" s="179">
        <f t="shared" si="181"/>
        <v>57.19668586</v>
      </c>
      <c r="FH41" s="181">
        <f t="shared" si="182"/>
        <v>284.9651569</v>
      </c>
      <c r="FI41" s="176"/>
      <c r="FJ41" s="176"/>
      <c r="FK41" s="176"/>
      <c r="FL41" s="81"/>
      <c r="FM41" s="177">
        <f t="shared" si="213"/>
        <v>3</v>
      </c>
      <c r="FN41" s="178" t="s">
        <v>73</v>
      </c>
      <c r="FO41" s="179">
        <f>'Hitung Output'!CF31</f>
        <v>33932.16753</v>
      </c>
      <c r="FP41" s="180">
        <f t="shared" si="183"/>
        <v>0.01161806607</v>
      </c>
      <c r="FQ41" s="393">
        <f t="shared" si="184"/>
        <v>394.2261642</v>
      </c>
      <c r="FR41" s="180">
        <v>0.16716266605705102</v>
      </c>
      <c r="FS41" s="179">
        <f t="shared" si="185"/>
        <v>65.89989664</v>
      </c>
      <c r="FT41" s="181">
        <f t="shared" si="186"/>
        <v>328.3262676</v>
      </c>
      <c r="FU41" s="176"/>
      <c r="FV41" s="176"/>
      <c r="FW41" s="176"/>
      <c r="FX41" s="81"/>
      <c r="FY41" s="177">
        <f t="shared" si="214"/>
        <v>3</v>
      </c>
      <c r="FZ41" s="178" t="s">
        <v>73</v>
      </c>
      <c r="GA41" s="179">
        <f>'Hitung Output'!CK31</f>
        <v>117681.1428</v>
      </c>
      <c r="GB41" s="180">
        <f t="shared" si="187"/>
        <v>0.01161806607</v>
      </c>
      <c r="GC41" s="179">
        <f t="shared" si="188"/>
        <v>1367.227292</v>
      </c>
      <c r="GD41" s="180">
        <v>0.16716266605705102</v>
      </c>
      <c r="GE41" s="179">
        <f t="shared" si="189"/>
        <v>228.5493593</v>
      </c>
      <c r="GF41" s="181">
        <f t="shared" si="190"/>
        <v>1138.677933</v>
      </c>
      <c r="GG41" s="176"/>
      <c r="GH41" s="176"/>
      <c r="GI41" s="176"/>
      <c r="GJ41" s="81"/>
      <c r="GK41" s="177">
        <f t="shared" si="215"/>
        <v>3</v>
      </c>
      <c r="GL41" s="178" t="s">
        <v>73</v>
      </c>
      <c r="GM41" s="179">
        <f>'Hitung Output'!CP31</f>
        <v>100603.661</v>
      </c>
      <c r="GN41" s="180">
        <f t="shared" si="191"/>
        <v>0.01161806607</v>
      </c>
      <c r="GO41" s="179">
        <f t="shared" si="192"/>
        <v>1168.81998</v>
      </c>
      <c r="GP41" s="180">
        <v>0.16716266605705102</v>
      </c>
      <c r="GQ41" s="179">
        <f t="shared" si="193"/>
        <v>195.3830639</v>
      </c>
      <c r="GR41" s="181">
        <f t="shared" si="194"/>
        <v>973.4369157</v>
      </c>
      <c r="GS41" s="176"/>
      <c r="GT41" s="176"/>
      <c r="GU41" s="176"/>
      <c r="GV41" s="81"/>
      <c r="GW41" s="177">
        <f t="shared" si="216"/>
        <v>3</v>
      </c>
      <c r="GX41" s="178" t="s">
        <v>73</v>
      </c>
      <c r="GY41" s="179"/>
      <c r="GZ41" s="180">
        <f t="shared" si="195"/>
        <v>0.01161806607</v>
      </c>
      <c r="HA41" s="179">
        <f t="shared" si="196"/>
        <v>0</v>
      </c>
      <c r="HB41" s="180">
        <v>0.16716266605705102</v>
      </c>
      <c r="HC41" s="179">
        <f t="shared" si="197"/>
        <v>0</v>
      </c>
      <c r="HD41" s="181">
        <f t="shared" si="198"/>
        <v>0</v>
      </c>
      <c r="HE41" s="176"/>
      <c r="HF41" s="176"/>
      <c r="HG41" s="176"/>
      <c r="HH41" s="81"/>
      <c r="HI41" s="75"/>
    </row>
    <row r="42" ht="15.75" customHeight="1">
      <c r="A42" s="177">
        <f t="shared" si="199"/>
        <v>4</v>
      </c>
      <c r="B42" s="178" t="s">
        <v>74</v>
      </c>
      <c r="C42" s="179"/>
      <c r="D42" s="180">
        <f t="shared" si="127"/>
        <v>0.01161806607</v>
      </c>
      <c r="E42" s="179">
        <f t="shared" si="128"/>
        <v>0</v>
      </c>
      <c r="F42" s="180">
        <v>0.16716266605705102</v>
      </c>
      <c r="G42" s="179">
        <f t="shared" si="129"/>
        <v>0</v>
      </c>
      <c r="H42" s="181">
        <f t="shared" si="130"/>
        <v>0</v>
      </c>
      <c r="I42" s="176"/>
      <c r="J42" s="176"/>
      <c r="K42" s="176"/>
      <c r="L42" s="81"/>
      <c r="M42" s="177">
        <f t="shared" si="200"/>
        <v>4</v>
      </c>
      <c r="N42" s="178" t="s">
        <v>74</v>
      </c>
      <c r="O42" s="179"/>
      <c r="P42" s="180">
        <f t="shared" si="131"/>
        <v>0.01161806607</v>
      </c>
      <c r="Q42" s="179">
        <f t="shared" si="132"/>
        <v>0</v>
      </c>
      <c r="R42" s="180">
        <v>0.16716266605705102</v>
      </c>
      <c r="S42" s="179">
        <f t="shared" si="133"/>
        <v>0</v>
      </c>
      <c r="T42" s="181">
        <f t="shared" si="134"/>
        <v>0</v>
      </c>
      <c r="U42" s="176"/>
      <c r="V42" s="176"/>
      <c r="W42" s="176"/>
      <c r="X42" s="81"/>
      <c r="Y42" s="177">
        <f t="shared" si="201"/>
        <v>4</v>
      </c>
      <c r="Z42" s="178" t="s">
        <v>74</v>
      </c>
      <c r="AA42" s="179"/>
      <c r="AB42" s="180">
        <f t="shared" si="135"/>
        <v>0.01161806607</v>
      </c>
      <c r="AC42" s="179">
        <f t="shared" si="136"/>
        <v>0</v>
      </c>
      <c r="AD42" s="180">
        <v>0.16716266605705102</v>
      </c>
      <c r="AE42" s="179">
        <f t="shared" si="137"/>
        <v>0</v>
      </c>
      <c r="AF42" s="181">
        <f t="shared" si="138"/>
        <v>0</v>
      </c>
      <c r="AG42" s="176"/>
      <c r="AH42" s="176"/>
      <c r="AI42" s="176"/>
      <c r="AJ42" s="81"/>
      <c r="AK42" s="177">
        <f t="shared" si="202"/>
        <v>4</v>
      </c>
      <c r="AL42" s="178" t="s">
        <v>74</v>
      </c>
      <c r="AM42" s="179"/>
      <c r="AN42" s="180">
        <f t="shared" si="139"/>
        <v>0.01161806607</v>
      </c>
      <c r="AO42" s="179">
        <f t="shared" si="140"/>
        <v>0</v>
      </c>
      <c r="AP42" s="180">
        <v>0.16716266605705102</v>
      </c>
      <c r="AQ42" s="179">
        <f t="shared" si="141"/>
        <v>0</v>
      </c>
      <c r="AR42" s="181">
        <f t="shared" si="142"/>
        <v>0</v>
      </c>
      <c r="AS42" s="176"/>
      <c r="AT42" s="176"/>
      <c r="AU42" s="176"/>
      <c r="AV42" s="81"/>
      <c r="AW42" s="177">
        <f t="shared" si="203"/>
        <v>4</v>
      </c>
      <c r="AX42" s="178" t="s">
        <v>74</v>
      </c>
      <c r="AY42" s="179"/>
      <c r="AZ42" s="180">
        <f t="shared" si="143"/>
        <v>0.01161806607</v>
      </c>
      <c r="BA42" s="179">
        <f t="shared" si="144"/>
        <v>0</v>
      </c>
      <c r="BB42" s="180">
        <v>0.16716266605705102</v>
      </c>
      <c r="BC42" s="179">
        <f t="shared" si="145"/>
        <v>0</v>
      </c>
      <c r="BD42" s="181">
        <f t="shared" si="146"/>
        <v>0</v>
      </c>
      <c r="BE42" s="176"/>
      <c r="BF42" s="176"/>
      <c r="BG42" s="176"/>
      <c r="BH42" s="81"/>
      <c r="BI42" s="177">
        <f t="shared" si="204"/>
        <v>4</v>
      </c>
      <c r="BJ42" s="178" t="s">
        <v>74</v>
      </c>
      <c r="BK42" s="179"/>
      <c r="BL42" s="180">
        <f t="shared" si="147"/>
        <v>0.01161806607</v>
      </c>
      <c r="BM42" s="179">
        <f t="shared" si="148"/>
        <v>0</v>
      </c>
      <c r="BN42" s="180">
        <v>0.16716266605705102</v>
      </c>
      <c r="BO42" s="179">
        <f t="shared" si="149"/>
        <v>0</v>
      </c>
      <c r="BP42" s="181">
        <f t="shared" si="150"/>
        <v>0</v>
      </c>
      <c r="BQ42" s="176"/>
      <c r="BR42" s="176"/>
      <c r="BS42" s="176"/>
      <c r="BT42" s="81"/>
      <c r="BU42" s="177">
        <f t="shared" si="205"/>
        <v>4</v>
      </c>
      <c r="BV42" s="178" t="s">
        <v>74</v>
      </c>
      <c r="BW42" s="179"/>
      <c r="BX42" s="180">
        <f t="shared" si="151"/>
        <v>0.01161806607</v>
      </c>
      <c r="BY42" s="179">
        <f t="shared" si="152"/>
        <v>0</v>
      </c>
      <c r="BZ42" s="180">
        <v>0.16716266605705102</v>
      </c>
      <c r="CA42" s="179">
        <f t="shared" si="153"/>
        <v>0</v>
      </c>
      <c r="CB42" s="181">
        <f t="shared" si="154"/>
        <v>0</v>
      </c>
      <c r="CC42" s="176"/>
      <c r="CD42" s="176"/>
      <c r="CE42" s="176"/>
      <c r="CF42" s="81"/>
      <c r="CG42" s="177">
        <f t="shared" si="206"/>
        <v>4</v>
      </c>
      <c r="CH42" s="178" t="s">
        <v>74</v>
      </c>
      <c r="CI42" s="179"/>
      <c r="CJ42" s="180">
        <f t="shared" si="155"/>
        <v>0.01161806607</v>
      </c>
      <c r="CK42" s="179">
        <f t="shared" si="156"/>
        <v>0</v>
      </c>
      <c r="CL42" s="180">
        <v>0.16716266605705102</v>
      </c>
      <c r="CM42" s="179">
        <f t="shared" si="157"/>
        <v>0</v>
      </c>
      <c r="CN42" s="181">
        <f t="shared" si="158"/>
        <v>0</v>
      </c>
      <c r="CO42" s="176"/>
      <c r="CP42" s="176"/>
      <c r="CQ42" s="176"/>
      <c r="CR42" s="81"/>
      <c r="CS42" s="177">
        <f t="shared" si="207"/>
        <v>4</v>
      </c>
      <c r="CT42" s="178" t="s">
        <v>74</v>
      </c>
      <c r="CU42" s="179"/>
      <c r="CV42" s="180">
        <f t="shared" si="159"/>
        <v>0.01161806607</v>
      </c>
      <c r="CW42" s="179">
        <f t="shared" si="160"/>
        <v>0</v>
      </c>
      <c r="CX42" s="180">
        <v>0.16716266605705102</v>
      </c>
      <c r="CY42" s="179">
        <f t="shared" si="161"/>
        <v>0</v>
      </c>
      <c r="CZ42" s="181">
        <f t="shared" si="162"/>
        <v>0</v>
      </c>
      <c r="DA42" s="176"/>
      <c r="DB42" s="176"/>
      <c r="DC42" s="176"/>
      <c r="DD42" s="81"/>
      <c r="DE42" s="177">
        <f t="shared" si="208"/>
        <v>4</v>
      </c>
      <c r="DF42" s="178" t="s">
        <v>74</v>
      </c>
      <c r="DG42" s="179">
        <f>'Hitung Output'!BG32</f>
        <v>227303.9774</v>
      </c>
      <c r="DH42" s="180">
        <f t="shared" si="163"/>
        <v>0.01161806607</v>
      </c>
      <c r="DI42" s="183">
        <f t="shared" si="164"/>
        <v>2640.832627</v>
      </c>
      <c r="DJ42" s="180">
        <v>0.16716266605705102</v>
      </c>
      <c r="DK42" s="179">
        <f t="shared" si="165"/>
        <v>441.4486225</v>
      </c>
      <c r="DL42" s="181">
        <f t="shared" si="166"/>
        <v>2199.384004</v>
      </c>
      <c r="DM42" s="176"/>
      <c r="DN42" s="176"/>
      <c r="DO42" s="176"/>
      <c r="DP42" s="81"/>
      <c r="DQ42" s="177">
        <f t="shared" si="209"/>
        <v>4</v>
      </c>
      <c r="DR42" s="178" t="s">
        <v>74</v>
      </c>
      <c r="DS42" s="180">
        <f>'Hitung Output'!BL32</f>
        <v>239171.2172</v>
      </c>
      <c r="DT42" s="180">
        <f t="shared" si="167"/>
        <v>0.01161806607</v>
      </c>
      <c r="DU42" s="390">
        <f t="shared" si="168"/>
        <v>2778.707003</v>
      </c>
      <c r="DV42" s="180">
        <v>0.16716266605705102</v>
      </c>
      <c r="DW42" s="179">
        <f t="shared" si="169"/>
        <v>464.4960708</v>
      </c>
      <c r="DX42" s="181">
        <f t="shared" si="170"/>
        <v>2314.210932</v>
      </c>
      <c r="DY42" s="176"/>
      <c r="DZ42" s="176"/>
      <c r="EA42" s="176"/>
      <c r="EB42" s="81"/>
      <c r="EC42" s="177">
        <f t="shared" si="210"/>
        <v>4</v>
      </c>
      <c r="ED42" s="178" t="s">
        <v>74</v>
      </c>
      <c r="EE42" s="180">
        <f>'Hitung Output'!BQ32</f>
        <v>243230.9432</v>
      </c>
      <c r="EF42" s="180">
        <f t="shared" si="171"/>
        <v>0.01161806607</v>
      </c>
      <c r="EG42" s="391">
        <f t="shared" si="172"/>
        <v>2825.873168</v>
      </c>
      <c r="EH42" s="180">
        <v>0.16716266605705102</v>
      </c>
      <c r="EI42" s="179">
        <f t="shared" si="173"/>
        <v>472.3804927</v>
      </c>
      <c r="EJ42" s="181">
        <f t="shared" si="174"/>
        <v>2353.492675</v>
      </c>
      <c r="EK42" s="176"/>
      <c r="EL42" s="176"/>
      <c r="EM42" s="176"/>
      <c r="EN42" s="81"/>
      <c r="EO42" s="177">
        <f t="shared" si="211"/>
        <v>4</v>
      </c>
      <c r="EP42" s="178" t="s">
        <v>74</v>
      </c>
      <c r="EQ42" s="179">
        <f>'Hitung Output'!BV32</f>
        <v>249928.0715</v>
      </c>
      <c r="ER42" s="180">
        <f t="shared" si="175"/>
        <v>0.01161806607</v>
      </c>
      <c r="ES42" s="392">
        <f t="shared" si="176"/>
        <v>2903.680847</v>
      </c>
      <c r="ET42" s="180">
        <v>0.16716266605705102</v>
      </c>
      <c r="EU42" s="179">
        <f t="shared" si="177"/>
        <v>485.3870318</v>
      </c>
      <c r="EV42" s="181">
        <f t="shared" si="178"/>
        <v>2418.293815</v>
      </c>
      <c r="EW42" s="176"/>
      <c r="EX42" s="176"/>
      <c r="EY42" s="176"/>
      <c r="EZ42" s="81"/>
      <c r="FA42" s="177">
        <f t="shared" si="212"/>
        <v>4</v>
      </c>
      <c r="FB42" s="178" t="s">
        <v>74</v>
      </c>
      <c r="FC42" s="179">
        <f>'Hitung Output'!CA32</f>
        <v>281387.8626</v>
      </c>
      <c r="FD42" s="180">
        <f t="shared" si="179"/>
        <v>0.01161806607</v>
      </c>
      <c r="FE42" s="393">
        <f t="shared" si="180"/>
        <v>3269.182778</v>
      </c>
      <c r="FF42" s="180">
        <v>0.16716266605705102</v>
      </c>
      <c r="FG42" s="179">
        <f t="shared" si="181"/>
        <v>546.485309</v>
      </c>
      <c r="FH42" s="181">
        <f t="shared" si="182"/>
        <v>2722.697469</v>
      </c>
      <c r="FI42" s="176"/>
      <c r="FJ42" s="176"/>
      <c r="FK42" s="176"/>
      <c r="FL42" s="81"/>
      <c r="FM42" s="177">
        <f t="shared" si="213"/>
        <v>4</v>
      </c>
      <c r="FN42" s="178" t="s">
        <v>74</v>
      </c>
      <c r="FO42" s="179">
        <f>'Hitung Output'!CF32</f>
        <v>312695.0652</v>
      </c>
      <c r="FP42" s="180">
        <f t="shared" si="183"/>
        <v>0.01161806607</v>
      </c>
      <c r="FQ42" s="393">
        <f t="shared" si="184"/>
        <v>3632.911926</v>
      </c>
      <c r="FR42" s="180">
        <v>0.16716266605705102</v>
      </c>
      <c r="FS42" s="179">
        <f t="shared" si="185"/>
        <v>607.2872431</v>
      </c>
      <c r="FT42" s="181">
        <f t="shared" si="186"/>
        <v>3025.624683</v>
      </c>
      <c r="FU42" s="176"/>
      <c r="FV42" s="176"/>
      <c r="FW42" s="176"/>
      <c r="FX42" s="81"/>
      <c r="FY42" s="177">
        <f t="shared" si="214"/>
        <v>4</v>
      </c>
      <c r="FZ42" s="178" t="s">
        <v>74</v>
      </c>
      <c r="GA42" s="179">
        <f>'Hitung Output'!CK32</f>
        <v>302401.199</v>
      </c>
      <c r="GB42" s="180">
        <f t="shared" si="187"/>
        <v>0.01161806607</v>
      </c>
      <c r="GC42" s="179">
        <f t="shared" si="188"/>
        <v>3513.317108</v>
      </c>
      <c r="GD42" s="180">
        <v>0.16716266605705102</v>
      </c>
      <c r="GE42" s="179">
        <f t="shared" si="189"/>
        <v>587.2954545</v>
      </c>
      <c r="GF42" s="181">
        <f t="shared" si="190"/>
        <v>2926.021654</v>
      </c>
      <c r="GG42" s="176"/>
      <c r="GH42" s="176"/>
      <c r="GI42" s="176"/>
      <c r="GJ42" s="81"/>
      <c r="GK42" s="177">
        <f t="shared" si="215"/>
        <v>4</v>
      </c>
      <c r="GL42" s="178" t="s">
        <v>74</v>
      </c>
      <c r="GM42" s="179">
        <f>'Hitung Output'!CP32</f>
        <v>303320.6339</v>
      </c>
      <c r="GN42" s="180">
        <f t="shared" si="191"/>
        <v>0.01161806607</v>
      </c>
      <c r="GO42" s="179">
        <f t="shared" si="192"/>
        <v>3523.999164</v>
      </c>
      <c r="GP42" s="180">
        <v>0.16716266605705102</v>
      </c>
      <c r="GQ42" s="179">
        <f t="shared" si="193"/>
        <v>589.0810954</v>
      </c>
      <c r="GR42" s="181">
        <f t="shared" si="194"/>
        <v>2934.918068</v>
      </c>
      <c r="GS42" s="176"/>
      <c r="GT42" s="176"/>
      <c r="GU42" s="176"/>
      <c r="GV42" s="81"/>
      <c r="GW42" s="177">
        <f t="shared" si="216"/>
        <v>4</v>
      </c>
      <c r="GX42" s="178" t="s">
        <v>74</v>
      </c>
      <c r="GY42" s="179"/>
      <c r="GZ42" s="180">
        <f t="shared" si="195"/>
        <v>0.01161806607</v>
      </c>
      <c r="HA42" s="179">
        <f t="shared" si="196"/>
        <v>0</v>
      </c>
      <c r="HB42" s="180">
        <v>0.16716266605705102</v>
      </c>
      <c r="HC42" s="179">
        <f t="shared" si="197"/>
        <v>0</v>
      </c>
      <c r="HD42" s="181">
        <f t="shared" si="198"/>
        <v>0</v>
      </c>
      <c r="HE42" s="176"/>
      <c r="HF42" s="176"/>
      <c r="HG42" s="176"/>
      <c r="HH42" s="81"/>
      <c r="HI42" s="75"/>
    </row>
    <row r="43" ht="15.75" customHeight="1">
      <c r="A43" s="177">
        <f t="shared" si="199"/>
        <v>5</v>
      </c>
      <c r="B43" s="178" t="s">
        <v>75</v>
      </c>
      <c r="C43" s="179"/>
      <c r="D43" s="180">
        <f t="shared" si="127"/>
        <v>0.01161806607</v>
      </c>
      <c r="E43" s="179">
        <f t="shared" si="128"/>
        <v>0</v>
      </c>
      <c r="F43" s="180">
        <v>0.16716266605705102</v>
      </c>
      <c r="G43" s="179">
        <f t="shared" si="129"/>
        <v>0</v>
      </c>
      <c r="H43" s="181">
        <f t="shared" si="130"/>
        <v>0</v>
      </c>
      <c r="I43" s="176"/>
      <c r="J43" s="176"/>
      <c r="K43" s="176"/>
      <c r="L43" s="81"/>
      <c r="M43" s="177">
        <f t="shared" si="200"/>
        <v>5</v>
      </c>
      <c r="N43" s="178" t="s">
        <v>75</v>
      </c>
      <c r="O43" s="179"/>
      <c r="P43" s="180">
        <f t="shared" si="131"/>
        <v>0.01161806607</v>
      </c>
      <c r="Q43" s="179">
        <f t="shared" si="132"/>
        <v>0</v>
      </c>
      <c r="R43" s="180">
        <v>0.16716266605705102</v>
      </c>
      <c r="S43" s="179">
        <f t="shared" si="133"/>
        <v>0</v>
      </c>
      <c r="T43" s="181">
        <f t="shared" si="134"/>
        <v>0</v>
      </c>
      <c r="U43" s="176"/>
      <c r="V43" s="176"/>
      <c r="W43" s="176"/>
      <c r="X43" s="81"/>
      <c r="Y43" s="177">
        <f t="shared" si="201"/>
        <v>5</v>
      </c>
      <c r="Z43" s="178" t="s">
        <v>75</v>
      </c>
      <c r="AA43" s="179"/>
      <c r="AB43" s="180">
        <f t="shared" si="135"/>
        <v>0.01161806607</v>
      </c>
      <c r="AC43" s="179">
        <f t="shared" si="136"/>
        <v>0</v>
      </c>
      <c r="AD43" s="180">
        <v>0.16716266605705102</v>
      </c>
      <c r="AE43" s="179">
        <f t="shared" si="137"/>
        <v>0</v>
      </c>
      <c r="AF43" s="181">
        <f t="shared" si="138"/>
        <v>0</v>
      </c>
      <c r="AG43" s="176"/>
      <c r="AH43" s="176"/>
      <c r="AI43" s="176"/>
      <c r="AJ43" s="81"/>
      <c r="AK43" s="177">
        <f t="shared" si="202"/>
        <v>5</v>
      </c>
      <c r="AL43" s="178" t="s">
        <v>75</v>
      </c>
      <c r="AM43" s="179"/>
      <c r="AN43" s="180">
        <f t="shared" si="139"/>
        <v>0.01161806607</v>
      </c>
      <c r="AO43" s="179">
        <f t="shared" si="140"/>
        <v>0</v>
      </c>
      <c r="AP43" s="180">
        <v>0.16716266605705102</v>
      </c>
      <c r="AQ43" s="179">
        <f t="shared" si="141"/>
        <v>0</v>
      </c>
      <c r="AR43" s="181">
        <f t="shared" si="142"/>
        <v>0</v>
      </c>
      <c r="AS43" s="176"/>
      <c r="AT43" s="176"/>
      <c r="AU43" s="176"/>
      <c r="AV43" s="81"/>
      <c r="AW43" s="177">
        <f t="shared" si="203"/>
        <v>5</v>
      </c>
      <c r="AX43" s="178" t="s">
        <v>75</v>
      </c>
      <c r="AY43" s="179"/>
      <c r="AZ43" s="180">
        <f t="shared" si="143"/>
        <v>0.01161806607</v>
      </c>
      <c r="BA43" s="179">
        <f t="shared" si="144"/>
        <v>0</v>
      </c>
      <c r="BB43" s="180">
        <v>0.16716266605705102</v>
      </c>
      <c r="BC43" s="179">
        <f t="shared" si="145"/>
        <v>0</v>
      </c>
      <c r="BD43" s="181">
        <f t="shared" si="146"/>
        <v>0</v>
      </c>
      <c r="BE43" s="176"/>
      <c r="BF43" s="176"/>
      <c r="BG43" s="176"/>
      <c r="BH43" s="81"/>
      <c r="BI43" s="177">
        <f t="shared" si="204"/>
        <v>5</v>
      </c>
      <c r="BJ43" s="178" t="s">
        <v>75</v>
      </c>
      <c r="BK43" s="179"/>
      <c r="BL43" s="180">
        <f t="shared" si="147"/>
        <v>0.01161806607</v>
      </c>
      <c r="BM43" s="179">
        <f t="shared" si="148"/>
        <v>0</v>
      </c>
      <c r="BN43" s="180">
        <v>0.16716266605705102</v>
      </c>
      <c r="BO43" s="179">
        <f t="shared" si="149"/>
        <v>0</v>
      </c>
      <c r="BP43" s="181">
        <f t="shared" si="150"/>
        <v>0</v>
      </c>
      <c r="BQ43" s="176"/>
      <c r="BR43" s="176"/>
      <c r="BS43" s="176"/>
      <c r="BT43" s="81"/>
      <c r="BU43" s="177">
        <f t="shared" si="205"/>
        <v>5</v>
      </c>
      <c r="BV43" s="178" t="s">
        <v>75</v>
      </c>
      <c r="BW43" s="179"/>
      <c r="BX43" s="180">
        <f t="shared" si="151"/>
        <v>0.01161806607</v>
      </c>
      <c r="BY43" s="179">
        <f t="shared" si="152"/>
        <v>0</v>
      </c>
      <c r="BZ43" s="180">
        <v>0.16716266605705102</v>
      </c>
      <c r="CA43" s="179">
        <f t="shared" si="153"/>
        <v>0</v>
      </c>
      <c r="CB43" s="181">
        <f t="shared" si="154"/>
        <v>0</v>
      </c>
      <c r="CC43" s="176"/>
      <c r="CD43" s="176"/>
      <c r="CE43" s="176"/>
      <c r="CF43" s="81"/>
      <c r="CG43" s="177">
        <f t="shared" si="206"/>
        <v>5</v>
      </c>
      <c r="CH43" s="178" t="s">
        <v>75</v>
      </c>
      <c r="CI43" s="179"/>
      <c r="CJ43" s="180">
        <f t="shared" si="155"/>
        <v>0.01161806607</v>
      </c>
      <c r="CK43" s="179">
        <f t="shared" si="156"/>
        <v>0</v>
      </c>
      <c r="CL43" s="180">
        <v>0.16716266605705102</v>
      </c>
      <c r="CM43" s="179">
        <f t="shared" si="157"/>
        <v>0</v>
      </c>
      <c r="CN43" s="181">
        <f t="shared" si="158"/>
        <v>0</v>
      </c>
      <c r="CO43" s="176"/>
      <c r="CP43" s="176"/>
      <c r="CQ43" s="176"/>
      <c r="CR43" s="81"/>
      <c r="CS43" s="177">
        <f t="shared" si="207"/>
        <v>5</v>
      </c>
      <c r="CT43" s="178" t="s">
        <v>75</v>
      </c>
      <c r="CU43" s="179"/>
      <c r="CV43" s="180">
        <f t="shared" si="159"/>
        <v>0.01161806607</v>
      </c>
      <c r="CW43" s="179">
        <f t="shared" si="160"/>
        <v>0</v>
      </c>
      <c r="CX43" s="180">
        <v>0.16716266605705102</v>
      </c>
      <c r="CY43" s="179">
        <f t="shared" si="161"/>
        <v>0</v>
      </c>
      <c r="CZ43" s="181">
        <f t="shared" si="162"/>
        <v>0</v>
      </c>
      <c r="DA43" s="176"/>
      <c r="DB43" s="176"/>
      <c r="DC43" s="176"/>
      <c r="DD43" s="81"/>
      <c r="DE43" s="177">
        <f t="shared" si="208"/>
        <v>5</v>
      </c>
      <c r="DF43" s="178" t="s">
        <v>75</v>
      </c>
      <c r="DG43" s="179">
        <f>'Hitung Output'!BG33</f>
        <v>2231013.559</v>
      </c>
      <c r="DH43" s="180">
        <f t="shared" si="163"/>
        <v>0.01161806607</v>
      </c>
      <c r="DI43" s="183">
        <f t="shared" si="164"/>
        <v>25920.06293</v>
      </c>
      <c r="DJ43" s="180">
        <v>0.16716266605705102</v>
      </c>
      <c r="DK43" s="179">
        <f t="shared" si="165"/>
        <v>4332.866823</v>
      </c>
      <c r="DL43" s="181">
        <f t="shared" si="166"/>
        <v>21587.1961</v>
      </c>
      <c r="DM43" s="176"/>
      <c r="DN43" s="176"/>
      <c r="DO43" s="176"/>
      <c r="DP43" s="81"/>
      <c r="DQ43" s="177">
        <f t="shared" si="209"/>
        <v>5</v>
      </c>
      <c r="DR43" s="178" t="s">
        <v>75</v>
      </c>
      <c r="DS43" s="180">
        <f>'Hitung Output'!BL33</f>
        <v>2510290.519</v>
      </c>
      <c r="DT43" s="180">
        <f t="shared" si="167"/>
        <v>0.01161806607</v>
      </c>
      <c r="DU43" s="390">
        <f t="shared" si="168"/>
        <v>29164.7211</v>
      </c>
      <c r="DV43" s="180">
        <v>0.16716266605705102</v>
      </c>
      <c r="DW43" s="179">
        <f t="shared" si="169"/>
        <v>4875.252534</v>
      </c>
      <c r="DX43" s="181">
        <f t="shared" si="170"/>
        <v>24289.46857</v>
      </c>
      <c r="DY43" s="176"/>
      <c r="DZ43" s="176"/>
      <c r="EA43" s="176"/>
      <c r="EB43" s="81"/>
      <c r="EC43" s="177">
        <f t="shared" si="210"/>
        <v>5</v>
      </c>
      <c r="ED43" s="178" t="s">
        <v>75</v>
      </c>
      <c r="EE43" s="180">
        <f>'Hitung Output'!BQ33</f>
        <v>2638533.369</v>
      </c>
      <c r="EF43" s="180">
        <f t="shared" si="171"/>
        <v>0.01161806607</v>
      </c>
      <c r="EG43" s="391">
        <f t="shared" si="172"/>
        <v>30654.655</v>
      </c>
      <c r="EH43" s="180">
        <v>0.16716266605705102</v>
      </c>
      <c r="EI43" s="179">
        <f t="shared" si="173"/>
        <v>5124.313856</v>
      </c>
      <c r="EJ43" s="181">
        <f t="shared" si="174"/>
        <v>25530.34114</v>
      </c>
      <c r="EK43" s="176"/>
      <c r="EL43" s="176"/>
      <c r="EM43" s="176"/>
      <c r="EN43" s="81"/>
      <c r="EO43" s="177">
        <f t="shared" si="211"/>
        <v>5</v>
      </c>
      <c r="EP43" s="178" t="s">
        <v>75</v>
      </c>
      <c r="EQ43" s="179">
        <f>'Hitung Output'!BV33</f>
        <v>3074397.271</v>
      </c>
      <c r="ER43" s="180">
        <f t="shared" si="175"/>
        <v>0.01161806607</v>
      </c>
      <c r="ES43" s="392">
        <f t="shared" si="176"/>
        <v>35718.55061</v>
      </c>
      <c r="ET43" s="180">
        <v>0.16716266605705102</v>
      </c>
      <c r="EU43" s="179">
        <f t="shared" si="177"/>
        <v>5970.808148</v>
      </c>
      <c r="EV43" s="181">
        <f t="shared" si="178"/>
        <v>29747.74246</v>
      </c>
      <c r="EW43" s="176"/>
      <c r="EX43" s="176"/>
      <c r="EY43" s="176"/>
      <c r="EZ43" s="81"/>
      <c r="FA43" s="177">
        <f t="shared" si="212"/>
        <v>5</v>
      </c>
      <c r="FB43" s="178" t="s">
        <v>75</v>
      </c>
      <c r="FC43" s="179">
        <f>'Hitung Output'!CA33</f>
        <v>3226459.857</v>
      </c>
      <c r="FD43" s="180">
        <f t="shared" si="179"/>
        <v>0.01161806607</v>
      </c>
      <c r="FE43" s="393">
        <f t="shared" si="180"/>
        <v>37485.22378</v>
      </c>
      <c r="FF43" s="180">
        <v>0.16716266605705102</v>
      </c>
      <c r="FG43" s="179">
        <f t="shared" si="181"/>
        <v>6266.129945</v>
      </c>
      <c r="FH43" s="181">
        <f t="shared" si="182"/>
        <v>31219.09383</v>
      </c>
      <c r="FI43" s="176"/>
      <c r="FJ43" s="176"/>
      <c r="FK43" s="176"/>
      <c r="FL43" s="81"/>
      <c r="FM43" s="177">
        <f t="shared" si="213"/>
        <v>5</v>
      </c>
      <c r="FN43" s="178" t="s">
        <v>75</v>
      </c>
      <c r="FO43" s="179">
        <f>'Hitung Output'!CF33</f>
        <v>4025776.611</v>
      </c>
      <c r="FP43" s="180">
        <f t="shared" si="183"/>
        <v>0.01161806607</v>
      </c>
      <c r="FQ43" s="393">
        <f t="shared" si="184"/>
        <v>46771.73863</v>
      </c>
      <c r="FR43" s="180">
        <v>0.16716266605705102</v>
      </c>
      <c r="FS43" s="179">
        <f t="shared" si="185"/>
        <v>7818.488526</v>
      </c>
      <c r="FT43" s="181">
        <f t="shared" si="186"/>
        <v>38953.25011</v>
      </c>
      <c r="FU43" s="176"/>
      <c r="FV43" s="176"/>
      <c r="FW43" s="176"/>
      <c r="FX43" s="81"/>
      <c r="FY43" s="177">
        <f t="shared" si="214"/>
        <v>5</v>
      </c>
      <c r="FZ43" s="178" t="s">
        <v>75</v>
      </c>
      <c r="GA43" s="179">
        <f>'Hitung Output'!CK33</f>
        <v>4626046.109</v>
      </c>
      <c r="GB43" s="180">
        <f t="shared" si="187"/>
        <v>0.01161806607</v>
      </c>
      <c r="GC43" s="179">
        <f t="shared" si="188"/>
        <v>53745.70932</v>
      </c>
      <c r="GD43" s="180">
        <v>0.16716266605705102</v>
      </c>
      <c r="GE43" s="179">
        <f t="shared" si="189"/>
        <v>8984.276059</v>
      </c>
      <c r="GF43" s="181">
        <f t="shared" si="190"/>
        <v>44761.43326</v>
      </c>
      <c r="GG43" s="176"/>
      <c r="GH43" s="176"/>
      <c r="GI43" s="176"/>
      <c r="GJ43" s="81"/>
      <c r="GK43" s="177">
        <f t="shared" si="215"/>
        <v>5</v>
      </c>
      <c r="GL43" s="178" t="s">
        <v>75</v>
      </c>
      <c r="GM43" s="179">
        <f>'Hitung Output'!CP33</f>
        <v>4847976.686</v>
      </c>
      <c r="GN43" s="180">
        <f t="shared" si="191"/>
        <v>0.01161806607</v>
      </c>
      <c r="GO43" s="179">
        <f t="shared" si="192"/>
        <v>56324.11342</v>
      </c>
      <c r="GP43" s="180">
        <v>0.16716266605705102</v>
      </c>
      <c r="GQ43" s="179">
        <f t="shared" si="193"/>
        <v>9415.288963</v>
      </c>
      <c r="GR43" s="181">
        <f t="shared" si="194"/>
        <v>46908.82446</v>
      </c>
      <c r="GS43" s="176"/>
      <c r="GT43" s="176"/>
      <c r="GU43" s="176"/>
      <c r="GV43" s="81"/>
      <c r="GW43" s="177">
        <f t="shared" si="216"/>
        <v>5</v>
      </c>
      <c r="GX43" s="178" t="s">
        <v>75</v>
      </c>
      <c r="GY43" s="179"/>
      <c r="GZ43" s="180">
        <f t="shared" si="195"/>
        <v>0.01161806607</v>
      </c>
      <c r="HA43" s="179">
        <f t="shared" si="196"/>
        <v>0</v>
      </c>
      <c r="HB43" s="180">
        <v>0.16716266605705102</v>
      </c>
      <c r="HC43" s="179">
        <f t="shared" si="197"/>
        <v>0</v>
      </c>
      <c r="HD43" s="181">
        <f t="shared" si="198"/>
        <v>0</v>
      </c>
      <c r="HE43" s="176"/>
      <c r="HF43" s="176"/>
      <c r="HG43" s="176"/>
      <c r="HH43" s="81"/>
      <c r="HI43" s="75"/>
    </row>
    <row r="44" ht="15.75" customHeight="1">
      <c r="A44" s="177">
        <f t="shared" si="199"/>
        <v>6</v>
      </c>
      <c r="B44" s="178" t="s">
        <v>76</v>
      </c>
      <c r="C44" s="179"/>
      <c r="D44" s="180">
        <f t="shared" si="127"/>
        <v>0.01161806607</v>
      </c>
      <c r="E44" s="179">
        <f t="shared" si="128"/>
        <v>0</v>
      </c>
      <c r="F44" s="180">
        <v>0.16716266605705102</v>
      </c>
      <c r="G44" s="179">
        <f t="shared" si="129"/>
        <v>0</v>
      </c>
      <c r="H44" s="181">
        <f t="shared" si="130"/>
        <v>0</v>
      </c>
      <c r="I44" s="176"/>
      <c r="J44" s="176"/>
      <c r="K44" s="176"/>
      <c r="L44" s="81"/>
      <c r="M44" s="177">
        <f t="shared" si="200"/>
        <v>6</v>
      </c>
      <c r="N44" s="178" t="s">
        <v>76</v>
      </c>
      <c r="O44" s="179"/>
      <c r="P44" s="180">
        <f t="shared" si="131"/>
        <v>0.01161806607</v>
      </c>
      <c r="Q44" s="179">
        <f t="shared" si="132"/>
        <v>0</v>
      </c>
      <c r="R44" s="180">
        <v>0.16716266605705102</v>
      </c>
      <c r="S44" s="179">
        <f t="shared" si="133"/>
        <v>0</v>
      </c>
      <c r="T44" s="181">
        <f t="shared" si="134"/>
        <v>0</v>
      </c>
      <c r="U44" s="176"/>
      <c r="V44" s="176"/>
      <c r="W44" s="176"/>
      <c r="X44" s="81"/>
      <c r="Y44" s="177">
        <f t="shared" si="201"/>
        <v>6</v>
      </c>
      <c r="Z44" s="178" t="s">
        <v>76</v>
      </c>
      <c r="AA44" s="179"/>
      <c r="AB44" s="180">
        <f t="shared" si="135"/>
        <v>0.01161806607</v>
      </c>
      <c r="AC44" s="179">
        <f t="shared" si="136"/>
        <v>0</v>
      </c>
      <c r="AD44" s="180">
        <v>0.16716266605705102</v>
      </c>
      <c r="AE44" s="179">
        <f t="shared" si="137"/>
        <v>0</v>
      </c>
      <c r="AF44" s="181">
        <f t="shared" si="138"/>
        <v>0</v>
      </c>
      <c r="AG44" s="176"/>
      <c r="AH44" s="176"/>
      <c r="AI44" s="176"/>
      <c r="AJ44" s="81"/>
      <c r="AK44" s="177">
        <f t="shared" si="202"/>
        <v>6</v>
      </c>
      <c r="AL44" s="178" t="s">
        <v>76</v>
      </c>
      <c r="AM44" s="179"/>
      <c r="AN44" s="180">
        <f t="shared" si="139"/>
        <v>0.01161806607</v>
      </c>
      <c r="AO44" s="179">
        <f t="shared" si="140"/>
        <v>0</v>
      </c>
      <c r="AP44" s="180">
        <v>0.16716266605705102</v>
      </c>
      <c r="AQ44" s="179">
        <f t="shared" si="141"/>
        <v>0</v>
      </c>
      <c r="AR44" s="181">
        <f t="shared" si="142"/>
        <v>0</v>
      </c>
      <c r="AS44" s="176"/>
      <c r="AT44" s="176"/>
      <c r="AU44" s="176"/>
      <c r="AV44" s="81"/>
      <c r="AW44" s="177">
        <f t="shared" si="203"/>
        <v>6</v>
      </c>
      <c r="AX44" s="178" t="s">
        <v>76</v>
      </c>
      <c r="AY44" s="179"/>
      <c r="AZ44" s="180">
        <f t="shared" si="143"/>
        <v>0.01161806607</v>
      </c>
      <c r="BA44" s="179">
        <f t="shared" si="144"/>
        <v>0</v>
      </c>
      <c r="BB44" s="180">
        <v>0.16716266605705102</v>
      </c>
      <c r="BC44" s="179">
        <f t="shared" si="145"/>
        <v>0</v>
      </c>
      <c r="BD44" s="181">
        <f t="shared" si="146"/>
        <v>0</v>
      </c>
      <c r="BE44" s="176"/>
      <c r="BF44" s="176"/>
      <c r="BG44" s="176"/>
      <c r="BH44" s="81"/>
      <c r="BI44" s="177">
        <f t="shared" si="204"/>
        <v>6</v>
      </c>
      <c r="BJ44" s="178" t="s">
        <v>76</v>
      </c>
      <c r="BK44" s="179"/>
      <c r="BL44" s="180">
        <f t="shared" si="147"/>
        <v>0.01161806607</v>
      </c>
      <c r="BM44" s="179">
        <f t="shared" si="148"/>
        <v>0</v>
      </c>
      <c r="BN44" s="180">
        <v>0.16716266605705102</v>
      </c>
      <c r="BO44" s="179">
        <f t="shared" si="149"/>
        <v>0</v>
      </c>
      <c r="BP44" s="181">
        <f t="shared" si="150"/>
        <v>0</v>
      </c>
      <c r="BQ44" s="176"/>
      <c r="BR44" s="176"/>
      <c r="BS44" s="176"/>
      <c r="BT44" s="81"/>
      <c r="BU44" s="177">
        <f t="shared" si="205"/>
        <v>6</v>
      </c>
      <c r="BV44" s="178" t="s">
        <v>76</v>
      </c>
      <c r="BW44" s="179"/>
      <c r="BX44" s="180">
        <f t="shared" si="151"/>
        <v>0.01161806607</v>
      </c>
      <c r="BY44" s="179">
        <f t="shared" si="152"/>
        <v>0</v>
      </c>
      <c r="BZ44" s="180">
        <v>0.16716266605705102</v>
      </c>
      <c r="CA44" s="179">
        <f t="shared" si="153"/>
        <v>0</v>
      </c>
      <c r="CB44" s="181">
        <f t="shared" si="154"/>
        <v>0</v>
      </c>
      <c r="CC44" s="176"/>
      <c r="CD44" s="176"/>
      <c r="CE44" s="176"/>
      <c r="CF44" s="81"/>
      <c r="CG44" s="177">
        <f t="shared" si="206"/>
        <v>6</v>
      </c>
      <c r="CH44" s="178" t="s">
        <v>76</v>
      </c>
      <c r="CI44" s="179"/>
      <c r="CJ44" s="180">
        <f t="shared" si="155"/>
        <v>0.01161806607</v>
      </c>
      <c r="CK44" s="179">
        <f t="shared" si="156"/>
        <v>0</v>
      </c>
      <c r="CL44" s="180">
        <v>0.16716266605705102</v>
      </c>
      <c r="CM44" s="179">
        <f t="shared" si="157"/>
        <v>0</v>
      </c>
      <c r="CN44" s="181">
        <f t="shared" si="158"/>
        <v>0</v>
      </c>
      <c r="CO44" s="176"/>
      <c r="CP44" s="176"/>
      <c r="CQ44" s="176"/>
      <c r="CR44" s="81"/>
      <c r="CS44" s="177">
        <f t="shared" si="207"/>
        <v>6</v>
      </c>
      <c r="CT44" s="178" t="s">
        <v>76</v>
      </c>
      <c r="CU44" s="179"/>
      <c r="CV44" s="180">
        <f t="shared" si="159"/>
        <v>0.01161806607</v>
      </c>
      <c r="CW44" s="179">
        <f t="shared" si="160"/>
        <v>0</v>
      </c>
      <c r="CX44" s="180">
        <v>0.16716266605705102</v>
      </c>
      <c r="CY44" s="179">
        <f t="shared" si="161"/>
        <v>0</v>
      </c>
      <c r="CZ44" s="181">
        <f t="shared" si="162"/>
        <v>0</v>
      </c>
      <c r="DA44" s="176"/>
      <c r="DB44" s="176"/>
      <c r="DC44" s="176"/>
      <c r="DD44" s="81"/>
      <c r="DE44" s="177">
        <f t="shared" si="208"/>
        <v>6</v>
      </c>
      <c r="DF44" s="178" t="s">
        <v>76</v>
      </c>
      <c r="DG44" s="179">
        <f>'Hitung Output'!BG34</f>
        <v>1029608.039</v>
      </c>
      <c r="DH44" s="180">
        <f t="shared" si="163"/>
        <v>0.01161806607</v>
      </c>
      <c r="DI44" s="183">
        <f t="shared" si="164"/>
        <v>11962.05422</v>
      </c>
      <c r="DJ44" s="180">
        <v>0.16716266605705102</v>
      </c>
      <c r="DK44" s="179">
        <f t="shared" si="165"/>
        <v>1999.608876</v>
      </c>
      <c r="DL44" s="181">
        <f t="shared" si="166"/>
        <v>9962.445348</v>
      </c>
      <c r="DM44" s="176"/>
      <c r="DN44" s="176"/>
      <c r="DO44" s="176"/>
      <c r="DP44" s="81"/>
      <c r="DQ44" s="177">
        <f t="shared" si="209"/>
        <v>6</v>
      </c>
      <c r="DR44" s="178" t="s">
        <v>76</v>
      </c>
      <c r="DS44" s="180">
        <f>'Hitung Output'!BL34</f>
        <v>1128301.373</v>
      </c>
      <c r="DT44" s="180">
        <f t="shared" si="167"/>
        <v>0.01161806607</v>
      </c>
      <c r="DU44" s="390">
        <f t="shared" si="168"/>
        <v>13108.6799</v>
      </c>
      <c r="DV44" s="180">
        <v>0.16716266605705102</v>
      </c>
      <c r="DW44" s="179">
        <f t="shared" si="169"/>
        <v>2191.28188</v>
      </c>
      <c r="DX44" s="181">
        <f t="shared" si="170"/>
        <v>10917.39802</v>
      </c>
      <c r="DY44" s="176"/>
      <c r="DZ44" s="176"/>
      <c r="EA44" s="176"/>
      <c r="EB44" s="81"/>
      <c r="EC44" s="177">
        <f t="shared" si="210"/>
        <v>6</v>
      </c>
      <c r="ED44" s="178" t="s">
        <v>76</v>
      </c>
      <c r="EE44" s="180">
        <f>'Hitung Output'!BQ34</f>
        <v>1160307.327</v>
      </c>
      <c r="EF44" s="180">
        <f t="shared" si="171"/>
        <v>0.01161806607</v>
      </c>
      <c r="EG44" s="391">
        <f t="shared" si="172"/>
        <v>13480.52718</v>
      </c>
      <c r="EH44" s="180">
        <v>0.16716266605705102</v>
      </c>
      <c r="EI44" s="179">
        <f t="shared" si="173"/>
        <v>2253.440864</v>
      </c>
      <c r="EJ44" s="181">
        <f t="shared" si="174"/>
        <v>11227.08632</v>
      </c>
      <c r="EK44" s="176"/>
      <c r="EL44" s="176"/>
      <c r="EM44" s="176"/>
      <c r="EN44" s="81"/>
      <c r="EO44" s="177">
        <f t="shared" si="211"/>
        <v>6</v>
      </c>
      <c r="EP44" s="178" t="s">
        <v>76</v>
      </c>
      <c r="EQ44" s="179">
        <f>'Hitung Output'!BV34</f>
        <v>1239312.176</v>
      </c>
      <c r="ER44" s="180">
        <f t="shared" si="175"/>
        <v>0.01161806607</v>
      </c>
      <c r="ES44" s="392">
        <f t="shared" si="176"/>
        <v>14398.41074</v>
      </c>
      <c r="ET44" s="180">
        <v>0.16716266605705102</v>
      </c>
      <c r="EU44" s="179">
        <f t="shared" si="177"/>
        <v>2406.876726</v>
      </c>
      <c r="EV44" s="181">
        <f t="shared" si="178"/>
        <v>11991.53401</v>
      </c>
      <c r="EW44" s="176"/>
      <c r="EX44" s="176"/>
      <c r="EY44" s="176"/>
      <c r="EZ44" s="81"/>
      <c r="FA44" s="177">
        <f t="shared" si="212"/>
        <v>6</v>
      </c>
      <c r="FB44" s="178" t="s">
        <v>76</v>
      </c>
      <c r="FC44" s="179">
        <f>'Hitung Output'!CA34</f>
        <v>1332618.423</v>
      </c>
      <c r="FD44" s="180">
        <f t="shared" si="179"/>
        <v>0.01161806607</v>
      </c>
      <c r="FE44" s="393">
        <f t="shared" si="180"/>
        <v>15482.44889</v>
      </c>
      <c r="FF44" s="180">
        <v>0.16716266605705102</v>
      </c>
      <c r="FG44" s="179">
        <f t="shared" si="181"/>
        <v>2588.087433</v>
      </c>
      <c r="FH44" s="181">
        <f t="shared" si="182"/>
        <v>12894.36145</v>
      </c>
      <c r="FI44" s="176"/>
      <c r="FJ44" s="176"/>
      <c r="FK44" s="176"/>
      <c r="FL44" s="81"/>
      <c r="FM44" s="177">
        <f t="shared" si="213"/>
        <v>6</v>
      </c>
      <c r="FN44" s="178" t="s">
        <v>76</v>
      </c>
      <c r="FO44" s="179">
        <f>'Hitung Output'!CF34</f>
        <v>1356639.022</v>
      </c>
      <c r="FP44" s="180">
        <f t="shared" si="183"/>
        <v>0.01161806607</v>
      </c>
      <c r="FQ44" s="393">
        <f t="shared" si="184"/>
        <v>15761.52178</v>
      </c>
      <c r="FR44" s="180">
        <v>0.16716266605705102</v>
      </c>
      <c r="FS44" s="179">
        <f t="shared" si="185"/>
        <v>2634.738002</v>
      </c>
      <c r="FT44" s="181">
        <f t="shared" si="186"/>
        <v>13126.78378</v>
      </c>
      <c r="FU44" s="176"/>
      <c r="FV44" s="176"/>
      <c r="FW44" s="176"/>
      <c r="FX44" s="81"/>
      <c r="FY44" s="177">
        <f t="shared" si="214"/>
        <v>6</v>
      </c>
      <c r="FZ44" s="178" t="s">
        <v>76</v>
      </c>
      <c r="GA44" s="179">
        <f>'Hitung Output'!CK34</f>
        <v>1525192.738</v>
      </c>
      <c r="GB44" s="180">
        <f t="shared" si="187"/>
        <v>0.01161806607</v>
      </c>
      <c r="GC44" s="179">
        <f t="shared" si="188"/>
        <v>17719.79</v>
      </c>
      <c r="GD44" s="180">
        <v>0.16716266605705102</v>
      </c>
      <c r="GE44" s="179">
        <f t="shared" si="189"/>
        <v>2962.087338</v>
      </c>
      <c r="GF44" s="181">
        <f t="shared" si="190"/>
        <v>14757.70266</v>
      </c>
      <c r="GG44" s="176"/>
      <c r="GH44" s="176"/>
      <c r="GI44" s="176"/>
      <c r="GJ44" s="81"/>
      <c r="GK44" s="177">
        <f t="shared" si="215"/>
        <v>6</v>
      </c>
      <c r="GL44" s="178" t="s">
        <v>76</v>
      </c>
      <c r="GM44" s="179">
        <f>'Hitung Output'!CP34</f>
        <v>1746357.869</v>
      </c>
      <c r="GN44" s="180">
        <f t="shared" si="191"/>
        <v>0.01161806607</v>
      </c>
      <c r="GO44" s="179">
        <f t="shared" si="192"/>
        <v>20289.30109</v>
      </c>
      <c r="GP44" s="180">
        <v>0.16716266605705102</v>
      </c>
      <c r="GQ44" s="179">
        <f t="shared" si="193"/>
        <v>3391.613663</v>
      </c>
      <c r="GR44" s="181">
        <f t="shared" si="194"/>
        <v>16897.68743</v>
      </c>
      <c r="GS44" s="176"/>
      <c r="GT44" s="176"/>
      <c r="GU44" s="176"/>
      <c r="GV44" s="81"/>
      <c r="GW44" s="177">
        <f t="shared" si="216"/>
        <v>6</v>
      </c>
      <c r="GX44" s="178" t="s">
        <v>76</v>
      </c>
      <c r="GY44" s="179"/>
      <c r="GZ44" s="180">
        <f t="shared" si="195"/>
        <v>0.01161806607</v>
      </c>
      <c r="HA44" s="179">
        <f t="shared" si="196"/>
        <v>0</v>
      </c>
      <c r="HB44" s="180">
        <v>0.16716266605705102</v>
      </c>
      <c r="HC44" s="179">
        <f t="shared" si="197"/>
        <v>0</v>
      </c>
      <c r="HD44" s="181">
        <f t="shared" si="198"/>
        <v>0</v>
      </c>
      <c r="HE44" s="176"/>
      <c r="HF44" s="176"/>
      <c r="HG44" s="176"/>
      <c r="HH44" s="81"/>
      <c r="HI44" s="75"/>
    </row>
    <row r="45" ht="15.75" customHeight="1">
      <c r="A45" s="177"/>
      <c r="B45" s="185"/>
      <c r="C45" s="179"/>
      <c r="D45" s="179"/>
      <c r="E45" s="179"/>
      <c r="F45" s="179"/>
      <c r="G45" s="179"/>
      <c r="H45" s="181"/>
      <c r="I45" s="176"/>
      <c r="J45" s="176"/>
      <c r="K45" s="176"/>
      <c r="L45" s="81"/>
      <c r="M45" s="177"/>
      <c r="N45" s="185"/>
      <c r="O45" s="179"/>
      <c r="P45" s="179"/>
      <c r="Q45" s="179"/>
      <c r="R45" s="179"/>
      <c r="S45" s="179"/>
      <c r="T45" s="181"/>
      <c r="U45" s="176"/>
      <c r="V45" s="176"/>
      <c r="W45" s="176"/>
      <c r="X45" s="81"/>
      <c r="Y45" s="177"/>
      <c r="Z45" s="185"/>
      <c r="AA45" s="179"/>
      <c r="AB45" s="179"/>
      <c r="AC45" s="179"/>
      <c r="AD45" s="179"/>
      <c r="AE45" s="179"/>
      <c r="AF45" s="181"/>
      <c r="AG45" s="176"/>
      <c r="AH45" s="176"/>
      <c r="AI45" s="176"/>
      <c r="AJ45" s="81"/>
      <c r="AK45" s="177"/>
      <c r="AL45" s="185"/>
      <c r="AM45" s="179"/>
      <c r="AN45" s="179"/>
      <c r="AO45" s="179"/>
      <c r="AP45" s="179"/>
      <c r="AQ45" s="179"/>
      <c r="AR45" s="181"/>
      <c r="AS45" s="176"/>
      <c r="AT45" s="176"/>
      <c r="AU45" s="176"/>
      <c r="AV45" s="81"/>
      <c r="AW45" s="177"/>
      <c r="AX45" s="185"/>
      <c r="AY45" s="179"/>
      <c r="AZ45" s="179"/>
      <c r="BA45" s="179"/>
      <c r="BB45" s="179"/>
      <c r="BC45" s="179"/>
      <c r="BD45" s="181"/>
      <c r="BE45" s="176"/>
      <c r="BF45" s="176"/>
      <c r="BG45" s="176"/>
      <c r="BH45" s="81"/>
      <c r="BI45" s="177"/>
      <c r="BJ45" s="185"/>
      <c r="BK45" s="179"/>
      <c r="BL45" s="179"/>
      <c r="BM45" s="179"/>
      <c r="BN45" s="179"/>
      <c r="BO45" s="179"/>
      <c r="BP45" s="181"/>
      <c r="BQ45" s="176"/>
      <c r="BR45" s="176"/>
      <c r="BS45" s="176"/>
      <c r="BT45" s="81"/>
      <c r="BU45" s="177"/>
      <c r="BV45" s="185"/>
      <c r="BW45" s="179"/>
      <c r="BX45" s="179"/>
      <c r="BY45" s="179"/>
      <c r="BZ45" s="179"/>
      <c r="CA45" s="179"/>
      <c r="CB45" s="181"/>
      <c r="CC45" s="176"/>
      <c r="CD45" s="176"/>
      <c r="CE45" s="176"/>
      <c r="CF45" s="81"/>
      <c r="CG45" s="177"/>
      <c r="CH45" s="185"/>
      <c r="CI45" s="179"/>
      <c r="CJ45" s="179"/>
      <c r="CK45" s="179"/>
      <c r="CL45" s="179"/>
      <c r="CM45" s="179"/>
      <c r="CN45" s="181"/>
      <c r="CO45" s="176"/>
      <c r="CP45" s="176"/>
      <c r="CQ45" s="176"/>
      <c r="CR45" s="81"/>
      <c r="CS45" s="177"/>
      <c r="CT45" s="185"/>
      <c r="CU45" s="179"/>
      <c r="CV45" s="179"/>
      <c r="CW45" s="179"/>
      <c r="CX45" s="179"/>
      <c r="CY45" s="179"/>
      <c r="CZ45" s="181"/>
      <c r="DA45" s="176"/>
      <c r="DB45" s="176"/>
      <c r="DC45" s="176"/>
      <c r="DD45" s="81"/>
      <c r="DE45" s="177"/>
      <c r="DF45" s="185"/>
      <c r="DG45" s="179"/>
      <c r="DH45" s="179"/>
      <c r="DI45" s="179"/>
      <c r="DJ45" s="179"/>
      <c r="DK45" s="179"/>
      <c r="DL45" s="181"/>
      <c r="DM45" s="176"/>
      <c r="DN45" s="176"/>
      <c r="DO45" s="176"/>
      <c r="DP45" s="81"/>
      <c r="DQ45" s="177"/>
      <c r="DR45" s="185"/>
      <c r="DS45" s="179"/>
      <c r="DT45" s="179"/>
      <c r="DU45" s="179"/>
      <c r="DV45" s="179"/>
      <c r="DW45" s="179"/>
      <c r="DX45" s="181"/>
      <c r="DY45" s="176"/>
      <c r="DZ45" s="176"/>
      <c r="EA45" s="176"/>
      <c r="EB45" s="81"/>
      <c r="EC45" s="177"/>
      <c r="ED45" s="185"/>
      <c r="EE45" s="179"/>
      <c r="EF45" s="179"/>
      <c r="EG45" s="179"/>
      <c r="EH45" s="179"/>
      <c r="EI45" s="179"/>
      <c r="EJ45" s="181"/>
      <c r="EK45" s="176"/>
      <c r="EL45" s="176"/>
      <c r="EM45" s="176"/>
      <c r="EN45" s="81"/>
      <c r="EO45" s="177"/>
      <c r="EP45" s="185"/>
      <c r="EQ45" s="179"/>
      <c r="ER45" s="179"/>
      <c r="ES45" s="179"/>
      <c r="ET45" s="179"/>
      <c r="EU45" s="179"/>
      <c r="EV45" s="181"/>
      <c r="EW45" s="176"/>
      <c r="EX45" s="176"/>
      <c r="EY45" s="176"/>
      <c r="EZ45" s="81"/>
      <c r="FA45" s="177"/>
      <c r="FB45" s="185"/>
      <c r="FC45" s="179"/>
      <c r="FD45" s="179"/>
      <c r="FE45" s="179"/>
      <c r="FF45" s="179"/>
      <c r="FG45" s="179"/>
      <c r="FH45" s="181"/>
      <c r="FI45" s="176"/>
      <c r="FJ45" s="176"/>
      <c r="FK45" s="176"/>
      <c r="FL45" s="81"/>
      <c r="FM45" s="177"/>
      <c r="FN45" s="185"/>
      <c r="FO45" s="179"/>
      <c r="FP45" s="179"/>
      <c r="FQ45" s="179"/>
      <c r="FR45" s="179"/>
      <c r="FS45" s="179"/>
      <c r="FT45" s="181"/>
      <c r="FU45" s="176"/>
      <c r="FV45" s="176"/>
      <c r="FW45" s="176"/>
      <c r="FX45" s="81"/>
      <c r="FY45" s="177"/>
      <c r="FZ45" s="185"/>
      <c r="GA45" s="179"/>
      <c r="GB45" s="179"/>
      <c r="GC45" s="179"/>
      <c r="GD45" s="179"/>
      <c r="GE45" s="179"/>
      <c r="GF45" s="181"/>
      <c r="GG45" s="176"/>
      <c r="GH45" s="176"/>
      <c r="GI45" s="176"/>
      <c r="GJ45" s="81"/>
      <c r="GK45" s="177"/>
      <c r="GL45" s="185"/>
      <c r="GM45" s="179"/>
      <c r="GN45" s="179"/>
      <c r="GO45" s="179"/>
      <c r="GP45" s="179"/>
      <c r="GQ45" s="179"/>
      <c r="GR45" s="181"/>
      <c r="GS45" s="176"/>
      <c r="GT45" s="176"/>
      <c r="GU45" s="176"/>
      <c r="GV45" s="81"/>
      <c r="GW45" s="177"/>
      <c r="GX45" s="185"/>
      <c r="GY45" s="179"/>
      <c r="GZ45" s="179"/>
      <c r="HA45" s="179"/>
      <c r="HB45" s="179"/>
      <c r="HC45" s="179"/>
      <c r="HD45" s="181"/>
      <c r="HE45" s="176"/>
      <c r="HF45" s="176"/>
      <c r="HG45" s="176"/>
      <c r="HH45" s="81"/>
      <c r="HI45" s="75"/>
    </row>
    <row r="46" ht="15.75" customHeight="1">
      <c r="A46" s="186" t="s">
        <v>77</v>
      </c>
      <c r="B46" s="127"/>
      <c r="C46" s="187">
        <f>SUM(C39:C45)</f>
        <v>0</v>
      </c>
      <c r="D46" s="188"/>
      <c r="E46" s="187">
        <f>SUM(E39:E45)</f>
        <v>0</v>
      </c>
      <c r="F46" s="189"/>
      <c r="G46" s="187">
        <f t="shared" ref="G46:H46" si="217">SUM(G39:G45)</f>
        <v>0</v>
      </c>
      <c r="H46" s="190">
        <f t="shared" si="217"/>
        <v>0</v>
      </c>
      <c r="I46" s="191"/>
      <c r="J46" s="191"/>
      <c r="K46" s="191"/>
      <c r="L46" s="133"/>
      <c r="M46" s="186" t="s">
        <v>77</v>
      </c>
      <c r="N46" s="127"/>
      <c r="O46" s="187">
        <f>SUM(O39:O45)</f>
        <v>0</v>
      </c>
      <c r="P46" s="188"/>
      <c r="Q46" s="187">
        <f>SUM(Q39:Q45)</f>
        <v>0</v>
      </c>
      <c r="R46" s="189"/>
      <c r="S46" s="187">
        <f t="shared" ref="S46:T46" si="218">SUM(S39:S45)</f>
        <v>0</v>
      </c>
      <c r="T46" s="190">
        <f t="shared" si="218"/>
        <v>0</v>
      </c>
      <c r="U46" s="191"/>
      <c r="V46" s="191"/>
      <c r="W46" s="191"/>
      <c r="X46" s="133"/>
      <c r="Y46" s="186" t="s">
        <v>77</v>
      </c>
      <c r="Z46" s="127"/>
      <c r="AA46" s="187">
        <f>SUM(AA39:AA45)</f>
        <v>0</v>
      </c>
      <c r="AB46" s="188"/>
      <c r="AC46" s="187">
        <f>SUM(AC39:AC45)</f>
        <v>0</v>
      </c>
      <c r="AD46" s="189"/>
      <c r="AE46" s="187">
        <f t="shared" ref="AE46:AF46" si="219">SUM(AE39:AE45)</f>
        <v>0</v>
      </c>
      <c r="AF46" s="190">
        <f t="shared" si="219"/>
        <v>0</v>
      </c>
      <c r="AG46" s="191"/>
      <c r="AH46" s="191"/>
      <c r="AI46" s="191"/>
      <c r="AJ46" s="133"/>
      <c r="AK46" s="186" t="s">
        <v>77</v>
      </c>
      <c r="AL46" s="127"/>
      <c r="AM46" s="187">
        <f>SUM(AM39:AM45)</f>
        <v>0</v>
      </c>
      <c r="AN46" s="188"/>
      <c r="AO46" s="187">
        <f>SUM(AO39:AO45)</f>
        <v>0</v>
      </c>
      <c r="AP46" s="189"/>
      <c r="AQ46" s="187">
        <f t="shared" ref="AQ46:AR46" si="220">SUM(AQ39:AQ45)</f>
        <v>0</v>
      </c>
      <c r="AR46" s="190">
        <f t="shared" si="220"/>
        <v>0</v>
      </c>
      <c r="AS46" s="191"/>
      <c r="AT46" s="191"/>
      <c r="AU46" s="191"/>
      <c r="AV46" s="133"/>
      <c r="AW46" s="186" t="s">
        <v>77</v>
      </c>
      <c r="AX46" s="127"/>
      <c r="AY46" s="187">
        <f>SUM(AY39:AY45)</f>
        <v>0</v>
      </c>
      <c r="AZ46" s="188"/>
      <c r="BA46" s="187">
        <f>SUM(BA39:BA45)</f>
        <v>0</v>
      </c>
      <c r="BB46" s="189"/>
      <c r="BC46" s="187">
        <f t="shared" ref="BC46:BD46" si="221">SUM(BC39:BC45)</f>
        <v>0</v>
      </c>
      <c r="BD46" s="190">
        <f t="shared" si="221"/>
        <v>0</v>
      </c>
      <c r="BE46" s="191"/>
      <c r="BF46" s="191"/>
      <c r="BG46" s="191"/>
      <c r="BH46" s="133"/>
      <c r="BI46" s="186" t="s">
        <v>77</v>
      </c>
      <c r="BJ46" s="127"/>
      <c r="BK46" s="187">
        <f>SUM(BK39:BK45)</f>
        <v>0</v>
      </c>
      <c r="BL46" s="188"/>
      <c r="BM46" s="187">
        <f>SUM(BM39:BM45)</f>
        <v>0</v>
      </c>
      <c r="BN46" s="189"/>
      <c r="BO46" s="187">
        <f t="shared" ref="BO46:BP46" si="222">SUM(BO39:BO45)</f>
        <v>0</v>
      </c>
      <c r="BP46" s="190">
        <f t="shared" si="222"/>
        <v>0</v>
      </c>
      <c r="BQ46" s="191"/>
      <c r="BR46" s="191"/>
      <c r="BS46" s="191"/>
      <c r="BT46" s="133"/>
      <c r="BU46" s="186" t="s">
        <v>77</v>
      </c>
      <c r="BV46" s="127"/>
      <c r="BW46" s="187">
        <f>SUM(BW39:BW45)</f>
        <v>0</v>
      </c>
      <c r="BX46" s="188"/>
      <c r="BY46" s="187">
        <f>SUM(BY39:BY45)</f>
        <v>0</v>
      </c>
      <c r="BZ46" s="189"/>
      <c r="CA46" s="187">
        <f t="shared" ref="CA46:CB46" si="223">SUM(CA39:CA45)</f>
        <v>0</v>
      </c>
      <c r="CB46" s="190">
        <f t="shared" si="223"/>
        <v>0</v>
      </c>
      <c r="CC46" s="191"/>
      <c r="CD46" s="191"/>
      <c r="CE46" s="191"/>
      <c r="CF46" s="133"/>
      <c r="CG46" s="186" t="s">
        <v>77</v>
      </c>
      <c r="CH46" s="127"/>
      <c r="CI46" s="187">
        <f>SUM(CI39:CI45)</f>
        <v>0</v>
      </c>
      <c r="CJ46" s="188"/>
      <c r="CK46" s="187">
        <f>SUM(CK39:CK45)</f>
        <v>0</v>
      </c>
      <c r="CL46" s="189"/>
      <c r="CM46" s="187">
        <f t="shared" ref="CM46:CN46" si="224">SUM(CM39:CM45)</f>
        <v>0</v>
      </c>
      <c r="CN46" s="190">
        <f t="shared" si="224"/>
        <v>0</v>
      </c>
      <c r="CO46" s="191"/>
      <c r="CP46" s="191"/>
      <c r="CQ46" s="191"/>
      <c r="CR46" s="133"/>
      <c r="CS46" s="186" t="s">
        <v>77</v>
      </c>
      <c r="CT46" s="127"/>
      <c r="CU46" s="187">
        <f>SUM(CU39:CU45)</f>
        <v>0</v>
      </c>
      <c r="CV46" s="188"/>
      <c r="CW46" s="187">
        <f>SUM(CW39:CW45)</f>
        <v>0</v>
      </c>
      <c r="CX46" s="189"/>
      <c r="CY46" s="187">
        <f t="shared" ref="CY46:CZ46" si="225">SUM(CY39:CY45)</f>
        <v>0</v>
      </c>
      <c r="CZ46" s="190">
        <f t="shared" si="225"/>
        <v>0</v>
      </c>
      <c r="DA46" s="191"/>
      <c r="DB46" s="191"/>
      <c r="DC46" s="191"/>
      <c r="DD46" s="133"/>
      <c r="DE46" s="186" t="s">
        <v>77</v>
      </c>
      <c r="DF46" s="127"/>
      <c r="DG46" s="187">
        <f>SUM(DG39:DG45)</f>
        <v>4257432.528</v>
      </c>
      <c r="DH46" s="188"/>
      <c r="DI46" s="187">
        <f>SUM(DI39:DI45)</f>
        <v>49463.13238</v>
      </c>
      <c r="DJ46" s="189"/>
      <c r="DK46" s="187">
        <f t="shared" ref="DK46:DL46" si="226">SUM(DK39:DK45)</f>
        <v>8268.389081</v>
      </c>
      <c r="DL46" s="190">
        <f t="shared" si="226"/>
        <v>41194.7433</v>
      </c>
      <c r="DM46" s="191"/>
      <c r="DN46" s="191"/>
      <c r="DO46" s="191"/>
      <c r="DP46" s="133"/>
      <c r="DQ46" s="186" t="s">
        <v>77</v>
      </c>
      <c r="DR46" s="127"/>
      <c r="DS46" s="187">
        <f>SUM(DS39:DS45)</f>
        <v>4632759.47</v>
      </c>
      <c r="DT46" s="188"/>
      <c r="DU46" s="187">
        <f>SUM(DU39:DU45)</f>
        <v>53823.70559</v>
      </c>
      <c r="DV46" s="189"/>
      <c r="DW46" s="187">
        <f t="shared" ref="DW46:DX46" si="227">SUM(DW39:DW45)</f>
        <v>8997.314124</v>
      </c>
      <c r="DX46" s="190">
        <f t="shared" si="227"/>
        <v>44826.39147</v>
      </c>
      <c r="DY46" s="191"/>
      <c r="DZ46" s="191"/>
      <c r="EA46" s="191"/>
      <c r="EB46" s="133"/>
      <c r="EC46" s="186" t="s">
        <v>77</v>
      </c>
      <c r="ED46" s="127"/>
      <c r="EE46" s="187">
        <f>SUM(EE39:EE45)</f>
        <v>4724099.574</v>
      </c>
      <c r="EF46" s="188"/>
      <c r="EG46" s="187">
        <f>SUM(EG39:EG45)</f>
        <v>54884.90096</v>
      </c>
      <c r="EH46" s="189"/>
      <c r="EI46" s="187">
        <f t="shared" ref="EI46:EJ46" si="228">SUM(EI39:EI45)</f>
        <v>9174.70637</v>
      </c>
      <c r="EJ46" s="190">
        <f t="shared" si="228"/>
        <v>45710.19459</v>
      </c>
      <c r="EK46" s="191"/>
      <c r="EL46" s="191"/>
      <c r="EM46" s="191"/>
      <c r="EN46" s="133"/>
      <c r="EO46" s="186" t="s">
        <v>77</v>
      </c>
      <c r="EP46" s="127"/>
      <c r="EQ46" s="187">
        <f>SUM(EQ39:EQ45)</f>
        <v>5275906.803</v>
      </c>
      <c r="ER46" s="188"/>
      <c r="ES46" s="187">
        <f>SUM(ES39:ES45)</f>
        <v>61295.8338</v>
      </c>
      <c r="ET46" s="189"/>
      <c r="EU46" s="187">
        <f t="shared" ref="EU46:EV46" si="229">SUM(EU39:EU45)</f>
        <v>10246.375</v>
      </c>
      <c r="EV46" s="190">
        <f t="shared" si="229"/>
        <v>51049.4588</v>
      </c>
      <c r="EW46" s="191"/>
      <c r="EX46" s="191"/>
      <c r="EY46" s="191"/>
      <c r="EZ46" s="133"/>
      <c r="FA46" s="186" t="s">
        <v>77</v>
      </c>
      <c r="FB46" s="127"/>
      <c r="FC46" s="187">
        <f>SUM(FC39:FC45)</f>
        <v>5569798.401</v>
      </c>
      <c r="FD46" s="188"/>
      <c r="FE46" s="187">
        <f>SUM(FE39:FE45)</f>
        <v>64710.28581</v>
      </c>
      <c r="FF46" s="189"/>
      <c r="FG46" s="187">
        <f t="shared" ref="FG46:FH46" si="230">SUM(FG39:FG45)</f>
        <v>10817.1439</v>
      </c>
      <c r="FH46" s="190">
        <f t="shared" si="230"/>
        <v>53893.14191</v>
      </c>
      <c r="FI46" s="191"/>
      <c r="FJ46" s="191"/>
      <c r="FK46" s="191"/>
      <c r="FL46" s="133"/>
      <c r="FM46" s="186" t="s">
        <v>77</v>
      </c>
      <c r="FN46" s="127"/>
      <c r="FO46" s="187">
        <f>SUM(FO39:FO45)</f>
        <v>6436346.227</v>
      </c>
      <c r="FP46" s="188"/>
      <c r="FQ46" s="187">
        <f>SUM(FQ39:FQ45)</f>
        <v>74777.89569</v>
      </c>
      <c r="FR46" s="189"/>
      <c r="FS46" s="187">
        <f t="shared" ref="FS46:FT46" si="231">SUM(FS39:FS45)</f>
        <v>12500.07241</v>
      </c>
      <c r="FT46" s="190">
        <f t="shared" si="231"/>
        <v>62277.82329</v>
      </c>
      <c r="FU46" s="191"/>
      <c r="FV46" s="191"/>
      <c r="FW46" s="191"/>
      <c r="FX46" s="133"/>
      <c r="FY46" s="186" t="s">
        <v>77</v>
      </c>
      <c r="FZ46" s="127"/>
      <c r="GA46" s="187">
        <f>SUM(GA39:GA45)</f>
        <v>7351347.437</v>
      </c>
      <c r="GB46" s="188"/>
      <c r="GC46" s="187">
        <f>SUM(GC39:GC45)</f>
        <v>85408.44021</v>
      </c>
      <c r="GD46" s="189"/>
      <c r="GE46" s="187">
        <f t="shared" ref="GE46:GF46" si="232">SUM(GE39:GE45)</f>
        <v>14277.10257</v>
      </c>
      <c r="GF46" s="190">
        <f t="shared" si="232"/>
        <v>71131.33764</v>
      </c>
      <c r="GG46" s="191"/>
      <c r="GH46" s="191"/>
      <c r="GI46" s="191"/>
      <c r="GJ46" s="133"/>
      <c r="GK46" s="186" t="s">
        <v>77</v>
      </c>
      <c r="GL46" s="127"/>
      <c r="GM46" s="187">
        <f>SUM(GM39:GM45)</f>
        <v>7813925.989</v>
      </c>
      <c r="GN46" s="188"/>
      <c r="GO46" s="187">
        <f>SUM(GO39:GO45)</f>
        <v>90782.70838</v>
      </c>
      <c r="GP46" s="189"/>
      <c r="GQ46" s="187">
        <f t="shared" ref="GQ46:GR46" si="233">SUM(GQ39:GQ45)</f>
        <v>15175.47956</v>
      </c>
      <c r="GR46" s="190">
        <f t="shared" si="233"/>
        <v>75607.22881</v>
      </c>
      <c r="GS46" s="191"/>
      <c r="GT46" s="191"/>
      <c r="GU46" s="191"/>
      <c r="GV46" s="133"/>
      <c r="GW46" s="186" t="s">
        <v>77</v>
      </c>
      <c r="GX46" s="127"/>
      <c r="GY46" s="187">
        <f>SUM(GY39:GY45)</f>
        <v>0</v>
      </c>
      <c r="GZ46" s="188"/>
      <c r="HA46" s="187">
        <f>SUM(HA39:HA45)</f>
        <v>0</v>
      </c>
      <c r="HB46" s="189"/>
      <c r="HC46" s="187">
        <f t="shared" ref="HC46:HD46" si="234">SUM(HC39:HC45)</f>
        <v>0</v>
      </c>
      <c r="HD46" s="190">
        <f t="shared" si="234"/>
        <v>0</v>
      </c>
      <c r="HE46" s="191"/>
      <c r="HF46" s="191"/>
      <c r="HG46" s="191"/>
      <c r="HH46" s="133"/>
      <c r="HI46" s="132"/>
    </row>
    <row r="47" ht="15.75" customHeight="1">
      <c r="A47" s="177"/>
      <c r="B47" s="178"/>
      <c r="C47" s="178"/>
      <c r="D47" s="178"/>
      <c r="E47" s="179"/>
      <c r="F47" s="179"/>
      <c r="G47" s="179"/>
      <c r="H47" s="192"/>
      <c r="I47" s="193"/>
      <c r="J47" s="193"/>
      <c r="K47" s="193"/>
      <c r="L47" s="136"/>
      <c r="M47" s="177"/>
      <c r="N47" s="178"/>
      <c r="O47" s="178"/>
      <c r="P47" s="178"/>
      <c r="Q47" s="179"/>
      <c r="R47" s="179"/>
      <c r="S47" s="179"/>
      <c r="T47" s="192"/>
      <c r="U47" s="193"/>
      <c r="V47" s="193"/>
      <c r="W47" s="193"/>
      <c r="X47" s="136"/>
      <c r="Y47" s="177"/>
      <c r="Z47" s="178"/>
      <c r="AA47" s="178"/>
      <c r="AB47" s="178"/>
      <c r="AC47" s="179"/>
      <c r="AD47" s="179"/>
      <c r="AE47" s="179"/>
      <c r="AF47" s="192"/>
      <c r="AG47" s="193"/>
      <c r="AH47" s="193"/>
      <c r="AI47" s="193"/>
      <c r="AJ47" s="136"/>
      <c r="AK47" s="177"/>
      <c r="AL47" s="178"/>
      <c r="AM47" s="178"/>
      <c r="AN47" s="178"/>
      <c r="AO47" s="179"/>
      <c r="AP47" s="179"/>
      <c r="AQ47" s="179"/>
      <c r="AR47" s="192"/>
      <c r="AS47" s="193"/>
      <c r="AT47" s="193"/>
      <c r="AU47" s="193"/>
      <c r="AV47" s="136"/>
      <c r="AW47" s="177"/>
      <c r="AX47" s="178"/>
      <c r="AY47" s="178"/>
      <c r="AZ47" s="178"/>
      <c r="BA47" s="179"/>
      <c r="BB47" s="179"/>
      <c r="BC47" s="179"/>
      <c r="BD47" s="192"/>
      <c r="BE47" s="193"/>
      <c r="BF47" s="193"/>
      <c r="BG47" s="193"/>
      <c r="BH47" s="136"/>
      <c r="BI47" s="177"/>
      <c r="BJ47" s="178"/>
      <c r="BK47" s="178"/>
      <c r="BL47" s="178"/>
      <c r="BM47" s="179"/>
      <c r="BN47" s="179"/>
      <c r="BO47" s="179"/>
      <c r="BP47" s="192"/>
      <c r="BQ47" s="193"/>
      <c r="BR47" s="193"/>
      <c r="BS47" s="193"/>
      <c r="BT47" s="136"/>
      <c r="BU47" s="177"/>
      <c r="BV47" s="178"/>
      <c r="BW47" s="178"/>
      <c r="BX47" s="178"/>
      <c r="BY47" s="179"/>
      <c r="BZ47" s="179"/>
      <c r="CA47" s="179"/>
      <c r="CB47" s="192"/>
      <c r="CC47" s="193"/>
      <c r="CD47" s="193"/>
      <c r="CE47" s="193"/>
      <c r="CF47" s="136"/>
      <c r="CG47" s="177"/>
      <c r="CH47" s="178"/>
      <c r="CI47" s="178"/>
      <c r="CJ47" s="178"/>
      <c r="CK47" s="179"/>
      <c r="CL47" s="179"/>
      <c r="CM47" s="179"/>
      <c r="CN47" s="192"/>
      <c r="CO47" s="193"/>
      <c r="CP47" s="193"/>
      <c r="CQ47" s="193"/>
      <c r="CR47" s="136"/>
      <c r="CS47" s="177"/>
      <c r="CT47" s="178"/>
      <c r="CU47" s="178"/>
      <c r="CV47" s="178"/>
      <c r="CW47" s="179"/>
      <c r="CX47" s="179"/>
      <c r="CY47" s="179"/>
      <c r="CZ47" s="192"/>
      <c r="DA47" s="193"/>
      <c r="DB47" s="193"/>
      <c r="DC47" s="193"/>
      <c r="DD47" s="136"/>
      <c r="DE47" s="177"/>
      <c r="DF47" s="178"/>
      <c r="DG47" s="178"/>
      <c r="DH47" s="178"/>
      <c r="DI47" s="179"/>
      <c r="DJ47" s="179"/>
      <c r="DK47" s="179"/>
      <c r="DL47" s="192"/>
      <c r="DM47" s="193"/>
      <c r="DN47" s="193"/>
      <c r="DO47" s="193"/>
      <c r="DP47" s="136"/>
      <c r="DQ47" s="177"/>
      <c r="DR47" s="178"/>
      <c r="DS47" s="178"/>
      <c r="DT47" s="178"/>
      <c r="DU47" s="179"/>
      <c r="DV47" s="179"/>
      <c r="DW47" s="179"/>
      <c r="DX47" s="192"/>
      <c r="DY47" s="193"/>
      <c r="DZ47" s="193"/>
      <c r="EA47" s="193"/>
      <c r="EB47" s="136"/>
      <c r="EC47" s="177"/>
      <c r="ED47" s="178"/>
      <c r="EE47" s="178"/>
      <c r="EF47" s="178"/>
      <c r="EG47" s="179"/>
      <c r="EH47" s="179"/>
      <c r="EI47" s="179"/>
      <c r="EJ47" s="192"/>
      <c r="EK47" s="193"/>
      <c r="EL47" s="193"/>
      <c r="EM47" s="193"/>
      <c r="EN47" s="136"/>
      <c r="EO47" s="177"/>
      <c r="EP47" s="178"/>
      <c r="EQ47" s="178"/>
      <c r="ER47" s="178"/>
      <c r="ES47" s="179"/>
      <c r="ET47" s="179"/>
      <c r="EU47" s="179"/>
      <c r="EV47" s="192"/>
      <c r="EW47" s="193"/>
      <c r="EX47" s="193"/>
      <c r="EY47" s="193"/>
      <c r="EZ47" s="136"/>
      <c r="FA47" s="177"/>
      <c r="FB47" s="178"/>
      <c r="FC47" s="178"/>
      <c r="FD47" s="178"/>
      <c r="FE47" s="179"/>
      <c r="FF47" s="179"/>
      <c r="FG47" s="179"/>
      <c r="FH47" s="192"/>
      <c r="FI47" s="193"/>
      <c r="FJ47" s="193"/>
      <c r="FK47" s="193"/>
      <c r="FL47" s="136"/>
      <c r="FM47" s="177"/>
      <c r="FN47" s="178"/>
      <c r="FO47" s="178"/>
      <c r="FP47" s="178"/>
      <c r="FQ47" s="179"/>
      <c r="FR47" s="179"/>
      <c r="FS47" s="179"/>
      <c r="FT47" s="192"/>
      <c r="FU47" s="193"/>
      <c r="FV47" s="193"/>
      <c r="FW47" s="193"/>
      <c r="FX47" s="136"/>
      <c r="FY47" s="177"/>
      <c r="FZ47" s="178"/>
      <c r="GA47" s="178"/>
      <c r="GB47" s="178"/>
      <c r="GC47" s="179"/>
      <c r="GD47" s="179"/>
      <c r="GE47" s="179"/>
      <c r="GF47" s="192"/>
      <c r="GG47" s="193"/>
      <c r="GH47" s="193"/>
      <c r="GI47" s="193"/>
      <c r="GJ47" s="136"/>
      <c r="GK47" s="177"/>
      <c r="GL47" s="178"/>
      <c r="GM47" s="178"/>
      <c r="GN47" s="178"/>
      <c r="GO47" s="179"/>
      <c r="GP47" s="179"/>
      <c r="GQ47" s="179"/>
      <c r="GR47" s="192"/>
      <c r="GS47" s="193"/>
      <c r="GT47" s="193"/>
      <c r="GU47" s="193"/>
      <c r="GV47" s="136"/>
      <c r="GW47" s="177"/>
      <c r="GX47" s="178"/>
      <c r="GY47" s="178"/>
      <c r="GZ47" s="178"/>
      <c r="HA47" s="179"/>
      <c r="HB47" s="179"/>
      <c r="HC47" s="179"/>
      <c r="HD47" s="192"/>
      <c r="HE47" s="193"/>
      <c r="HF47" s="193"/>
      <c r="HG47" s="193"/>
      <c r="HH47" s="136"/>
      <c r="HI47" s="135"/>
    </row>
    <row r="48" ht="15.75" customHeight="1">
      <c r="A48" s="177"/>
      <c r="B48" s="194" t="str">
        <f>"Adjusment "&amp;" %"</f>
        <v>Adjusment  %</v>
      </c>
      <c r="C48" s="195"/>
      <c r="D48" s="196"/>
      <c r="E48" s="197">
        <f>C48/100*E46</f>
        <v>0</v>
      </c>
      <c r="F48" s="198"/>
      <c r="G48" s="179">
        <f>IFERROR(+E48-H48,"")</f>
        <v>0</v>
      </c>
      <c r="H48" s="199">
        <f>C48/100*H46</f>
        <v>0</v>
      </c>
      <c r="I48" s="176"/>
      <c r="J48" s="176"/>
      <c r="K48" s="176"/>
      <c r="L48" s="81"/>
      <c r="M48" s="177"/>
      <c r="N48" s="194" t="str">
        <f>"Adjusment "&amp;" %"</f>
        <v>Adjusment  %</v>
      </c>
      <c r="O48" s="195"/>
      <c r="P48" s="196"/>
      <c r="Q48" s="197">
        <f>O48/100*Q46</f>
        <v>0</v>
      </c>
      <c r="R48" s="198"/>
      <c r="S48" s="179">
        <f>IFERROR(+Q48-T48,"")</f>
        <v>0</v>
      </c>
      <c r="T48" s="199">
        <f>O48/100*T46</f>
        <v>0</v>
      </c>
      <c r="U48" s="176"/>
      <c r="V48" s="176"/>
      <c r="W48" s="176"/>
      <c r="X48" s="81"/>
      <c r="Y48" s="177"/>
      <c r="Z48" s="194" t="str">
        <f>"Adjusment "&amp;" %"</f>
        <v>Adjusment  %</v>
      </c>
      <c r="AA48" s="195"/>
      <c r="AB48" s="196"/>
      <c r="AC48" s="197">
        <f>AA48/100*AC46</f>
        <v>0</v>
      </c>
      <c r="AD48" s="198"/>
      <c r="AE48" s="179">
        <f>IFERROR(+AC48-AF48,"")</f>
        <v>0</v>
      </c>
      <c r="AF48" s="199">
        <f>AA48/100*AF46</f>
        <v>0</v>
      </c>
      <c r="AG48" s="176"/>
      <c r="AH48" s="176"/>
      <c r="AI48" s="176"/>
      <c r="AJ48" s="81"/>
      <c r="AK48" s="177"/>
      <c r="AL48" s="194" t="str">
        <f>"Adjusment "&amp;" %"</f>
        <v>Adjusment  %</v>
      </c>
      <c r="AM48" s="195"/>
      <c r="AN48" s="196"/>
      <c r="AO48" s="197">
        <f>AM48/100*AO46</f>
        <v>0</v>
      </c>
      <c r="AP48" s="198"/>
      <c r="AQ48" s="179">
        <f>IFERROR(+AO48-AR48,"")</f>
        <v>0</v>
      </c>
      <c r="AR48" s="199">
        <f>AM48/100*AR46</f>
        <v>0</v>
      </c>
      <c r="AS48" s="176"/>
      <c r="AT48" s="176"/>
      <c r="AU48" s="176"/>
      <c r="AV48" s="81"/>
      <c r="AW48" s="177"/>
      <c r="AX48" s="194" t="str">
        <f>"Adjusment "&amp;" %"</f>
        <v>Adjusment  %</v>
      </c>
      <c r="AY48" s="195"/>
      <c r="AZ48" s="196"/>
      <c r="BA48" s="197">
        <f>AY48/100*BA46</f>
        <v>0</v>
      </c>
      <c r="BB48" s="198"/>
      <c r="BC48" s="179">
        <f>IFERROR(+BA48-BD48,"")</f>
        <v>0</v>
      </c>
      <c r="BD48" s="199">
        <f>AY48/100*BD46</f>
        <v>0</v>
      </c>
      <c r="BE48" s="176"/>
      <c r="BF48" s="176"/>
      <c r="BG48" s="176"/>
      <c r="BH48" s="81"/>
      <c r="BI48" s="177"/>
      <c r="BJ48" s="194" t="str">
        <f>"Adjusment "&amp;" %"</f>
        <v>Adjusment  %</v>
      </c>
      <c r="BK48" s="195"/>
      <c r="BL48" s="196"/>
      <c r="BM48" s="197">
        <f>BK48/100*BM46</f>
        <v>0</v>
      </c>
      <c r="BN48" s="198"/>
      <c r="BO48" s="179">
        <f>IFERROR(+BM48-BP48,"")</f>
        <v>0</v>
      </c>
      <c r="BP48" s="199">
        <f>BK48/100*BP46</f>
        <v>0</v>
      </c>
      <c r="BQ48" s="176"/>
      <c r="BR48" s="176"/>
      <c r="BS48" s="176"/>
      <c r="BT48" s="81"/>
      <c r="BU48" s="177"/>
      <c r="BV48" s="194" t="str">
        <f>"Adjusment "&amp;" %"</f>
        <v>Adjusment  %</v>
      </c>
      <c r="BW48" s="195"/>
      <c r="BX48" s="196"/>
      <c r="BY48" s="197">
        <f>BW48/100*BY46</f>
        <v>0</v>
      </c>
      <c r="BZ48" s="198"/>
      <c r="CA48" s="179">
        <f>IFERROR(+BY48-CB48,"")</f>
        <v>0</v>
      </c>
      <c r="CB48" s="199">
        <f>BW48/100*CB46</f>
        <v>0</v>
      </c>
      <c r="CC48" s="176"/>
      <c r="CD48" s="176"/>
      <c r="CE48" s="176"/>
      <c r="CF48" s="81"/>
      <c r="CG48" s="177"/>
      <c r="CH48" s="194" t="str">
        <f>"Adjusment "&amp;" %"</f>
        <v>Adjusment  %</v>
      </c>
      <c r="CI48" s="195"/>
      <c r="CJ48" s="196"/>
      <c r="CK48" s="197">
        <f>CI48/100*CK46</f>
        <v>0</v>
      </c>
      <c r="CL48" s="198"/>
      <c r="CM48" s="179">
        <f>IFERROR(+CK48-CN48,"")</f>
        <v>0</v>
      </c>
      <c r="CN48" s="199">
        <f>CI48/100*CN46</f>
        <v>0</v>
      </c>
      <c r="CO48" s="176"/>
      <c r="CP48" s="176"/>
      <c r="CQ48" s="176"/>
      <c r="CR48" s="81"/>
      <c r="CS48" s="177"/>
      <c r="CT48" s="194" t="str">
        <f>"Adjusment "&amp;" %"</f>
        <v>Adjusment  %</v>
      </c>
      <c r="CU48" s="195"/>
      <c r="CV48" s="196"/>
      <c r="CW48" s="197">
        <f>CU48/100*CW46</f>
        <v>0</v>
      </c>
      <c r="CX48" s="198"/>
      <c r="CY48" s="179">
        <f>IFERROR(+CW48-CZ48,"")</f>
        <v>0</v>
      </c>
      <c r="CZ48" s="199">
        <f>CU48/100*CZ46</f>
        <v>0</v>
      </c>
      <c r="DA48" s="176"/>
      <c r="DB48" s="176"/>
      <c r="DC48" s="176"/>
      <c r="DD48" s="81"/>
      <c r="DE48" s="177"/>
      <c r="DF48" s="194" t="str">
        <f>"Adjusment "&amp;" %"</f>
        <v>Adjusment  %</v>
      </c>
      <c r="DG48" s="195"/>
      <c r="DH48" s="196"/>
      <c r="DI48" s="197">
        <f>DG48/100*DI46</f>
        <v>0</v>
      </c>
      <c r="DJ48" s="198"/>
      <c r="DK48" s="179">
        <f>IFERROR(+DI48-DL48,"")</f>
        <v>0</v>
      </c>
      <c r="DL48" s="199">
        <f>DG48/100*DL46</f>
        <v>0</v>
      </c>
      <c r="DM48" s="176"/>
      <c r="DN48" s="176"/>
      <c r="DO48" s="176"/>
      <c r="DP48" s="81"/>
      <c r="DQ48" s="177"/>
      <c r="DR48" s="194" t="str">
        <f>"Adjusment "&amp;" %"</f>
        <v>Adjusment  %</v>
      </c>
      <c r="DS48" s="195"/>
      <c r="DT48" s="196"/>
      <c r="DU48" s="197">
        <f>DS48/100*DU46</f>
        <v>0</v>
      </c>
      <c r="DV48" s="198"/>
      <c r="DW48" s="179">
        <f>IFERROR(+DU48-DX48,"")</f>
        <v>0</v>
      </c>
      <c r="DX48" s="199">
        <f>DS48/100*DX46</f>
        <v>0</v>
      </c>
      <c r="DY48" s="176"/>
      <c r="DZ48" s="176"/>
      <c r="EA48" s="176"/>
      <c r="EB48" s="81"/>
      <c r="EC48" s="177"/>
      <c r="ED48" s="194" t="str">
        <f>"Adjusment "&amp;" %"</f>
        <v>Adjusment  %</v>
      </c>
      <c r="EE48" s="195"/>
      <c r="EF48" s="196"/>
      <c r="EG48" s="197">
        <f>EE48/100*EG46</f>
        <v>0</v>
      </c>
      <c r="EH48" s="198"/>
      <c r="EI48" s="179">
        <f>IFERROR(+EG48-EJ48,"")</f>
        <v>0</v>
      </c>
      <c r="EJ48" s="199">
        <f>EE48/100*EJ46</f>
        <v>0</v>
      </c>
      <c r="EK48" s="176"/>
      <c r="EL48" s="176"/>
      <c r="EM48" s="176"/>
      <c r="EN48" s="81"/>
      <c r="EO48" s="177"/>
      <c r="EP48" s="194" t="str">
        <f>"Adjusment "&amp;" %"</f>
        <v>Adjusment  %</v>
      </c>
      <c r="EQ48" s="195"/>
      <c r="ER48" s="196"/>
      <c r="ES48" s="197">
        <f>EQ48/100*ES46</f>
        <v>0</v>
      </c>
      <c r="ET48" s="198"/>
      <c r="EU48" s="179">
        <f>IFERROR(+ES48-EV48,"")</f>
        <v>0</v>
      </c>
      <c r="EV48" s="199">
        <f>EQ48/100*EV46</f>
        <v>0</v>
      </c>
      <c r="EW48" s="176"/>
      <c r="EX48" s="176"/>
      <c r="EY48" s="176"/>
      <c r="EZ48" s="81"/>
      <c r="FA48" s="177"/>
      <c r="FB48" s="194" t="str">
        <f>"Adjusment "&amp;" %"</f>
        <v>Adjusment  %</v>
      </c>
      <c r="FC48" s="195"/>
      <c r="FD48" s="196"/>
      <c r="FE48" s="197">
        <f>FC48/100*FE46</f>
        <v>0</v>
      </c>
      <c r="FF48" s="198"/>
      <c r="FG48" s="179">
        <f>IFERROR(+FE48-FH48,"")</f>
        <v>0</v>
      </c>
      <c r="FH48" s="199">
        <f>FC48/100*FH46</f>
        <v>0</v>
      </c>
      <c r="FI48" s="176"/>
      <c r="FJ48" s="176"/>
      <c r="FK48" s="176"/>
      <c r="FL48" s="81"/>
      <c r="FM48" s="177"/>
      <c r="FN48" s="194" t="str">
        <f>"Adjusment "&amp;" %"</f>
        <v>Adjusment  %</v>
      </c>
      <c r="FO48" s="195"/>
      <c r="FP48" s="196"/>
      <c r="FQ48" s="197">
        <f>FO48/100*FQ46</f>
        <v>0</v>
      </c>
      <c r="FR48" s="198"/>
      <c r="FS48" s="179">
        <f>IFERROR(+FQ48-FT48,"")</f>
        <v>0</v>
      </c>
      <c r="FT48" s="199">
        <f>FO48/100*FT46</f>
        <v>0</v>
      </c>
      <c r="FU48" s="176"/>
      <c r="FV48" s="176"/>
      <c r="FW48" s="176"/>
      <c r="FX48" s="81"/>
      <c r="FY48" s="177"/>
      <c r="FZ48" s="194" t="str">
        <f>"Adjusment "&amp;" %"</f>
        <v>Adjusment  %</v>
      </c>
      <c r="GA48" s="195"/>
      <c r="GB48" s="196"/>
      <c r="GC48" s="197">
        <f>GA48/100*GC46</f>
        <v>0</v>
      </c>
      <c r="GD48" s="198"/>
      <c r="GE48" s="179">
        <f>IFERROR(+GC48-GF48,"")</f>
        <v>0</v>
      </c>
      <c r="GF48" s="199">
        <f>GA48/100*GF46</f>
        <v>0</v>
      </c>
      <c r="GG48" s="176"/>
      <c r="GH48" s="176"/>
      <c r="GI48" s="176"/>
      <c r="GJ48" s="81"/>
      <c r="GK48" s="177"/>
      <c r="GL48" s="194" t="str">
        <f>"Adjusment "&amp;" %"</f>
        <v>Adjusment  %</v>
      </c>
      <c r="GM48" s="195"/>
      <c r="GN48" s="196"/>
      <c r="GO48" s="197">
        <f>GM48/100*GO46</f>
        <v>0</v>
      </c>
      <c r="GP48" s="198"/>
      <c r="GQ48" s="179">
        <f>IFERROR(+GO48-GR48,"")</f>
        <v>0</v>
      </c>
      <c r="GR48" s="199">
        <f>GM48/100*GR46</f>
        <v>0</v>
      </c>
      <c r="GS48" s="176"/>
      <c r="GT48" s="176"/>
      <c r="GU48" s="176"/>
      <c r="GV48" s="81"/>
      <c r="GW48" s="177"/>
      <c r="GX48" s="194" t="str">
        <f>"Adjusment "&amp;" %"</f>
        <v>Adjusment  %</v>
      </c>
      <c r="GY48" s="195"/>
      <c r="GZ48" s="196"/>
      <c r="HA48" s="197">
        <f>GY48/100*HA46</f>
        <v>0</v>
      </c>
      <c r="HB48" s="198"/>
      <c r="HC48" s="179">
        <f>IFERROR(+HA48-HD48,"")</f>
        <v>0</v>
      </c>
      <c r="HD48" s="199">
        <f>GY48/100*HD46</f>
        <v>0</v>
      </c>
      <c r="HE48" s="176"/>
      <c r="HF48" s="176"/>
      <c r="HG48" s="176"/>
      <c r="HH48" s="81"/>
      <c r="HI48" s="75"/>
    </row>
    <row r="49" ht="15.75" customHeight="1">
      <c r="A49" s="177"/>
      <c r="B49" s="185"/>
      <c r="C49" s="179"/>
      <c r="D49" s="179"/>
      <c r="E49" s="179"/>
      <c r="F49" s="179"/>
      <c r="G49" s="179"/>
      <c r="H49" s="181"/>
      <c r="I49" s="176"/>
      <c r="J49" s="176"/>
      <c r="K49" s="176"/>
      <c r="L49" s="81"/>
      <c r="M49" s="177"/>
      <c r="N49" s="185"/>
      <c r="O49" s="179"/>
      <c r="P49" s="179"/>
      <c r="Q49" s="179"/>
      <c r="R49" s="179"/>
      <c r="S49" s="179"/>
      <c r="T49" s="181"/>
      <c r="U49" s="176"/>
      <c r="V49" s="176"/>
      <c r="W49" s="176"/>
      <c r="X49" s="81"/>
      <c r="Y49" s="177"/>
      <c r="Z49" s="185"/>
      <c r="AA49" s="179"/>
      <c r="AB49" s="179"/>
      <c r="AC49" s="179"/>
      <c r="AD49" s="179"/>
      <c r="AE49" s="179"/>
      <c r="AF49" s="181"/>
      <c r="AG49" s="176"/>
      <c r="AH49" s="176"/>
      <c r="AI49" s="176"/>
      <c r="AJ49" s="81"/>
      <c r="AK49" s="177"/>
      <c r="AL49" s="185"/>
      <c r="AM49" s="179"/>
      <c r="AN49" s="179"/>
      <c r="AO49" s="179"/>
      <c r="AP49" s="179"/>
      <c r="AQ49" s="179"/>
      <c r="AR49" s="181"/>
      <c r="AS49" s="176"/>
      <c r="AT49" s="176"/>
      <c r="AU49" s="176"/>
      <c r="AV49" s="81"/>
      <c r="AW49" s="177"/>
      <c r="AX49" s="185"/>
      <c r="AY49" s="179"/>
      <c r="AZ49" s="179"/>
      <c r="BA49" s="179"/>
      <c r="BB49" s="179"/>
      <c r="BC49" s="179"/>
      <c r="BD49" s="181"/>
      <c r="BE49" s="176"/>
      <c r="BF49" s="176"/>
      <c r="BG49" s="176"/>
      <c r="BH49" s="81"/>
      <c r="BI49" s="177"/>
      <c r="BJ49" s="185"/>
      <c r="BK49" s="179"/>
      <c r="BL49" s="179"/>
      <c r="BM49" s="179"/>
      <c r="BN49" s="179"/>
      <c r="BO49" s="179"/>
      <c r="BP49" s="181"/>
      <c r="BQ49" s="176"/>
      <c r="BR49" s="176"/>
      <c r="BS49" s="176"/>
      <c r="BT49" s="81"/>
      <c r="BU49" s="177"/>
      <c r="BV49" s="185"/>
      <c r="BW49" s="179"/>
      <c r="BX49" s="179"/>
      <c r="BY49" s="179"/>
      <c r="BZ49" s="179"/>
      <c r="CA49" s="179"/>
      <c r="CB49" s="181"/>
      <c r="CC49" s="176"/>
      <c r="CD49" s="176"/>
      <c r="CE49" s="176"/>
      <c r="CF49" s="81"/>
      <c r="CG49" s="177"/>
      <c r="CH49" s="185"/>
      <c r="CI49" s="179"/>
      <c r="CJ49" s="179"/>
      <c r="CK49" s="179"/>
      <c r="CL49" s="179"/>
      <c r="CM49" s="179"/>
      <c r="CN49" s="181"/>
      <c r="CO49" s="176"/>
      <c r="CP49" s="176"/>
      <c r="CQ49" s="176"/>
      <c r="CR49" s="81"/>
      <c r="CS49" s="177"/>
      <c r="CT49" s="185"/>
      <c r="CU49" s="179"/>
      <c r="CV49" s="179"/>
      <c r="CW49" s="179"/>
      <c r="CX49" s="179"/>
      <c r="CY49" s="179"/>
      <c r="CZ49" s="181"/>
      <c r="DA49" s="176"/>
      <c r="DB49" s="176"/>
      <c r="DC49" s="176"/>
      <c r="DD49" s="81"/>
      <c r="DE49" s="177"/>
      <c r="DF49" s="185"/>
      <c r="DG49" s="179"/>
      <c r="DH49" s="179"/>
      <c r="DI49" s="179"/>
      <c r="DJ49" s="179"/>
      <c r="DK49" s="179"/>
      <c r="DL49" s="181"/>
      <c r="DM49" s="176"/>
      <c r="DN49" s="176"/>
      <c r="DO49" s="176"/>
      <c r="DP49" s="81"/>
      <c r="DQ49" s="177"/>
      <c r="DR49" s="185"/>
      <c r="DS49" s="179"/>
      <c r="DT49" s="179"/>
      <c r="DU49" s="179"/>
      <c r="DV49" s="179"/>
      <c r="DW49" s="179"/>
      <c r="DX49" s="181"/>
      <c r="DY49" s="176"/>
      <c r="DZ49" s="176"/>
      <c r="EA49" s="176"/>
      <c r="EB49" s="81"/>
      <c r="EC49" s="177"/>
      <c r="ED49" s="185"/>
      <c r="EE49" s="179"/>
      <c r="EF49" s="179"/>
      <c r="EG49" s="179"/>
      <c r="EH49" s="179"/>
      <c r="EI49" s="179"/>
      <c r="EJ49" s="181"/>
      <c r="EK49" s="176"/>
      <c r="EL49" s="176"/>
      <c r="EM49" s="176"/>
      <c r="EN49" s="81"/>
      <c r="EO49" s="177"/>
      <c r="EP49" s="185"/>
      <c r="EQ49" s="179"/>
      <c r="ER49" s="179"/>
      <c r="ES49" s="179"/>
      <c r="ET49" s="179"/>
      <c r="EU49" s="179"/>
      <c r="EV49" s="181"/>
      <c r="EW49" s="176"/>
      <c r="EX49" s="176"/>
      <c r="EY49" s="176"/>
      <c r="EZ49" s="81"/>
      <c r="FA49" s="177"/>
      <c r="FB49" s="185"/>
      <c r="FC49" s="179"/>
      <c r="FD49" s="179"/>
      <c r="FE49" s="179"/>
      <c r="FF49" s="179"/>
      <c r="FG49" s="179"/>
      <c r="FH49" s="181"/>
      <c r="FI49" s="176"/>
      <c r="FJ49" s="176"/>
      <c r="FK49" s="176"/>
      <c r="FL49" s="81"/>
      <c r="FM49" s="177"/>
      <c r="FN49" s="185"/>
      <c r="FO49" s="179"/>
      <c r="FP49" s="179"/>
      <c r="FQ49" s="179"/>
      <c r="FR49" s="179"/>
      <c r="FS49" s="179"/>
      <c r="FT49" s="181"/>
      <c r="FU49" s="176"/>
      <c r="FV49" s="176"/>
      <c r="FW49" s="176"/>
      <c r="FX49" s="81"/>
      <c r="FY49" s="177"/>
      <c r="FZ49" s="185"/>
      <c r="GA49" s="179"/>
      <c r="GB49" s="179"/>
      <c r="GC49" s="179"/>
      <c r="GD49" s="179"/>
      <c r="GE49" s="179"/>
      <c r="GF49" s="181"/>
      <c r="GG49" s="176"/>
      <c r="GH49" s="176"/>
      <c r="GI49" s="176"/>
      <c r="GJ49" s="81"/>
      <c r="GK49" s="177"/>
      <c r="GL49" s="185"/>
      <c r="GM49" s="179"/>
      <c r="GN49" s="179"/>
      <c r="GO49" s="179"/>
      <c r="GP49" s="179"/>
      <c r="GQ49" s="179"/>
      <c r="GR49" s="181"/>
      <c r="GS49" s="176"/>
      <c r="GT49" s="176"/>
      <c r="GU49" s="176"/>
      <c r="GV49" s="81"/>
      <c r="GW49" s="177"/>
      <c r="GX49" s="185"/>
      <c r="GY49" s="179"/>
      <c r="GZ49" s="179"/>
      <c r="HA49" s="179"/>
      <c r="HB49" s="179"/>
      <c r="HC49" s="179"/>
      <c r="HD49" s="181"/>
      <c r="HE49" s="176"/>
      <c r="HF49" s="176"/>
      <c r="HG49" s="176"/>
      <c r="HH49" s="81"/>
      <c r="HI49" s="75"/>
    </row>
    <row r="50" ht="24.0" customHeight="1">
      <c r="A50" s="200" t="s">
        <v>78</v>
      </c>
      <c r="B50" s="144"/>
      <c r="C50" s="201">
        <f>SUM(C46:C49)</f>
        <v>0</v>
      </c>
      <c r="D50" s="202"/>
      <c r="E50" s="201">
        <f>SUM(E46:E49)</f>
        <v>0</v>
      </c>
      <c r="F50" s="202"/>
      <c r="G50" s="201">
        <f t="shared" ref="G50:H50" si="235">SUM(G46:G49)</f>
        <v>0</v>
      </c>
      <c r="H50" s="203">
        <f t="shared" si="235"/>
        <v>0</v>
      </c>
      <c r="I50" s="176"/>
      <c r="J50" s="176"/>
      <c r="K50" s="176"/>
      <c r="L50" s="81"/>
      <c r="M50" s="200" t="s">
        <v>78</v>
      </c>
      <c r="N50" s="144"/>
      <c r="O50" s="201">
        <f>SUM(O46:O49)</f>
        <v>0</v>
      </c>
      <c r="P50" s="202"/>
      <c r="Q50" s="201">
        <f>SUM(Q46:Q49)</f>
        <v>0</v>
      </c>
      <c r="R50" s="202"/>
      <c r="S50" s="201">
        <f t="shared" ref="S50:T50" si="236">SUM(S46:S49)</f>
        <v>0</v>
      </c>
      <c r="T50" s="203">
        <f t="shared" si="236"/>
        <v>0</v>
      </c>
      <c r="U50" s="176"/>
      <c r="V50" s="176"/>
      <c r="W50" s="176"/>
      <c r="X50" s="81"/>
      <c r="Y50" s="200" t="s">
        <v>78</v>
      </c>
      <c r="Z50" s="144"/>
      <c r="AA50" s="201">
        <f>SUM(AA46:AA49)</f>
        <v>0</v>
      </c>
      <c r="AB50" s="202"/>
      <c r="AC50" s="201">
        <f>SUM(AC46:AC49)</f>
        <v>0</v>
      </c>
      <c r="AD50" s="202"/>
      <c r="AE50" s="201">
        <f t="shared" ref="AE50:AF50" si="237">SUM(AE46:AE49)</f>
        <v>0</v>
      </c>
      <c r="AF50" s="203">
        <f t="shared" si="237"/>
        <v>0</v>
      </c>
      <c r="AG50" s="176"/>
      <c r="AH50" s="176"/>
      <c r="AI50" s="176"/>
      <c r="AJ50" s="81"/>
      <c r="AK50" s="200" t="s">
        <v>78</v>
      </c>
      <c r="AL50" s="144"/>
      <c r="AM50" s="201">
        <f>SUM(AM46:AM49)</f>
        <v>0</v>
      </c>
      <c r="AN50" s="202"/>
      <c r="AO50" s="201">
        <f>SUM(AO46:AO49)</f>
        <v>0</v>
      </c>
      <c r="AP50" s="202"/>
      <c r="AQ50" s="201">
        <f t="shared" ref="AQ50:AR50" si="238">SUM(AQ46:AQ49)</f>
        <v>0</v>
      </c>
      <c r="AR50" s="203">
        <f t="shared" si="238"/>
        <v>0</v>
      </c>
      <c r="AS50" s="176"/>
      <c r="AT50" s="176"/>
      <c r="AU50" s="176"/>
      <c r="AV50" s="81"/>
      <c r="AW50" s="200" t="s">
        <v>78</v>
      </c>
      <c r="AX50" s="144"/>
      <c r="AY50" s="201">
        <f>SUM(AY46:AY49)</f>
        <v>0</v>
      </c>
      <c r="AZ50" s="202"/>
      <c r="BA50" s="201">
        <f>SUM(BA46:BA49)</f>
        <v>0</v>
      </c>
      <c r="BB50" s="202"/>
      <c r="BC50" s="201">
        <f t="shared" ref="BC50:BD50" si="239">SUM(BC46:BC49)</f>
        <v>0</v>
      </c>
      <c r="BD50" s="203">
        <f t="shared" si="239"/>
        <v>0</v>
      </c>
      <c r="BE50" s="176"/>
      <c r="BF50" s="176"/>
      <c r="BG50" s="176"/>
      <c r="BH50" s="81"/>
      <c r="BI50" s="200" t="s">
        <v>78</v>
      </c>
      <c r="BJ50" s="144"/>
      <c r="BK50" s="201">
        <f>SUM(BK46:BK49)</f>
        <v>0</v>
      </c>
      <c r="BL50" s="202"/>
      <c r="BM50" s="201">
        <f>SUM(BM46:BM49)</f>
        <v>0</v>
      </c>
      <c r="BN50" s="202"/>
      <c r="BO50" s="201">
        <f t="shared" ref="BO50:BP50" si="240">SUM(BO46:BO49)</f>
        <v>0</v>
      </c>
      <c r="BP50" s="203">
        <f t="shared" si="240"/>
        <v>0</v>
      </c>
      <c r="BQ50" s="176"/>
      <c r="BR50" s="176"/>
      <c r="BS50" s="176"/>
      <c r="BT50" s="81"/>
      <c r="BU50" s="200" t="s">
        <v>78</v>
      </c>
      <c r="BV50" s="144"/>
      <c r="BW50" s="201">
        <f>SUM(BW46:BW49)</f>
        <v>0</v>
      </c>
      <c r="BX50" s="202"/>
      <c r="BY50" s="201">
        <f>SUM(BY46:BY49)</f>
        <v>0</v>
      </c>
      <c r="BZ50" s="202"/>
      <c r="CA50" s="201">
        <f t="shared" ref="CA50:CB50" si="241">SUM(CA46:CA49)</f>
        <v>0</v>
      </c>
      <c r="CB50" s="203">
        <f t="shared" si="241"/>
        <v>0</v>
      </c>
      <c r="CC50" s="176"/>
      <c r="CD50" s="176"/>
      <c r="CE50" s="176"/>
      <c r="CF50" s="81"/>
      <c r="CG50" s="200" t="s">
        <v>78</v>
      </c>
      <c r="CH50" s="144"/>
      <c r="CI50" s="201">
        <f>SUM(CI46:CI49)</f>
        <v>0</v>
      </c>
      <c r="CJ50" s="202"/>
      <c r="CK50" s="201">
        <f>SUM(CK46:CK49)</f>
        <v>0</v>
      </c>
      <c r="CL50" s="202"/>
      <c r="CM50" s="201">
        <f t="shared" ref="CM50:CN50" si="242">SUM(CM46:CM49)</f>
        <v>0</v>
      </c>
      <c r="CN50" s="203">
        <f t="shared" si="242"/>
        <v>0</v>
      </c>
      <c r="CO50" s="176"/>
      <c r="CP50" s="176"/>
      <c r="CQ50" s="176"/>
      <c r="CR50" s="81"/>
      <c r="CS50" s="200" t="s">
        <v>78</v>
      </c>
      <c r="CT50" s="144"/>
      <c r="CU50" s="201">
        <f>SUM(CU46:CU49)</f>
        <v>0</v>
      </c>
      <c r="CV50" s="202"/>
      <c r="CW50" s="201">
        <f>SUM(CW46:CW49)</f>
        <v>0</v>
      </c>
      <c r="CX50" s="202"/>
      <c r="CY50" s="201">
        <f t="shared" ref="CY50:CZ50" si="243">SUM(CY46:CY49)</f>
        <v>0</v>
      </c>
      <c r="CZ50" s="203">
        <f t="shared" si="243"/>
        <v>0</v>
      </c>
      <c r="DA50" s="176"/>
      <c r="DB50" s="176"/>
      <c r="DC50" s="176"/>
      <c r="DD50" s="81"/>
      <c r="DE50" s="200" t="s">
        <v>78</v>
      </c>
      <c r="DF50" s="144"/>
      <c r="DG50" s="201">
        <f>SUM(DG46:DG49)</f>
        <v>4257432.528</v>
      </c>
      <c r="DH50" s="202"/>
      <c r="DI50" s="201">
        <f>SUM(DI46:DI49)</f>
        <v>49463.13238</v>
      </c>
      <c r="DJ50" s="202"/>
      <c r="DK50" s="201">
        <f t="shared" ref="DK50:DL50" si="244">SUM(DK46:DK49)</f>
        <v>8268.389081</v>
      </c>
      <c r="DL50" s="203">
        <f t="shared" si="244"/>
        <v>41194.7433</v>
      </c>
      <c r="DM50" s="176"/>
      <c r="DN50" s="176"/>
      <c r="DO50" s="176"/>
      <c r="DP50" s="81"/>
      <c r="DQ50" s="200" t="s">
        <v>78</v>
      </c>
      <c r="DR50" s="144"/>
      <c r="DS50" s="201">
        <f>SUM(DS46:DS49)</f>
        <v>4632759.47</v>
      </c>
      <c r="DT50" s="202"/>
      <c r="DU50" s="201">
        <f>SUM(DU46:DU49)</f>
        <v>53823.70559</v>
      </c>
      <c r="DV50" s="202"/>
      <c r="DW50" s="201">
        <f t="shared" ref="DW50:DX50" si="245">SUM(DW46:DW49)</f>
        <v>8997.314124</v>
      </c>
      <c r="DX50" s="203">
        <f t="shared" si="245"/>
        <v>44826.39147</v>
      </c>
      <c r="DY50" s="176"/>
      <c r="DZ50" s="176"/>
      <c r="EA50" s="176"/>
      <c r="EB50" s="81"/>
      <c r="EC50" s="200" t="s">
        <v>78</v>
      </c>
      <c r="ED50" s="144"/>
      <c r="EE50" s="201">
        <f>SUM(EE46:EE49)</f>
        <v>4724099.574</v>
      </c>
      <c r="EF50" s="202"/>
      <c r="EG50" s="201">
        <f>SUM(EG46:EG49)</f>
        <v>54884.90096</v>
      </c>
      <c r="EH50" s="202"/>
      <c r="EI50" s="201">
        <f t="shared" ref="EI50:EJ50" si="246">SUM(EI46:EI49)</f>
        <v>9174.70637</v>
      </c>
      <c r="EJ50" s="203">
        <f t="shared" si="246"/>
        <v>45710.19459</v>
      </c>
      <c r="EK50" s="176"/>
      <c r="EL50" s="176"/>
      <c r="EM50" s="176"/>
      <c r="EN50" s="81"/>
      <c r="EO50" s="200" t="s">
        <v>78</v>
      </c>
      <c r="EP50" s="144"/>
      <c r="EQ50" s="201">
        <f>SUM(EQ46:EQ49)</f>
        <v>5275906.803</v>
      </c>
      <c r="ER50" s="202"/>
      <c r="ES50" s="201">
        <f>SUM(ES46:ES49)</f>
        <v>61295.8338</v>
      </c>
      <c r="ET50" s="202"/>
      <c r="EU50" s="201">
        <f t="shared" ref="EU50:EV50" si="247">SUM(EU46:EU49)</f>
        <v>10246.375</v>
      </c>
      <c r="EV50" s="203">
        <f t="shared" si="247"/>
        <v>51049.4588</v>
      </c>
      <c r="EW50" s="176"/>
      <c r="EX50" s="176"/>
      <c r="EY50" s="176"/>
      <c r="EZ50" s="81"/>
      <c r="FA50" s="200" t="s">
        <v>78</v>
      </c>
      <c r="FB50" s="144"/>
      <c r="FC50" s="201">
        <f>SUM(FC46:FC49)</f>
        <v>5569798.401</v>
      </c>
      <c r="FD50" s="202"/>
      <c r="FE50" s="201">
        <f>SUM(FE46:FE49)</f>
        <v>64710.28581</v>
      </c>
      <c r="FF50" s="202"/>
      <c r="FG50" s="201">
        <f t="shared" ref="FG50:FH50" si="248">SUM(FG46:FG49)</f>
        <v>10817.1439</v>
      </c>
      <c r="FH50" s="203">
        <f t="shared" si="248"/>
        <v>53893.14191</v>
      </c>
      <c r="FI50" s="176"/>
      <c r="FJ50" s="176"/>
      <c r="FK50" s="176"/>
      <c r="FL50" s="81"/>
      <c r="FM50" s="200" t="s">
        <v>78</v>
      </c>
      <c r="FN50" s="144"/>
      <c r="FO50" s="201">
        <f>SUM(FO46:FO49)</f>
        <v>6436346.227</v>
      </c>
      <c r="FP50" s="202"/>
      <c r="FQ50" s="201">
        <f>SUM(FQ46:FQ49)</f>
        <v>74777.89569</v>
      </c>
      <c r="FR50" s="202"/>
      <c r="FS50" s="201">
        <f t="shared" ref="FS50:FT50" si="249">SUM(FS46:FS49)</f>
        <v>12500.07241</v>
      </c>
      <c r="FT50" s="203">
        <f t="shared" si="249"/>
        <v>62277.82329</v>
      </c>
      <c r="FU50" s="176"/>
      <c r="FV50" s="176"/>
      <c r="FW50" s="176"/>
      <c r="FX50" s="81"/>
      <c r="FY50" s="200" t="s">
        <v>78</v>
      </c>
      <c r="FZ50" s="144"/>
      <c r="GA50" s="201">
        <f>SUM(GA46:GA49)</f>
        <v>7351347.437</v>
      </c>
      <c r="GB50" s="202"/>
      <c r="GC50" s="201">
        <f>SUM(GC46:GC49)</f>
        <v>85408.44021</v>
      </c>
      <c r="GD50" s="202"/>
      <c r="GE50" s="201">
        <f t="shared" ref="GE50:GF50" si="250">SUM(GE46:GE49)</f>
        <v>14277.10257</v>
      </c>
      <c r="GF50" s="203">
        <f t="shared" si="250"/>
        <v>71131.33764</v>
      </c>
      <c r="GG50" s="176"/>
      <c r="GH50" s="176"/>
      <c r="GI50" s="176"/>
      <c r="GJ50" s="81"/>
      <c r="GK50" s="200" t="s">
        <v>78</v>
      </c>
      <c r="GL50" s="144"/>
      <c r="GM50" s="201">
        <f>SUM(GM46:GM49)</f>
        <v>7813925.989</v>
      </c>
      <c r="GN50" s="202"/>
      <c r="GO50" s="201">
        <f>SUM(GO46:GO49)</f>
        <v>90782.70838</v>
      </c>
      <c r="GP50" s="202"/>
      <c r="GQ50" s="201">
        <f t="shared" ref="GQ50:GR50" si="251">SUM(GQ46:GQ49)</f>
        <v>15175.47956</v>
      </c>
      <c r="GR50" s="203">
        <f t="shared" si="251"/>
        <v>75607.22881</v>
      </c>
      <c r="GS50" s="176"/>
      <c r="GT50" s="176"/>
      <c r="GU50" s="176"/>
      <c r="GV50" s="81"/>
      <c r="GW50" s="200" t="s">
        <v>78</v>
      </c>
      <c r="GX50" s="144"/>
      <c r="GY50" s="201">
        <f>SUM(GY46:GY49)</f>
        <v>0</v>
      </c>
      <c r="GZ50" s="202"/>
      <c r="HA50" s="201">
        <f>SUM(HA46:HA49)</f>
        <v>0</v>
      </c>
      <c r="HB50" s="202"/>
      <c r="HC50" s="201">
        <f t="shared" ref="HC50:HD50" si="252">SUM(HC46:HC49)</f>
        <v>0</v>
      </c>
      <c r="HD50" s="203">
        <f t="shared" si="252"/>
        <v>0</v>
      </c>
      <c r="HE50" s="176"/>
      <c r="HF50" s="176"/>
      <c r="HG50" s="176"/>
      <c r="HH50" s="81"/>
      <c r="HI50" s="75"/>
    </row>
    <row r="51" ht="15.0" customHeight="1">
      <c r="A51" s="74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81"/>
      <c r="M51" s="74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81"/>
      <c r="Y51" s="74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81"/>
      <c r="AK51" s="74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81"/>
      <c r="AW51" s="74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81"/>
      <c r="BI51" s="74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81"/>
      <c r="BU51" s="74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81"/>
      <c r="CG51" s="74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81"/>
      <c r="CS51" s="74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81"/>
      <c r="DE51" s="74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81"/>
      <c r="DQ51" s="74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81"/>
      <c r="EC51" s="74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81"/>
      <c r="EO51" s="74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81"/>
      <c r="FA51" s="74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81"/>
      <c r="FM51" s="74"/>
      <c r="FN51" s="75"/>
      <c r="FO51" s="75"/>
      <c r="FP51" s="75"/>
      <c r="FQ51" s="75"/>
      <c r="FR51" s="75"/>
      <c r="FS51" s="75"/>
      <c r="FT51" s="75"/>
      <c r="FU51" s="75"/>
      <c r="FV51" s="75"/>
      <c r="FW51" s="75"/>
      <c r="FX51" s="81"/>
      <c r="FY51" s="74"/>
      <c r="FZ51" s="75"/>
      <c r="GA51" s="75"/>
      <c r="GB51" s="75"/>
      <c r="GC51" s="75"/>
      <c r="GD51" s="75"/>
      <c r="GE51" s="75"/>
      <c r="GF51" s="75"/>
      <c r="GG51" s="75"/>
      <c r="GH51" s="75"/>
      <c r="GI51" s="75"/>
      <c r="GJ51" s="81"/>
      <c r="GK51" s="74"/>
      <c r="GL51" s="75"/>
      <c r="GM51" s="75"/>
      <c r="GN51" s="75"/>
      <c r="GO51" s="75"/>
      <c r="GP51" s="75"/>
      <c r="GQ51" s="75"/>
      <c r="GR51" s="75"/>
      <c r="GS51" s="75"/>
      <c r="GT51" s="75"/>
      <c r="GU51" s="75"/>
      <c r="GV51" s="81"/>
      <c r="GW51" s="74"/>
      <c r="GX51" s="75"/>
      <c r="GY51" s="75"/>
      <c r="GZ51" s="75"/>
      <c r="HA51" s="75"/>
      <c r="HB51" s="75"/>
      <c r="HC51" s="75"/>
      <c r="HD51" s="75"/>
      <c r="HE51" s="75"/>
      <c r="HF51" s="75"/>
      <c r="HG51" s="75"/>
      <c r="HH51" s="81"/>
      <c r="HI51" s="75"/>
    </row>
    <row r="52" ht="15.0" customHeight="1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81"/>
      <c r="M52" s="74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81"/>
      <c r="Y52" s="74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81"/>
      <c r="AK52" s="74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81"/>
      <c r="AW52" s="74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81"/>
      <c r="BI52" s="74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81"/>
      <c r="BU52" s="74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81"/>
      <c r="CG52" s="74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81"/>
      <c r="CS52" s="74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81"/>
      <c r="DE52" s="74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81"/>
      <c r="DQ52" s="74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81"/>
      <c r="EC52" s="74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81"/>
      <c r="EO52" s="74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81"/>
      <c r="FA52" s="74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81"/>
      <c r="FM52" s="74"/>
      <c r="FN52" s="75"/>
      <c r="FO52" s="75"/>
      <c r="FP52" s="75"/>
      <c r="FQ52" s="75"/>
      <c r="FR52" s="75"/>
      <c r="FS52" s="75"/>
      <c r="FT52" s="75"/>
      <c r="FU52" s="75"/>
      <c r="FV52" s="75"/>
      <c r="FW52" s="75"/>
      <c r="FX52" s="81"/>
      <c r="FY52" s="74"/>
      <c r="FZ52" s="75"/>
      <c r="GA52" s="75"/>
      <c r="GB52" s="75"/>
      <c r="GC52" s="75"/>
      <c r="GD52" s="75"/>
      <c r="GE52" s="75"/>
      <c r="GF52" s="75"/>
      <c r="GG52" s="75"/>
      <c r="GH52" s="75"/>
      <c r="GI52" s="75"/>
      <c r="GJ52" s="81"/>
      <c r="GK52" s="74"/>
      <c r="GL52" s="75"/>
      <c r="GM52" s="75"/>
      <c r="GN52" s="75"/>
      <c r="GO52" s="75"/>
      <c r="GP52" s="75"/>
      <c r="GQ52" s="75"/>
      <c r="GR52" s="75"/>
      <c r="GS52" s="75"/>
      <c r="GT52" s="75"/>
      <c r="GU52" s="75"/>
      <c r="GV52" s="81"/>
      <c r="GW52" s="74"/>
      <c r="GX52" s="75"/>
      <c r="GY52" s="75"/>
      <c r="GZ52" s="75"/>
      <c r="HA52" s="75"/>
      <c r="HB52" s="75"/>
      <c r="HC52" s="75"/>
      <c r="HD52" s="75"/>
      <c r="HE52" s="75"/>
      <c r="HF52" s="75"/>
      <c r="HG52" s="75"/>
      <c r="HH52" s="81"/>
      <c r="HI52" s="75"/>
    </row>
    <row r="53" ht="15.0" customHeight="1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81"/>
      <c r="M53" s="74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81"/>
      <c r="Y53" s="74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81"/>
      <c r="AK53" s="74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81"/>
      <c r="AW53" s="74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81"/>
      <c r="BI53" s="74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81"/>
      <c r="BU53" s="74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81"/>
      <c r="CG53" s="74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81"/>
      <c r="CS53" s="74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81"/>
      <c r="DE53" s="74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81"/>
      <c r="DQ53" s="74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81"/>
      <c r="EC53" s="74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81"/>
      <c r="EO53" s="74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81"/>
      <c r="FA53" s="74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81"/>
      <c r="FM53" s="74"/>
      <c r="FN53" s="75"/>
      <c r="FO53" s="75"/>
      <c r="FP53" s="75"/>
      <c r="FQ53" s="75"/>
      <c r="FR53" s="75"/>
      <c r="FS53" s="75"/>
      <c r="FT53" s="75"/>
      <c r="FU53" s="75"/>
      <c r="FV53" s="75"/>
      <c r="FW53" s="75"/>
      <c r="FX53" s="81"/>
      <c r="FY53" s="74"/>
      <c r="FZ53" s="75"/>
      <c r="GA53" s="75"/>
      <c r="GB53" s="75"/>
      <c r="GC53" s="75"/>
      <c r="GD53" s="75"/>
      <c r="GE53" s="75"/>
      <c r="GF53" s="75"/>
      <c r="GG53" s="75"/>
      <c r="GH53" s="75"/>
      <c r="GI53" s="75"/>
      <c r="GJ53" s="81"/>
      <c r="GK53" s="74"/>
      <c r="GL53" s="75"/>
      <c r="GM53" s="75"/>
      <c r="GN53" s="75"/>
      <c r="GO53" s="75"/>
      <c r="GP53" s="75"/>
      <c r="GQ53" s="75"/>
      <c r="GR53" s="75"/>
      <c r="GS53" s="75"/>
      <c r="GT53" s="75"/>
      <c r="GU53" s="75"/>
      <c r="GV53" s="81"/>
      <c r="GW53" s="74"/>
      <c r="GX53" s="75"/>
      <c r="GY53" s="75"/>
      <c r="GZ53" s="75"/>
      <c r="HA53" s="75"/>
      <c r="HB53" s="75"/>
      <c r="HC53" s="75"/>
      <c r="HD53" s="75"/>
      <c r="HE53" s="75"/>
      <c r="HF53" s="75"/>
      <c r="HG53" s="75"/>
      <c r="HH53" s="81"/>
      <c r="HI53" s="75"/>
    </row>
    <row r="54" ht="15.75" customHeight="1">
      <c r="A54" s="204"/>
      <c r="B54" s="205" t="s">
        <v>49</v>
      </c>
      <c r="C54" s="206" t="s">
        <v>50</v>
      </c>
      <c r="D54" s="207"/>
      <c r="E54" s="207"/>
      <c r="F54" s="207"/>
      <c r="G54" s="205" t="s">
        <v>51</v>
      </c>
      <c r="H54" s="207"/>
      <c r="I54" s="208"/>
      <c r="J54" s="87"/>
      <c r="K54" s="88" t="s">
        <v>83</v>
      </c>
      <c r="L54" s="89"/>
      <c r="M54" s="204"/>
      <c r="N54" s="205" t="s">
        <v>49</v>
      </c>
      <c r="O54" s="206" t="s">
        <v>50</v>
      </c>
      <c r="P54" s="207"/>
      <c r="Q54" s="207"/>
      <c r="R54" s="207"/>
      <c r="S54" s="205" t="s">
        <v>51</v>
      </c>
      <c r="T54" s="207"/>
      <c r="U54" s="208"/>
      <c r="V54" s="87"/>
      <c r="W54" s="88" t="s">
        <v>83</v>
      </c>
      <c r="X54" s="89"/>
      <c r="Y54" s="204"/>
      <c r="Z54" s="205" t="s">
        <v>49</v>
      </c>
      <c r="AA54" s="206" t="s">
        <v>50</v>
      </c>
      <c r="AB54" s="207"/>
      <c r="AC54" s="207"/>
      <c r="AD54" s="207"/>
      <c r="AE54" s="205" t="s">
        <v>51</v>
      </c>
      <c r="AF54" s="207"/>
      <c r="AG54" s="208"/>
      <c r="AH54" s="87"/>
      <c r="AI54" s="88" t="s">
        <v>83</v>
      </c>
      <c r="AJ54" s="89"/>
      <c r="AK54" s="204"/>
      <c r="AL54" s="205" t="s">
        <v>49</v>
      </c>
      <c r="AM54" s="206" t="s">
        <v>50</v>
      </c>
      <c r="AN54" s="207"/>
      <c r="AO54" s="207"/>
      <c r="AP54" s="207"/>
      <c r="AQ54" s="205" t="s">
        <v>51</v>
      </c>
      <c r="AR54" s="207"/>
      <c r="AS54" s="208"/>
      <c r="AT54" s="87"/>
      <c r="AU54" s="88" t="s">
        <v>83</v>
      </c>
      <c r="AV54" s="89"/>
      <c r="AW54" s="204"/>
      <c r="AX54" s="205" t="s">
        <v>49</v>
      </c>
      <c r="AY54" s="206" t="s">
        <v>50</v>
      </c>
      <c r="AZ54" s="207"/>
      <c r="BA54" s="207"/>
      <c r="BB54" s="207"/>
      <c r="BC54" s="205" t="s">
        <v>51</v>
      </c>
      <c r="BD54" s="207"/>
      <c r="BE54" s="208"/>
      <c r="BF54" s="87"/>
      <c r="BG54" s="88" t="s">
        <v>83</v>
      </c>
      <c r="BH54" s="89"/>
      <c r="BI54" s="204"/>
      <c r="BJ54" s="205" t="s">
        <v>49</v>
      </c>
      <c r="BK54" s="206" t="s">
        <v>50</v>
      </c>
      <c r="BL54" s="207"/>
      <c r="BM54" s="207"/>
      <c r="BN54" s="207"/>
      <c r="BO54" s="205" t="s">
        <v>51</v>
      </c>
      <c r="BP54" s="207"/>
      <c r="BQ54" s="208"/>
      <c r="BR54" s="87"/>
      <c r="BS54" s="88" t="s">
        <v>83</v>
      </c>
      <c r="BT54" s="89"/>
      <c r="BU54" s="204"/>
      <c r="BV54" s="205" t="s">
        <v>49</v>
      </c>
      <c r="BW54" s="206" t="s">
        <v>50</v>
      </c>
      <c r="BX54" s="207"/>
      <c r="BY54" s="207"/>
      <c r="BZ54" s="207"/>
      <c r="CA54" s="205" t="s">
        <v>51</v>
      </c>
      <c r="CB54" s="207"/>
      <c r="CC54" s="208"/>
      <c r="CD54" s="87"/>
      <c r="CE54" s="88" t="s">
        <v>83</v>
      </c>
      <c r="CF54" s="89"/>
      <c r="CG54" s="204"/>
      <c r="CH54" s="205" t="s">
        <v>49</v>
      </c>
      <c r="CI54" s="206" t="s">
        <v>50</v>
      </c>
      <c r="CJ54" s="207"/>
      <c r="CK54" s="207"/>
      <c r="CL54" s="207"/>
      <c r="CM54" s="205" t="s">
        <v>51</v>
      </c>
      <c r="CN54" s="207"/>
      <c r="CO54" s="208"/>
      <c r="CP54" s="87"/>
      <c r="CQ54" s="88" t="s">
        <v>83</v>
      </c>
      <c r="CR54" s="89"/>
      <c r="CS54" s="204"/>
      <c r="CT54" s="205" t="s">
        <v>49</v>
      </c>
      <c r="CU54" s="206" t="s">
        <v>50</v>
      </c>
      <c r="CV54" s="207"/>
      <c r="CW54" s="207"/>
      <c r="CX54" s="207"/>
      <c r="CY54" s="205" t="s">
        <v>51</v>
      </c>
      <c r="CZ54" s="207"/>
      <c r="DA54" s="208"/>
      <c r="DB54" s="87"/>
      <c r="DC54" s="88" t="s">
        <v>83</v>
      </c>
      <c r="DD54" s="89"/>
      <c r="DE54" s="204"/>
      <c r="DF54" s="205" t="s">
        <v>49</v>
      </c>
      <c r="DG54" s="206" t="s">
        <v>50</v>
      </c>
      <c r="DH54" s="207"/>
      <c r="DI54" s="207"/>
      <c r="DJ54" s="207"/>
      <c r="DK54" s="205" t="s">
        <v>51</v>
      </c>
      <c r="DL54" s="207"/>
      <c r="DM54" s="208"/>
      <c r="DN54" s="87"/>
      <c r="DO54" s="88" t="s">
        <v>83</v>
      </c>
      <c r="DP54" s="89"/>
      <c r="DQ54" s="204"/>
      <c r="DR54" s="205" t="s">
        <v>49</v>
      </c>
      <c r="DS54" s="206" t="s">
        <v>50</v>
      </c>
      <c r="DT54" s="207"/>
      <c r="DU54" s="207"/>
      <c r="DV54" s="207"/>
      <c r="DW54" s="205" t="s">
        <v>51</v>
      </c>
      <c r="DX54" s="207"/>
      <c r="DY54" s="208"/>
      <c r="DZ54" s="87"/>
      <c r="EA54" s="88" t="s">
        <v>83</v>
      </c>
      <c r="EB54" s="89"/>
      <c r="EC54" s="204"/>
      <c r="ED54" s="205" t="s">
        <v>49</v>
      </c>
      <c r="EE54" s="206" t="s">
        <v>50</v>
      </c>
      <c r="EF54" s="207"/>
      <c r="EG54" s="207"/>
      <c r="EH54" s="207"/>
      <c r="EI54" s="205" t="s">
        <v>51</v>
      </c>
      <c r="EJ54" s="207"/>
      <c r="EK54" s="208"/>
      <c r="EL54" s="87"/>
      <c r="EM54" s="88" t="s">
        <v>83</v>
      </c>
      <c r="EN54" s="89"/>
      <c r="EO54" s="204"/>
      <c r="EP54" s="205" t="s">
        <v>49</v>
      </c>
      <c r="EQ54" s="206" t="s">
        <v>50</v>
      </c>
      <c r="ER54" s="207"/>
      <c r="ES54" s="207"/>
      <c r="ET54" s="207"/>
      <c r="EU54" s="205" t="s">
        <v>51</v>
      </c>
      <c r="EV54" s="207"/>
      <c r="EW54" s="208"/>
      <c r="EX54" s="87"/>
      <c r="EY54" s="88" t="s">
        <v>83</v>
      </c>
      <c r="EZ54" s="89"/>
      <c r="FA54" s="204"/>
      <c r="FB54" s="205" t="s">
        <v>49</v>
      </c>
      <c r="FC54" s="206" t="s">
        <v>50</v>
      </c>
      <c r="FD54" s="207"/>
      <c r="FE54" s="207"/>
      <c r="FF54" s="207"/>
      <c r="FG54" s="205" t="s">
        <v>51</v>
      </c>
      <c r="FH54" s="207"/>
      <c r="FI54" s="208"/>
      <c r="FJ54" s="87"/>
      <c r="FK54" s="88" t="s">
        <v>83</v>
      </c>
      <c r="FL54" s="89"/>
      <c r="FM54" s="204"/>
      <c r="FN54" s="205" t="s">
        <v>49</v>
      </c>
      <c r="FO54" s="206" t="s">
        <v>50</v>
      </c>
      <c r="FP54" s="207"/>
      <c r="FQ54" s="207"/>
      <c r="FR54" s="207"/>
      <c r="FS54" s="205" t="s">
        <v>51</v>
      </c>
      <c r="FT54" s="207"/>
      <c r="FU54" s="208"/>
      <c r="FV54" s="87"/>
      <c r="FW54" s="88" t="s">
        <v>83</v>
      </c>
      <c r="FX54" s="89"/>
      <c r="FY54" s="204"/>
      <c r="FZ54" s="205" t="s">
        <v>49</v>
      </c>
      <c r="GA54" s="206" t="s">
        <v>50</v>
      </c>
      <c r="GB54" s="207"/>
      <c r="GC54" s="207"/>
      <c r="GD54" s="207"/>
      <c r="GE54" s="205" t="s">
        <v>51</v>
      </c>
      <c r="GF54" s="207"/>
      <c r="GG54" s="208"/>
      <c r="GH54" s="87"/>
      <c r="GI54" s="88" t="s">
        <v>83</v>
      </c>
      <c r="GJ54" s="89"/>
      <c r="GK54" s="204"/>
      <c r="GL54" s="205" t="s">
        <v>49</v>
      </c>
      <c r="GM54" s="206" t="s">
        <v>50</v>
      </c>
      <c r="GN54" s="207"/>
      <c r="GO54" s="207"/>
      <c r="GP54" s="207"/>
      <c r="GQ54" s="205" t="s">
        <v>51</v>
      </c>
      <c r="GR54" s="207"/>
      <c r="GS54" s="208"/>
      <c r="GT54" s="87"/>
      <c r="GU54" s="88" t="s">
        <v>83</v>
      </c>
      <c r="GV54" s="89"/>
      <c r="GW54" s="204"/>
      <c r="GX54" s="205" t="s">
        <v>49</v>
      </c>
      <c r="GY54" s="206" t="s">
        <v>50</v>
      </c>
      <c r="GZ54" s="207"/>
      <c r="HA54" s="207"/>
      <c r="HB54" s="207"/>
      <c r="HC54" s="205" t="s">
        <v>51</v>
      </c>
      <c r="HD54" s="207"/>
      <c r="HE54" s="208"/>
      <c r="HF54" s="87"/>
      <c r="HG54" s="88" t="s">
        <v>83</v>
      </c>
      <c r="HH54" s="89"/>
      <c r="HI54" s="87"/>
    </row>
    <row r="55" ht="15.75" customHeight="1">
      <c r="A55" s="209"/>
      <c r="B55" s="210" t="s">
        <v>23</v>
      </c>
      <c r="C55" s="211" t="s">
        <v>53</v>
      </c>
      <c r="D55" s="211"/>
      <c r="E55" s="211"/>
      <c r="F55" s="211"/>
      <c r="G55" s="210" t="s">
        <v>54</v>
      </c>
      <c r="H55" s="211"/>
      <c r="I55" s="212"/>
      <c r="J55" s="87"/>
      <c r="K55" s="94"/>
      <c r="L55" s="89"/>
      <c r="M55" s="209"/>
      <c r="N55" s="210" t="s">
        <v>23</v>
      </c>
      <c r="O55" s="211" t="s">
        <v>53</v>
      </c>
      <c r="P55" s="211"/>
      <c r="Q55" s="211"/>
      <c r="R55" s="211"/>
      <c r="S55" s="210" t="s">
        <v>54</v>
      </c>
      <c r="T55" s="211"/>
      <c r="U55" s="212"/>
      <c r="V55" s="87"/>
      <c r="W55" s="94"/>
      <c r="X55" s="89"/>
      <c r="Y55" s="209"/>
      <c r="Z55" s="210" t="s">
        <v>23</v>
      </c>
      <c r="AA55" s="211" t="s">
        <v>53</v>
      </c>
      <c r="AB55" s="211"/>
      <c r="AC55" s="211"/>
      <c r="AD55" s="211"/>
      <c r="AE55" s="210" t="s">
        <v>54</v>
      </c>
      <c r="AF55" s="211"/>
      <c r="AG55" s="212"/>
      <c r="AH55" s="87"/>
      <c r="AI55" s="94"/>
      <c r="AJ55" s="89"/>
      <c r="AK55" s="209"/>
      <c r="AL55" s="210" t="s">
        <v>23</v>
      </c>
      <c r="AM55" s="211" t="s">
        <v>53</v>
      </c>
      <c r="AN55" s="211"/>
      <c r="AO55" s="211"/>
      <c r="AP55" s="211"/>
      <c r="AQ55" s="210" t="s">
        <v>54</v>
      </c>
      <c r="AR55" s="211"/>
      <c r="AS55" s="212"/>
      <c r="AT55" s="87"/>
      <c r="AU55" s="94"/>
      <c r="AV55" s="89"/>
      <c r="AW55" s="209"/>
      <c r="AX55" s="210" t="s">
        <v>23</v>
      </c>
      <c r="AY55" s="211" t="s">
        <v>53</v>
      </c>
      <c r="AZ55" s="211"/>
      <c r="BA55" s="211"/>
      <c r="BB55" s="211"/>
      <c r="BC55" s="210" t="s">
        <v>54</v>
      </c>
      <c r="BD55" s="211"/>
      <c r="BE55" s="212"/>
      <c r="BF55" s="87"/>
      <c r="BG55" s="94"/>
      <c r="BH55" s="89"/>
      <c r="BI55" s="209"/>
      <c r="BJ55" s="210" t="s">
        <v>23</v>
      </c>
      <c r="BK55" s="211" t="s">
        <v>53</v>
      </c>
      <c r="BL55" s="211"/>
      <c r="BM55" s="211"/>
      <c r="BN55" s="211"/>
      <c r="BO55" s="210" t="s">
        <v>54</v>
      </c>
      <c r="BP55" s="211"/>
      <c r="BQ55" s="212"/>
      <c r="BR55" s="87"/>
      <c r="BS55" s="94"/>
      <c r="BT55" s="89"/>
      <c r="BU55" s="209"/>
      <c r="BV55" s="210" t="s">
        <v>23</v>
      </c>
      <c r="BW55" s="211" t="s">
        <v>53</v>
      </c>
      <c r="BX55" s="211"/>
      <c r="BY55" s="211"/>
      <c r="BZ55" s="211"/>
      <c r="CA55" s="210" t="s">
        <v>54</v>
      </c>
      <c r="CB55" s="211"/>
      <c r="CC55" s="212"/>
      <c r="CD55" s="87"/>
      <c r="CE55" s="94"/>
      <c r="CF55" s="89"/>
      <c r="CG55" s="209"/>
      <c r="CH55" s="210" t="s">
        <v>23</v>
      </c>
      <c r="CI55" s="211" t="s">
        <v>53</v>
      </c>
      <c r="CJ55" s="211"/>
      <c r="CK55" s="211"/>
      <c r="CL55" s="211"/>
      <c r="CM55" s="210" t="s">
        <v>54</v>
      </c>
      <c r="CN55" s="211"/>
      <c r="CO55" s="212"/>
      <c r="CP55" s="87"/>
      <c r="CQ55" s="94"/>
      <c r="CR55" s="89"/>
      <c r="CS55" s="209"/>
      <c r="CT55" s="210" t="s">
        <v>23</v>
      </c>
      <c r="CU55" s="211" t="s">
        <v>53</v>
      </c>
      <c r="CV55" s="211"/>
      <c r="CW55" s="211"/>
      <c r="CX55" s="211"/>
      <c r="CY55" s="210" t="s">
        <v>54</v>
      </c>
      <c r="CZ55" s="211"/>
      <c r="DA55" s="212"/>
      <c r="DB55" s="87"/>
      <c r="DC55" s="94"/>
      <c r="DD55" s="89"/>
      <c r="DE55" s="209"/>
      <c r="DF55" s="210" t="s">
        <v>23</v>
      </c>
      <c r="DG55" s="211" t="s">
        <v>53</v>
      </c>
      <c r="DH55" s="211"/>
      <c r="DI55" s="211"/>
      <c r="DJ55" s="211"/>
      <c r="DK55" s="210" t="s">
        <v>54</v>
      </c>
      <c r="DL55" s="211"/>
      <c r="DM55" s="212"/>
      <c r="DN55" s="87"/>
      <c r="DO55" s="94"/>
      <c r="DP55" s="89"/>
      <c r="DQ55" s="209"/>
      <c r="DR55" s="210" t="s">
        <v>23</v>
      </c>
      <c r="DS55" s="211" t="s">
        <v>53</v>
      </c>
      <c r="DT55" s="211"/>
      <c r="DU55" s="211"/>
      <c r="DV55" s="211"/>
      <c r="DW55" s="210" t="s">
        <v>54</v>
      </c>
      <c r="DX55" s="211"/>
      <c r="DY55" s="212"/>
      <c r="DZ55" s="87"/>
      <c r="EA55" s="94"/>
      <c r="EB55" s="89"/>
      <c r="EC55" s="209"/>
      <c r="ED55" s="210" t="s">
        <v>23</v>
      </c>
      <c r="EE55" s="211" t="s">
        <v>53</v>
      </c>
      <c r="EF55" s="211"/>
      <c r="EG55" s="211"/>
      <c r="EH55" s="211"/>
      <c r="EI55" s="210" t="s">
        <v>54</v>
      </c>
      <c r="EJ55" s="211"/>
      <c r="EK55" s="212"/>
      <c r="EL55" s="87"/>
      <c r="EM55" s="94"/>
      <c r="EN55" s="89"/>
      <c r="EO55" s="209"/>
      <c r="EP55" s="210" t="s">
        <v>23</v>
      </c>
      <c r="EQ55" s="211" t="s">
        <v>53</v>
      </c>
      <c r="ER55" s="211"/>
      <c r="ES55" s="211"/>
      <c r="ET55" s="211"/>
      <c r="EU55" s="210" t="s">
        <v>54</v>
      </c>
      <c r="EV55" s="211"/>
      <c r="EW55" s="212"/>
      <c r="EX55" s="87"/>
      <c r="EY55" s="94"/>
      <c r="EZ55" s="89"/>
      <c r="FA55" s="209"/>
      <c r="FB55" s="210" t="s">
        <v>23</v>
      </c>
      <c r="FC55" s="211" t="s">
        <v>53</v>
      </c>
      <c r="FD55" s="211"/>
      <c r="FE55" s="211"/>
      <c r="FF55" s="211"/>
      <c r="FG55" s="210" t="s">
        <v>54</v>
      </c>
      <c r="FH55" s="211"/>
      <c r="FI55" s="212"/>
      <c r="FJ55" s="87"/>
      <c r="FK55" s="94"/>
      <c r="FL55" s="89"/>
      <c r="FM55" s="209"/>
      <c r="FN55" s="210" t="s">
        <v>23</v>
      </c>
      <c r="FO55" s="211" t="s">
        <v>53</v>
      </c>
      <c r="FP55" s="211"/>
      <c r="FQ55" s="211"/>
      <c r="FR55" s="211"/>
      <c r="FS55" s="210" t="s">
        <v>54</v>
      </c>
      <c r="FT55" s="211"/>
      <c r="FU55" s="212"/>
      <c r="FV55" s="87"/>
      <c r="FW55" s="94"/>
      <c r="FX55" s="89"/>
      <c r="FY55" s="209"/>
      <c r="FZ55" s="210" t="s">
        <v>23</v>
      </c>
      <c r="GA55" s="211" t="s">
        <v>53</v>
      </c>
      <c r="GB55" s="211"/>
      <c r="GC55" s="211"/>
      <c r="GD55" s="211"/>
      <c r="GE55" s="210" t="s">
        <v>54</v>
      </c>
      <c r="GF55" s="211"/>
      <c r="GG55" s="212"/>
      <c r="GH55" s="87"/>
      <c r="GI55" s="94"/>
      <c r="GJ55" s="89"/>
      <c r="GK55" s="209"/>
      <c r="GL55" s="210" t="s">
        <v>23</v>
      </c>
      <c r="GM55" s="211" t="s">
        <v>53</v>
      </c>
      <c r="GN55" s="211"/>
      <c r="GO55" s="211"/>
      <c r="GP55" s="211"/>
      <c r="GQ55" s="210" t="s">
        <v>54</v>
      </c>
      <c r="GR55" s="211"/>
      <c r="GS55" s="212"/>
      <c r="GT55" s="87"/>
      <c r="GU55" s="94"/>
      <c r="GV55" s="89"/>
      <c r="GW55" s="209"/>
      <c r="GX55" s="210" t="s">
        <v>23</v>
      </c>
      <c r="GY55" s="211" t="s">
        <v>53</v>
      </c>
      <c r="GZ55" s="211"/>
      <c r="HA55" s="211"/>
      <c r="HB55" s="211"/>
      <c r="HC55" s="210" t="s">
        <v>54</v>
      </c>
      <c r="HD55" s="211"/>
      <c r="HE55" s="212"/>
      <c r="HF55" s="87"/>
      <c r="HG55" s="94"/>
      <c r="HH55" s="89"/>
      <c r="HI55" s="87"/>
    </row>
    <row r="56" ht="15.0" customHeight="1">
      <c r="A56" s="209"/>
      <c r="B56" s="210" t="s">
        <v>55</v>
      </c>
      <c r="C56" s="211" t="s">
        <v>56</v>
      </c>
      <c r="D56" s="211"/>
      <c r="E56" s="211"/>
      <c r="F56" s="211"/>
      <c r="G56" s="210" t="s">
        <v>84</v>
      </c>
      <c r="H56" s="211"/>
      <c r="I56" s="212"/>
      <c r="J56" s="87"/>
      <c r="K56" s="95" t="str">
        <f>"II/"&amp;K$6</f>
        <v>II/2010</v>
      </c>
      <c r="L56" s="89"/>
      <c r="M56" s="209"/>
      <c r="N56" s="210" t="s">
        <v>55</v>
      </c>
      <c r="O56" s="211" t="s">
        <v>56</v>
      </c>
      <c r="P56" s="211"/>
      <c r="Q56" s="211"/>
      <c r="R56" s="211"/>
      <c r="S56" s="210" t="s">
        <v>84</v>
      </c>
      <c r="T56" s="211"/>
      <c r="U56" s="212"/>
      <c r="V56" s="87"/>
      <c r="W56" s="95" t="str">
        <f>"II/"&amp;W$6</f>
        <v>II/2011</v>
      </c>
      <c r="X56" s="89"/>
      <c r="Y56" s="209"/>
      <c r="Z56" s="210" t="s">
        <v>55</v>
      </c>
      <c r="AA56" s="211" t="s">
        <v>56</v>
      </c>
      <c r="AB56" s="211"/>
      <c r="AC56" s="211"/>
      <c r="AD56" s="211"/>
      <c r="AE56" s="210" t="s">
        <v>84</v>
      </c>
      <c r="AF56" s="211"/>
      <c r="AG56" s="212"/>
      <c r="AH56" s="87"/>
      <c r="AI56" s="95" t="str">
        <f>"II/"&amp;AI$6</f>
        <v>II/2012</v>
      </c>
      <c r="AJ56" s="89"/>
      <c r="AK56" s="209"/>
      <c r="AL56" s="210" t="s">
        <v>55</v>
      </c>
      <c r="AM56" s="211" t="s">
        <v>56</v>
      </c>
      <c r="AN56" s="211"/>
      <c r="AO56" s="211"/>
      <c r="AP56" s="211"/>
      <c r="AQ56" s="210" t="s">
        <v>84</v>
      </c>
      <c r="AR56" s="211"/>
      <c r="AS56" s="212"/>
      <c r="AT56" s="87"/>
      <c r="AU56" s="95" t="str">
        <f>"II/"&amp;AU$6</f>
        <v>II/2013</v>
      </c>
      <c r="AV56" s="89"/>
      <c r="AW56" s="209"/>
      <c r="AX56" s="210" t="s">
        <v>55</v>
      </c>
      <c r="AY56" s="211" t="s">
        <v>56</v>
      </c>
      <c r="AZ56" s="211"/>
      <c r="BA56" s="211"/>
      <c r="BB56" s="211"/>
      <c r="BC56" s="210" t="s">
        <v>84</v>
      </c>
      <c r="BD56" s="211"/>
      <c r="BE56" s="212"/>
      <c r="BF56" s="87"/>
      <c r="BG56" s="95" t="str">
        <f>"II/"&amp;BG$6</f>
        <v>II/2014</v>
      </c>
      <c r="BH56" s="89"/>
      <c r="BI56" s="209"/>
      <c r="BJ56" s="210" t="s">
        <v>55</v>
      </c>
      <c r="BK56" s="211" t="s">
        <v>56</v>
      </c>
      <c r="BL56" s="211"/>
      <c r="BM56" s="211"/>
      <c r="BN56" s="211"/>
      <c r="BO56" s="210" t="s">
        <v>84</v>
      </c>
      <c r="BP56" s="211"/>
      <c r="BQ56" s="212"/>
      <c r="BR56" s="87"/>
      <c r="BS56" s="95" t="str">
        <f>"II/"&amp;BS$6</f>
        <v>II/2015</v>
      </c>
      <c r="BT56" s="89"/>
      <c r="BU56" s="209"/>
      <c r="BV56" s="210" t="s">
        <v>55</v>
      </c>
      <c r="BW56" s="211" t="s">
        <v>56</v>
      </c>
      <c r="BX56" s="211"/>
      <c r="BY56" s="211"/>
      <c r="BZ56" s="211"/>
      <c r="CA56" s="210" t="s">
        <v>84</v>
      </c>
      <c r="CB56" s="211"/>
      <c r="CC56" s="212"/>
      <c r="CD56" s="87"/>
      <c r="CE56" s="95" t="str">
        <f>"II/"&amp;CE$6</f>
        <v>II/2016</v>
      </c>
      <c r="CF56" s="89"/>
      <c r="CG56" s="209"/>
      <c r="CH56" s="210" t="s">
        <v>55</v>
      </c>
      <c r="CI56" s="211" t="s">
        <v>56</v>
      </c>
      <c r="CJ56" s="211"/>
      <c r="CK56" s="211"/>
      <c r="CL56" s="211"/>
      <c r="CM56" s="210" t="s">
        <v>84</v>
      </c>
      <c r="CN56" s="211"/>
      <c r="CO56" s="212"/>
      <c r="CP56" s="87"/>
      <c r="CQ56" s="95" t="str">
        <f>"II/"&amp;CQ$6</f>
        <v>II/2017</v>
      </c>
      <c r="CR56" s="89"/>
      <c r="CS56" s="209"/>
      <c r="CT56" s="210" t="s">
        <v>55</v>
      </c>
      <c r="CU56" s="211" t="s">
        <v>56</v>
      </c>
      <c r="CV56" s="211"/>
      <c r="CW56" s="211"/>
      <c r="CX56" s="211"/>
      <c r="CY56" s="210" t="s">
        <v>84</v>
      </c>
      <c r="CZ56" s="211"/>
      <c r="DA56" s="212"/>
      <c r="DB56" s="87"/>
      <c r="DC56" s="95" t="str">
        <f>"II/"&amp;DC$6</f>
        <v>II/2018</v>
      </c>
      <c r="DD56" s="89"/>
      <c r="DE56" s="209"/>
      <c r="DF56" s="210" t="s">
        <v>55</v>
      </c>
      <c r="DG56" s="211" t="s">
        <v>56</v>
      </c>
      <c r="DH56" s="211"/>
      <c r="DI56" s="211"/>
      <c r="DJ56" s="211"/>
      <c r="DK56" s="210" t="s">
        <v>84</v>
      </c>
      <c r="DL56" s="211"/>
      <c r="DM56" s="212"/>
      <c r="DN56" s="87"/>
      <c r="DO56" s="95" t="str">
        <f>"II/"&amp;DO$6</f>
        <v>II/2019</v>
      </c>
      <c r="DP56" s="89"/>
      <c r="DQ56" s="209"/>
      <c r="DR56" s="210" t="s">
        <v>55</v>
      </c>
      <c r="DS56" s="211" t="s">
        <v>56</v>
      </c>
      <c r="DT56" s="211"/>
      <c r="DU56" s="211"/>
      <c r="DV56" s="211"/>
      <c r="DW56" s="210" t="s">
        <v>84</v>
      </c>
      <c r="DX56" s="211"/>
      <c r="DY56" s="212"/>
      <c r="DZ56" s="87"/>
      <c r="EA56" s="95" t="str">
        <f>"II/"&amp;EA$6</f>
        <v>II/2020</v>
      </c>
      <c r="EB56" s="89"/>
      <c r="EC56" s="209"/>
      <c r="ED56" s="210" t="s">
        <v>55</v>
      </c>
      <c r="EE56" s="211" t="s">
        <v>56</v>
      </c>
      <c r="EF56" s="211"/>
      <c r="EG56" s="211"/>
      <c r="EH56" s="211"/>
      <c r="EI56" s="210" t="s">
        <v>84</v>
      </c>
      <c r="EJ56" s="211"/>
      <c r="EK56" s="212"/>
      <c r="EL56" s="87"/>
      <c r="EM56" s="95" t="str">
        <f>"II/"&amp;EM$6</f>
        <v>II/2021</v>
      </c>
      <c r="EN56" s="89"/>
      <c r="EO56" s="209"/>
      <c r="EP56" s="210" t="s">
        <v>55</v>
      </c>
      <c r="EQ56" s="211" t="s">
        <v>56</v>
      </c>
      <c r="ER56" s="211"/>
      <c r="ES56" s="211"/>
      <c r="ET56" s="211"/>
      <c r="EU56" s="210" t="s">
        <v>84</v>
      </c>
      <c r="EV56" s="211"/>
      <c r="EW56" s="212"/>
      <c r="EX56" s="87"/>
      <c r="EY56" s="95" t="str">
        <f>"II/"&amp;EY$6</f>
        <v>II/2022</v>
      </c>
      <c r="EZ56" s="89"/>
      <c r="FA56" s="209"/>
      <c r="FB56" s="210" t="s">
        <v>55</v>
      </c>
      <c r="FC56" s="211" t="s">
        <v>56</v>
      </c>
      <c r="FD56" s="211"/>
      <c r="FE56" s="211"/>
      <c r="FF56" s="211"/>
      <c r="FG56" s="210" t="s">
        <v>84</v>
      </c>
      <c r="FH56" s="211"/>
      <c r="FI56" s="212"/>
      <c r="FJ56" s="87"/>
      <c r="FK56" s="95" t="str">
        <f>"II/"&amp;FK$6</f>
        <v>II/2023</v>
      </c>
      <c r="FL56" s="89"/>
      <c r="FM56" s="209"/>
      <c r="FN56" s="210" t="s">
        <v>55</v>
      </c>
      <c r="FO56" s="211" t="s">
        <v>56</v>
      </c>
      <c r="FP56" s="211"/>
      <c r="FQ56" s="211"/>
      <c r="FR56" s="211"/>
      <c r="FS56" s="210" t="s">
        <v>84</v>
      </c>
      <c r="FT56" s="211"/>
      <c r="FU56" s="212"/>
      <c r="FV56" s="87"/>
      <c r="FW56" s="95" t="str">
        <f>"II/"&amp;FW$6</f>
        <v>II/2024</v>
      </c>
      <c r="FX56" s="89"/>
      <c r="FY56" s="209"/>
      <c r="FZ56" s="210" t="s">
        <v>55</v>
      </c>
      <c r="GA56" s="211" t="s">
        <v>56</v>
      </c>
      <c r="GB56" s="211"/>
      <c r="GC56" s="211"/>
      <c r="GD56" s="211"/>
      <c r="GE56" s="210" t="s">
        <v>84</v>
      </c>
      <c r="GF56" s="211"/>
      <c r="GG56" s="212"/>
      <c r="GH56" s="87"/>
      <c r="GI56" s="95" t="str">
        <f>"II/"&amp;GI$6</f>
        <v>II/2025</v>
      </c>
      <c r="GJ56" s="89"/>
      <c r="GK56" s="209"/>
      <c r="GL56" s="210" t="s">
        <v>55</v>
      </c>
      <c r="GM56" s="211" t="s">
        <v>56</v>
      </c>
      <c r="GN56" s="211"/>
      <c r="GO56" s="211"/>
      <c r="GP56" s="211"/>
      <c r="GQ56" s="210" t="s">
        <v>84</v>
      </c>
      <c r="GR56" s="211"/>
      <c r="GS56" s="212"/>
      <c r="GT56" s="87"/>
      <c r="GU56" s="95" t="str">
        <f>"II/"&amp;GU$6</f>
        <v>II/2026</v>
      </c>
      <c r="GV56" s="89"/>
      <c r="GW56" s="209"/>
      <c r="GX56" s="210" t="s">
        <v>55</v>
      </c>
      <c r="GY56" s="211" t="s">
        <v>56</v>
      </c>
      <c r="GZ56" s="211"/>
      <c r="HA56" s="211"/>
      <c r="HB56" s="211"/>
      <c r="HC56" s="210" t="s">
        <v>84</v>
      </c>
      <c r="HD56" s="211"/>
      <c r="HE56" s="212"/>
      <c r="HF56" s="87"/>
      <c r="HG56" s="95" t="str">
        <f>"II/"&amp;HG$6</f>
        <v>II/2027</v>
      </c>
      <c r="HH56" s="89"/>
      <c r="HI56" s="87"/>
    </row>
    <row r="57" ht="15.0" customHeight="1">
      <c r="A57" s="209"/>
      <c r="B57" s="210" t="s">
        <v>58</v>
      </c>
      <c r="C57" s="211" t="s">
        <v>59</v>
      </c>
      <c r="D57" s="211"/>
      <c r="E57" s="211"/>
      <c r="F57" s="211"/>
      <c r="G57" s="213" t="s">
        <v>80</v>
      </c>
      <c r="H57" s="211"/>
      <c r="I57" s="212"/>
      <c r="J57" s="87"/>
      <c r="K57" s="94"/>
      <c r="L57" s="89"/>
      <c r="M57" s="209"/>
      <c r="N57" s="210" t="s">
        <v>58</v>
      </c>
      <c r="O57" s="211" t="s">
        <v>59</v>
      </c>
      <c r="P57" s="211"/>
      <c r="Q57" s="211"/>
      <c r="R57" s="211"/>
      <c r="S57" s="213" t="s">
        <v>80</v>
      </c>
      <c r="T57" s="211"/>
      <c r="U57" s="212"/>
      <c r="V57" s="87"/>
      <c r="W57" s="94"/>
      <c r="X57" s="89"/>
      <c r="Y57" s="209"/>
      <c r="Z57" s="210" t="s">
        <v>58</v>
      </c>
      <c r="AA57" s="211" t="s">
        <v>59</v>
      </c>
      <c r="AB57" s="211"/>
      <c r="AC57" s="211"/>
      <c r="AD57" s="211"/>
      <c r="AE57" s="213" t="s">
        <v>80</v>
      </c>
      <c r="AF57" s="211"/>
      <c r="AG57" s="212"/>
      <c r="AH57" s="87"/>
      <c r="AI57" s="94"/>
      <c r="AJ57" s="89"/>
      <c r="AK57" s="209"/>
      <c r="AL57" s="210" t="s">
        <v>58</v>
      </c>
      <c r="AM57" s="211" t="s">
        <v>59</v>
      </c>
      <c r="AN57" s="211"/>
      <c r="AO57" s="211"/>
      <c r="AP57" s="211"/>
      <c r="AQ57" s="213" t="s">
        <v>80</v>
      </c>
      <c r="AR57" s="211"/>
      <c r="AS57" s="212"/>
      <c r="AT57" s="87"/>
      <c r="AU57" s="94"/>
      <c r="AV57" s="89"/>
      <c r="AW57" s="209"/>
      <c r="AX57" s="210" t="s">
        <v>58</v>
      </c>
      <c r="AY57" s="211" t="s">
        <v>59</v>
      </c>
      <c r="AZ57" s="211"/>
      <c r="BA57" s="211"/>
      <c r="BB57" s="211"/>
      <c r="BC57" s="213" t="s">
        <v>80</v>
      </c>
      <c r="BD57" s="211"/>
      <c r="BE57" s="212"/>
      <c r="BF57" s="87"/>
      <c r="BG57" s="94"/>
      <c r="BH57" s="89"/>
      <c r="BI57" s="209"/>
      <c r="BJ57" s="210" t="s">
        <v>58</v>
      </c>
      <c r="BK57" s="211" t="s">
        <v>59</v>
      </c>
      <c r="BL57" s="211"/>
      <c r="BM57" s="211"/>
      <c r="BN57" s="211"/>
      <c r="BO57" s="213" t="s">
        <v>80</v>
      </c>
      <c r="BP57" s="211"/>
      <c r="BQ57" s="212"/>
      <c r="BR57" s="87"/>
      <c r="BS57" s="94"/>
      <c r="BT57" s="89"/>
      <c r="BU57" s="209"/>
      <c r="BV57" s="210" t="s">
        <v>58</v>
      </c>
      <c r="BW57" s="211" t="s">
        <v>59</v>
      </c>
      <c r="BX57" s="211"/>
      <c r="BY57" s="211"/>
      <c r="BZ57" s="211"/>
      <c r="CA57" s="213" t="s">
        <v>80</v>
      </c>
      <c r="CB57" s="211"/>
      <c r="CC57" s="212"/>
      <c r="CD57" s="87"/>
      <c r="CE57" s="94"/>
      <c r="CF57" s="89"/>
      <c r="CG57" s="209"/>
      <c r="CH57" s="210" t="s">
        <v>58</v>
      </c>
      <c r="CI57" s="211" t="s">
        <v>59</v>
      </c>
      <c r="CJ57" s="211"/>
      <c r="CK57" s="211"/>
      <c r="CL57" s="211"/>
      <c r="CM57" s="213" t="s">
        <v>80</v>
      </c>
      <c r="CN57" s="211"/>
      <c r="CO57" s="212"/>
      <c r="CP57" s="87"/>
      <c r="CQ57" s="94"/>
      <c r="CR57" s="89"/>
      <c r="CS57" s="209"/>
      <c r="CT57" s="210" t="s">
        <v>58</v>
      </c>
      <c r="CU57" s="211" t="s">
        <v>59</v>
      </c>
      <c r="CV57" s="211"/>
      <c r="CW57" s="211"/>
      <c r="CX57" s="211"/>
      <c r="CY57" s="213" t="s">
        <v>80</v>
      </c>
      <c r="CZ57" s="211"/>
      <c r="DA57" s="212"/>
      <c r="DB57" s="87"/>
      <c r="DC57" s="94"/>
      <c r="DD57" s="89"/>
      <c r="DE57" s="209"/>
      <c r="DF57" s="210" t="s">
        <v>58</v>
      </c>
      <c r="DG57" s="211" t="s">
        <v>59</v>
      </c>
      <c r="DH57" s="211"/>
      <c r="DI57" s="211"/>
      <c r="DJ57" s="211"/>
      <c r="DK57" s="213" t="s">
        <v>80</v>
      </c>
      <c r="DL57" s="211"/>
      <c r="DM57" s="212"/>
      <c r="DN57" s="87"/>
      <c r="DO57" s="94"/>
      <c r="DP57" s="89"/>
      <c r="DQ57" s="209"/>
      <c r="DR57" s="210" t="s">
        <v>58</v>
      </c>
      <c r="DS57" s="211" t="s">
        <v>59</v>
      </c>
      <c r="DT57" s="211"/>
      <c r="DU57" s="211"/>
      <c r="DV57" s="211"/>
      <c r="DW57" s="213" t="s">
        <v>80</v>
      </c>
      <c r="DX57" s="211"/>
      <c r="DY57" s="212"/>
      <c r="DZ57" s="87"/>
      <c r="EA57" s="94"/>
      <c r="EB57" s="89"/>
      <c r="EC57" s="209"/>
      <c r="ED57" s="210" t="s">
        <v>58</v>
      </c>
      <c r="EE57" s="211" t="s">
        <v>59</v>
      </c>
      <c r="EF57" s="211"/>
      <c r="EG57" s="211"/>
      <c r="EH57" s="211"/>
      <c r="EI57" s="213" t="s">
        <v>80</v>
      </c>
      <c r="EJ57" s="211"/>
      <c r="EK57" s="212"/>
      <c r="EL57" s="87"/>
      <c r="EM57" s="94"/>
      <c r="EN57" s="89"/>
      <c r="EO57" s="209"/>
      <c r="EP57" s="210" t="s">
        <v>58</v>
      </c>
      <c r="EQ57" s="211" t="s">
        <v>59</v>
      </c>
      <c r="ER57" s="211"/>
      <c r="ES57" s="211"/>
      <c r="ET57" s="211"/>
      <c r="EU57" s="213" t="s">
        <v>80</v>
      </c>
      <c r="EV57" s="211"/>
      <c r="EW57" s="212"/>
      <c r="EX57" s="87"/>
      <c r="EY57" s="94"/>
      <c r="EZ57" s="89"/>
      <c r="FA57" s="209"/>
      <c r="FB57" s="210" t="s">
        <v>58</v>
      </c>
      <c r="FC57" s="211" t="s">
        <v>59</v>
      </c>
      <c r="FD57" s="211"/>
      <c r="FE57" s="211"/>
      <c r="FF57" s="211"/>
      <c r="FG57" s="213" t="s">
        <v>80</v>
      </c>
      <c r="FH57" s="211"/>
      <c r="FI57" s="212"/>
      <c r="FJ57" s="87"/>
      <c r="FK57" s="94"/>
      <c r="FL57" s="89"/>
      <c r="FM57" s="209"/>
      <c r="FN57" s="210" t="s">
        <v>58</v>
      </c>
      <c r="FO57" s="211" t="s">
        <v>59</v>
      </c>
      <c r="FP57" s="211"/>
      <c r="FQ57" s="211"/>
      <c r="FR57" s="211"/>
      <c r="FS57" s="213" t="s">
        <v>80</v>
      </c>
      <c r="FT57" s="211"/>
      <c r="FU57" s="212"/>
      <c r="FV57" s="87"/>
      <c r="FW57" s="94"/>
      <c r="FX57" s="89"/>
      <c r="FY57" s="209"/>
      <c r="FZ57" s="210" t="s">
        <v>58</v>
      </c>
      <c r="GA57" s="211" t="s">
        <v>59</v>
      </c>
      <c r="GB57" s="211"/>
      <c r="GC57" s="211"/>
      <c r="GD57" s="211"/>
      <c r="GE57" s="213" t="s">
        <v>80</v>
      </c>
      <c r="GF57" s="211"/>
      <c r="GG57" s="212"/>
      <c r="GH57" s="87"/>
      <c r="GI57" s="94"/>
      <c r="GJ57" s="89"/>
      <c r="GK57" s="209"/>
      <c r="GL57" s="210" t="s">
        <v>58</v>
      </c>
      <c r="GM57" s="211" t="s">
        <v>59</v>
      </c>
      <c r="GN57" s="211"/>
      <c r="GO57" s="211"/>
      <c r="GP57" s="211"/>
      <c r="GQ57" s="213" t="s">
        <v>80</v>
      </c>
      <c r="GR57" s="211"/>
      <c r="GS57" s="212"/>
      <c r="GT57" s="87"/>
      <c r="GU57" s="94"/>
      <c r="GV57" s="89"/>
      <c r="GW57" s="209"/>
      <c r="GX57" s="210" t="s">
        <v>58</v>
      </c>
      <c r="GY57" s="211" t="s">
        <v>59</v>
      </c>
      <c r="GZ57" s="211"/>
      <c r="HA57" s="211"/>
      <c r="HB57" s="211"/>
      <c r="HC57" s="213" t="s">
        <v>80</v>
      </c>
      <c r="HD57" s="211"/>
      <c r="HE57" s="212"/>
      <c r="HF57" s="87"/>
      <c r="HG57" s="94"/>
      <c r="HH57" s="89"/>
      <c r="HI57" s="87"/>
    </row>
    <row r="58" ht="15.75" customHeight="1">
      <c r="A58" s="214"/>
      <c r="B58" s="215" t="s">
        <v>60</v>
      </c>
      <c r="C58" s="216" t="s">
        <v>85</v>
      </c>
      <c r="D58" s="216"/>
      <c r="E58" s="216"/>
      <c r="F58" s="216"/>
      <c r="G58" s="216" t="str">
        <f>"Tahun "&amp;K$6</f>
        <v>Tahun 2010</v>
      </c>
      <c r="H58" s="216"/>
      <c r="I58" s="217"/>
      <c r="J58" s="87"/>
      <c r="K58" s="87"/>
      <c r="L58" s="89"/>
      <c r="M58" s="214"/>
      <c r="N58" s="215" t="s">
        <v>60</v>
      </c>
      <c r="O58" s="216" t="s">
        <v>85</v>
      </c>
      <c r="P58" s="216"/>
      <c r="Q58" s="216"/>
      <c r="R58" s="216"/>
      <c r="S58" s="216" t="str">
        <f>"Tahun "&amp;W$6</f>
        <v>Tahun 2011</v>
      </c>
      <c r="T58" s="216"/>
      <c r="U58" s="217"/>
      <c r="V58" s="87"/>
      <c r="W58" s="87"/>
      <c r="X58" s="89"/>
      <c r="Y58" s="214"/>
      <c r="Z58" s="215" t="s">
        <v>60</v>
      </c>
      <c r="AA58" s="216" t="s">
        <v>85</v>
      </c>
      <c r="AB58" s="216"/>
      <c r="AC58" s="216"/>
      <c r="AD58" s="216"/>
      <c r="AE58" s="216" t="str">
        <f>"Tahun "&amp;AI$6</f>
        <v>Tahun 2012</v>
      </c>
      <c r="AF58" s="216"/>
      <c r="AG58" s="217"/>
      <c r="AH58" s="87"/>
      <c r="AI58" s="87"/>
      <c r="AJ58" s="89"/>
      <c r="AK58" s="214"/>
      <c r="AL58" s="215" t="s">
        <v>60</v>
      </c>
      <c r="AM58" s="216" t="s">
        <v>85</v>
      </c>
      <c r="AN58" s="216"/>
      <c r="AO58" s="216"/>
      <c r="AP58" s="216"/>
      <c r="AQ58" s="216" t="str">
        <f>"Tahun "&amp;AU$6</f>
        <v>Tahun 2013</v>
      </c>
      <c r="AR58" s="216"/>
      <c r="AS58" s="217"/>
      <c r="AT58" s="87"/>
      <c r="AU58" s="87"/>
      <c r="AV58" s="89"/>
      <c r="AW58" s="214"/>
      <c r="AX58" s="215" t="s">
        <v>60</v>
      </c>
      <c r="AY58" s="216" t="s">
        <v>85</v>
      </c>
      <c r="AZ58" s="216"/>
      <c r="BA58" s="216"/>
      <c r="BB58" s="216"/>
      <c r="BC58" s="216" t="str">
        <f>"Tahun "&amp;BG$6</f>
        <v>Tahun 2014</v>
      </c>
      <c r="BD58" s="216"/>
      <c r="BE58" s="217"/>
      <c r="BF58" s="87"/>
      <c r="BG58" s="87"/>
      <c r="BH58" s="89"/>
      <c r="BI58" s="214"/>
      <c r="BJ58" s="215" t="s">
        <v>60</v>
      </c>
      <c r="BK58" s="216" t="s">
        <v>85</v>
      </c>
      <c r="BL58" s="216"/>
      <c r="BM58" s="216"/>
      <c r="BN58" s="216"/>
      <c r="BO58" s="216" t="str">
        <f>"Tahun "&amp;BS$6</f>
        <v>Tahun 2015</v>
      </c>
      <c r="BP58" s="216"/>
      <c r="BQ58" s="217"/>
      <c r="BR58" s="87"/>
      <c r="BS58" s="87"/>
      <c r="BT58" s="89"/>
      <c r="BU58" s="214"/>
      <c r="BV58" s="215" t="s">
        <v>60</v>
      </c>
      <c r="BW58" s="216" t="s">
        <v>85</v>
      </c>
      <c r="BX58" s="216"/>
      <c r="BY58" s="216"/>
      <c r="BZ58" s="216"/>
      <c r="CA58" s="216" t="str">
        <f>"Tahun "&amp;CE$6</f>
        <v>Tahun 2016</v>
      </c>
      <c r="CB58" s="216"/>
      <c r="CC58" s="217"/>
      <c r="CD58" s="87"/>
      <c r="CE58" s="87"/>
      <c r="CF58" s="89"/>
      <c r="CG58" s="214"/>
      <c r="CH58" s="215" t="s">
        <v>60</v>
      </c>
      <c r="CI58" s="216" t="s">
        <v>85</v>
      </c>
      <c r="CJ58" s="216"/>
      <c r="CK58" s="216"/>
      <c r="CL58" s="216"/>
      <c r="CM58" s="216" t="str">
        <f>"Tahun "&amp;CQ$6</f>
        <v>Tahun 2017</v>
      </c>
      <c r="CN58" s="216"/>
      <c r="CO58" s="217"/>
      <c r="CP58" s="87"/>
      <c r="CQ58" s="87"/>
      <c r="CR58" s="89"/>
      <c r="CS58" s="214"/>
      <c r="CT58" s="215" t="s">
        <v>60</v>
      </c>
      <c r="CU58" s="216" t="s">
        <v>85</v>
      </c>
      <c r="CV58" s="216"/>
      <c r="CW58" s="216"/>
      <c r="CX58" s="216"/>
      <c r="CY58" s="216" t="str">
        <f>"Tahun "&amp;DC$6</f>
        <v>Tahun 2018</v>
      </c>
      <c r="CZ58" s="216"/>
      <c r="DA58" s="217"/>
      <c r="DB58" s="87"/>
      <c r="DC58" s="87"/>
      <c r="DD58" s="89"/>
      <c r="DE58" s="214"/>
      <c r="DF58" s="215" t="s">
        <v>60</v>
      </c>
      <c r="DG58" s="216" t="s">
        <v>85</v>
      </c>
      <c r="DH58" s="216"/>
      <c r="DI58" s="216"/>
      <c r="DJ58" s="216"/>
      <c r="DK58" s="216" t="str">
        <f>"Tahun "&amp;DO$6</f>
        <v>Tahun 2019</v>
      </c>
      <c r="DL58" s="216"/>
      <c r="DM58" s="217"/>
      <c r="DN58" s="87"/>
      <c r="DO58" s="87"/>
      <c r="DP58" s="89"/>
      <c r="DQ58" s="214"/>
      <c r="DR58" s="215" t="s">
        <v>60</v>
      </c>
      <c r="DS58" s="216" t="s">
        <v>85</v>
      </c>
      <c r="DT58" s="216"/>
      <c r="DU58" s="216"/>
      <c r="DV58" s="216"/>
      <c r="DW58" s="216" t="str">
        <f>"Tahun "&amp;EA$6</f>
        <v>Tahun 2020</v>
      </c>
      <c r="DX58" s="216"/>
      <c r="DY58" s="217"/>
      <c r="DZ58" s="87"/>
      <c r="EA58" s="87"/>
      <c r="EB58" s="89"/>
      <c r="EC58" s="214"/>
      <c r="ED58" s="215" t="s">
        <v>60</v>
      </c>
      <c r="EE58" s="216" t="s">
        <v>85</v>
      </c>
      <c r="EF58" s="216"/>
      <c r="EG58" s="216"/>
      <c r="EH58" s="216"/>
      <c r="EI58" s="216" t="str">
        <f>"Tahun "&amp;EM$6</f>
        <v>Tahun 2021</v>
      </c>
      <c r="EJ58" s="216"/>
      <c r="EK58" s="217"/>
      <c r="EL58" s="87"/>
      <c r="EM58" s="87"/>
      <c r="EN58" s="89"/>
      <c r="EO58" s="214"/>
      <c r="EP58" s="215" t="s">
        <v>60</v>
      </c>
      <c r="EQ58" s="216" t="s">
        <v>85</v>
      </c>
      <c r="ER58" s="216"/>
      <c r="ES58" s="216"/>
      <c r="ET58" s="216"/>
      <c r="EU58" s="216" t="str">
        <f>"Tahun "&amp;EY$6</f>
        <v>Tahun 2022</v>
      </c>
      <c r="EV58" s="216"/>
      <c r="EW58" s="217"/>
      <c r="EX58" s="87"/>
      <c r="EY58" s="87"/>
      <c r="EZ58" s="89"/>
      <c r="FA58" s="214"/>
      <c r="FB58" s="215" t="s">
        <v>60</v>
      </c>
      <c r="FC58" s="216" t="s">
        <v>85</v>
      </c>
      <c r="FD58" s="216"/>
      <c r="FE58" s="216"/>
      <c r="FF58" s="216"/>
      <c r="FG58" s="216" t="str">
        <f>"Tahun "&amp;FK$6</f>
        <v>Tahun 2023</v>
      </c>
      <c r="FH58" s="216"/>
      <c r="FI58" s="217"/>
      <c r="FJ58" s="87"/>
      <c r="FK58" s="87"/>
      <c r="FL58" s="89"/>
      <c r="FM58" s="214"/>
      <c r="FN58" s="215" t="s">
        <v>60</v>
      </c>
      <c r="FO58" s="216" t="s">
        <v>85</v>
      </c>
      <c r="FP58" s="216"/>
      <c r="FQ58" s="216"/>
      <c r="FR58" s="216"/>
      <c r="FS58" s="216" t="str">
        <f>"Tahun "&amp;FW$6</f>
        <v>Tahun 2024</v>
      </c>
      <c r="FT58" s="216"/>
      <c r="FU58" s="217"/>
      <c r="FV58" s="87"/>
      <c r="FW58" s="87"/>
      <c r="FX58" s="89"/>
      <c r="FY58" s="214"/>
      <c r="FZ58" s="215" t="s">
        <v>60</v>
      </c>
      <c r="GA58" s="216" t="s">
        <v>85</v>
      </c>
      <c r="GB58" s="216"/>
      <c r="GC58" s="216"/>
      <c r="GD58" s="216"/>
      <c r="GE58" s="216" t="str">
        <f>"Tahun "&amp;GI$6</f>
        <v>Tahun 2025</v>
      </c>
      <c r="GF58" s="216"/>
      <c r="GG58" s="217"/>
      <c r="GH58" s="87"/>
      <c r="GI58" s="87"/>
      <c r="GJ58" s="89"/>
      <c r="GK58" s="214"/>
      <c r="GL58" s="215" t="s">
        <v>60</v>
      </c>
      <c r="GM58" s="216" t="s">
        <v>85</v>
      </c>
      <c r="GN58" s="216"/>
      <c r="GO58" s="216"/>
      <c r="GP58" s="216"/>
      <c r="GQ58" s="216" t="str">
        <f>"Tahun "&amp;GU$6</f>
        <v>Tahun 2026</v>
      </c>
      <c r="GR58" s="216"/>
      <c r="GS58" s="217"/>
      <c r="GT58" s="87"/>
      <c r="GU58" s="87"/>
      <c r="GV58" s="89"/>
      <c r="GW58" s="214"/>
      <c r="GX58" s="215" t="s">
        <v>60</v>
      </c>
      <c r="GY58" s="216" t="s">
        <v>85</v>
      </c>
      <c r="GZ58" s="216"/>
      <c r="HA58" s="216"/>
      <c r="HB58" s="216"/>
      <c r="HC58" s="216" t="str">
        <f>"Tahun "&amp;HG$6</f>
        <v>Tahun 2027</v>
      </c>
      <c r="HD58" s="216"/>
      <c r="HE58" s="217"/>
      <c r="HF58" s="87"/>
      <c r="HG58" s="87"/>
      <c r="HH58" s="89"/>
      <c r="HI58" s="87"/>
    </row>
    <row r="59" ht="15.75" customHeight="1">
      <c r="A59" s="74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81"/>
      <c r="M59" s="74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81"/>
      <c r="Y59" s="74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81"/>
      <c r="AK59" s="74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81"/>
      <c r="AW59" s="74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81"/>
      <c r="BI59" s="74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81"/>
      <c r="BU59" s="74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81"/>
      <c r="CG59" s="74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81"/>
      <c r="CS59" s="74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81"/>
      <c r="DE59" s="74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81"/>
      <c r="DQ59" s="74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81"/>
      <c r="EC59" s="74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81"/>
      <c r="EO59" s="74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81"/>
      <c r="FA59" s="74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81"/>
      <c r="FM59" s="74"/>
      <c r="FN59" s="75"/>
      <c r="FO59" s="75"/>
      <c r="FP59" s="75"/>
      <c r="FQ59" s="75"/>
      <c r="FR59" s="75"/>
      <c r="FS59" s="75"/>
      <c r="FT59" s="75"/>
      <c r="FU59" s="75"/>
      <c r="FV59" s="75"/>
      <c r="FW59" s="75"/>
      <c r="FX59" s="81"/>
      <c r="FY59" s="74"/>
      <c r="FZ59" s="75"/>
      <c r="GA59" s="75"/>
      <c r="GB59" s="75"/>
      <c r="GC59" s="75"/>
      <c r="GD59" s="75"/>
      <c r="GE59" s="75"/>
      <c r="GF59" s="75"/>
      <c r="GG59" s="75"/>
      <c r="GH59" s="75"/>
      <c r="GI59" s="75"/>
      <c r="GJ59" s="81"/>
      <c r="GK59" s="74"/>
      <c r="GL59" s="75"/>
      <c r="GM59" s="75"/>
      <c r="GN59" s="75"/>
      <c r="GO59" s="75"/>
      <c r="GP59" s="75"/>
      <c r="GQ59" s="75"/>
      <c r="GR59" s="75"/>
      <c r="GS59" s="75"/>
      <c r="GT59" s="75"/>
      <c r="GU59" s="75"/>
      <c r="GV59" s="81"/>
      <c r="GW59" s="74"/>
      <c r="GX59" s="75"/>
      <c r="GY59" s="75"/>
      <c r="GZ59" s="75"/>
      <c r="HA59" s="75"/>
      <c r="HB59" s="75"/>
      <c r="HC59" s="75"/>
      <c r="HD59" s="75"/>
      <c r="HE59" s="75"/>
      <c r="HF59" s="75"/>
      <c r="HG59" s="75"/>
      <c r="HH59" s="81"/>
      <c r="HI59" s="75"/>
    </row>
    <row r="60" ht="33.75" customHeight="1">
      <c r="A60" s="218" t="s">
        <v>62</v>
      </c>
      <c r="B60" s="219" t="s">
        <v>63</v>
      </c>
      <c r="C60" s="219" t="s">
        <v>86</v>
      </c>
      <c r="D60" s="219" t="s">
        <v>65</v>
      </c>
      <c r="E60" s="219" t="s">
        <v>66</v>
      </c>
      <c r="F60" s="220" t="s">
        <v>67</v>
      </c>
      <c r="G60" s="104"/>
      <c r="H60" s="221" t="s">
        <v>68</v>
      </c>
      <c r="I60" s="222"/>
      <c r="J60" s="222"/>
      <c r="K60" s="222"/>
      <c r="L60" s="107"/>
      <c r="M60" s="218" t="s">
        <v>62</v>
      </c>
      <c r="N60" s="219" t="s">
        <v>63</v>
      </c>
      <c r="O60" s="219" t="s">
        <v>86</v>
      </c>
      <c r="P60" s="219" t="s">
        <v>65</v>
      </c>
      <c r="Q60" s="219" t="s">
        <v>66</v>
      </c>
      <c r="R60" s="220" t="s">
        <v>67</v>
      </c>
      <c r="S60" s="104"/>
      <c r="T60" s="221" t="s">
        <v>68</v>
      </c>
      <c r="U60" s="222"/>
      <c r="V60" s="222"/>
      <c r="W60" s="222"/>
      <c r="X60" s="107"/>
      <c r="Y60" s="218" t="s">
        <v>62</v>
      </c>
      <c r="Z60" s="219" t="s">
        <v>63</v>
      </c>
      <c r="AA60" s="219" t="s">
        <v>86</v>
      </c>
      <c r="AB60" s="219" t="s">
        <v>65</v>
      </c>
      <c r="AC60" s="219" t="s">
        <v>66</v>
      </c>
      <c r="AD60" s="220" t="s">
        <v>67</v>
      </c>
      <c r="AE60" s="104"/>
      <c r="AF60" s="221" t="s">
        <v>68</v>
      </c>
      <c r="AG60" s="222"/>
      <c r="AH60" s="222"/>
      <c r="AI60" s="222"/>
      <c r="AJ60" s="107"/>
      <c r="AK60" s="218" t="s">
        <v>62</v>
      </c>
      <c r="AL60" s="219" t="s">
        <v>63</v>
      </c>
      <c r="AM60" s="219" t="s">
        <v>86</v>
      </c>
      <c r="AN60" s="219" t="s">
        <v>65</v>
      </c>
      <c r="AO60" s="219" t="s">
        <v>66</v>
      </c>
      <c r="AP60" s="220" t="s">
        <v>67</v>
      </c>
      <c r="AQ60" s="104"/>
      <c r="AR60" s="221" t="s">
        <v>68</v>
      </c>
      <c r="AS60" s="222"/>
      <c r="AT60" s="222"/>
      <c r="AU60" s="222"/>
      <c r="AV60" s="107"/>
      <c r="AW60" s="218" t="s">
        <v>62</v>
      </c>
      <c r="AX60" s="219" t="s">
        <v>63</v>
      </c>
      <c r="AY60" s="219" t="s">
        <v>86</v>
      </c>
      <c r="AZ60" s="219" t="s">
        <v>65</v>
      </c>
      <c r="BA60" s="219" t="s">
        <v>66</v>
      </c>
      <c r="BB60" s="220" t="s">
        <v>67</v>
      </c>
      <c r="BC60" s="104"/>
      <c r="BD60" s="221" t="s">
        <v>68</v>
      </c>
      <c r="BE60" s="222"/>
      <c r="BF60" s="222"/>
      <c r="BG60" s="222"/>
      <c r="BH60" s="107"/>
      <c r="BI60" s="218" t="s">
        <v>62</v>
      </c>
      <c r="BJ60" s="219" t="s">
        <v>63</v>
      </c>
      <c r="BK60" s="219" t="s">
        <v>86</v>
      </c>
      <c r="BL60" s="219" t="s">
        <v>65</v>
      </c>
      <c r="BM60" s="219" t="s">
        <v>66</v>
      </c>
      <c r="BN60" s="220" t="s">
        <v>67</v>
      </c>
      <c r="BO60" s="104"/>
      <c r="BP60" s="221" t="s">
        <v>68</v>
      </c>
      <c r="BQ60" s="222"/>
      <c r="BR60" s="222"/>
      <c r="BS60" s="222"/>
      <c r="BT60" s="107"/>
      <c r="BU60" s="218" t="s">
        <v>62</v>
      </c>
      <c r="BV60" s="219" t="s">
        <v>63</v>
      </c>
      <c r="BW60" s="219" t="s">
        <v>86</v>
      </c>
      <c r="BX60" s="219" t="s">
        <v>65</v>
      </c>
      <c r="BY60" s="219" t="s">
        <v>66</v>
      </c>
      <c r="BZ60" s="220" t="s">
        <v>67</v>
      </c>
      <c r="CA60" s="104"/>
      <c r="CB60" s="221" t="s">
        <v>68</v>
      </c>
      <c r="CC60" s="222"/>
      <c r="CD60" s="222"/>
      <c r="CE60" s="222"/>
      <c r="CF60" s="107"/>
      <c r="CG60" s="218" t="s">
        <v>62</v>
      </c>
      <c r="CH60" s="219" t="s">
        <v>63</v>
      </c>
      <c r="CI60" s="219" t="s">
        <v>86</v>
      </c>
      <c r="CJ60" s="219" t="s">
        <v>65</v>
      </c>
      <c r="CK60" s="219" t="s">
        <v>66</v>
      </c>
      <c r="CL60" s="220" t="s">
        <v>67</v>
      </c>
      <c r="CM60" s="104"/>
      <c r="CN60" s="221" t="s">
        <v>68</v>
      </c>
      <c r="CO60" s="222"/>
      <c r="CP60" s="222"/>
      <c r="CQ60" s="222"/>
      <c r="CR60" s="107"/>
      <c r="CS60" s="218" t="s">
        <v>62</v>
      </c>
      <c r="CT60" s="219" t="s">
        <v>63</v>
      </c>
      <c r="CU60" s="219" t="s">
        <v>86</v>
      </c>
      <c r="CV60" s="219" t="s">
        <v>65</v>
      </c>
      <c r="CW60" s="219" t="s">
        <v>66</v>
      </c>
      <c r="CX60" s="220" t="s">
        <v>67</v>
      </c>
      <c r="CY60" s="104"/>
      <c r="CZ60" s="221" t="s">
        <v>68</v>
      </c>
      <c r="DA60" s="222"/>
      <c r="DB60" s="222"/>
      <c r="DC60" s="222"/>
      <c r="DD60" s="107"/>
      <c r="DE60" s="218" t="s">
        <v>62</v>
      </c>
      <c r="DF60" s="219" t="s">
        <v>63</v>
      </c>
      <c r="DG60" s="219" t="s">
        <v>86</v>
      </c>
      <c r="DH60" s="219" t="s">
        <v>65</v>
      </c>
      <c r="DI60" s="219" t="s">
        <v>66</v>
      </c>
      <c r="DJ60" s="220" t="s">
        <v>67</v>
      </c>
      <c r="DK60" s="104"/>
      <c r="DL60" s="221" t="s">
        <v>68</v>
      </c>
      <c r="DM60" s="222"/>
      <c r="DN60" s="222"/>
      <c r="DO60" s="222"/>
      <c r="DP60" s="107"/>
      <c r="DQ60" s="218" t="s">
        <v>62</v>
      </c>
      <c r="DR60" s="219" t="s">
        <v>63</v>
      </c>
      <c r="DS60" s="219" t="s">
        <v>86</v>
      </c>
      <c r="DT60" s="219" t="s">
        <v>65</v>
      </c>
      <c r="DU60" s="219" t="s">
        <v>66</v>
      </c>
      <c r="DV60" s="220" t="s">
        <v>67</v>
      </c>
      <c r="DW60" s="104"/>
      <c r="DX60" s="221" t="s">
        <v>68</v>
      </c>
      <c r="DY60" s="222"/>
      <c r="DZ60" s="222"/>
      <c r="EA60" s="222"/>
      <c r="EB60" s="107"/>
      <c r="EC60" s="218" t="s">
        <v>62</v>
      </c>
      <c r="ED60" s="219" t="s">
        <v>63</v>
      </c>
      <c r="EE60" s="219" t="s">
        <v>86</v>
      </c>
      <c r="EF60" s="219" t="s">
        <v>65</v>
      </c>
      <c r="EG60" s="219" t="s">
        <v>66</v>
      </c>
      <c r="EH60" s="220" t="s">
        <v>67</v>
      </c>
      <c r="EI60" s="104"/>
      <c r="EJ60" s="221" t="s">
        <v>68</v>
      </c>
      <c r="EK60" s="222"/>
      <c r="EL60" s="222"/>
      <c r="EM60" s="222"/>
      <c r="EN60" s="107"/>
      <c r="EO60" s="218" t="s">
        <v>62</v>
      </c>
      <c r="EP60" s="219" t="s">
        <v>63</v>
      </c>
      <c r="EQ60" s="219" t="s">
        <v>86</v>
      </c>
      <c r="ER60" s="219" t="s">
        <v>65</v>
      </c>
      <c r="ES60" s="219" t="s">
        <v>66</v>
      </c>
      <c r="ET60" s="220" t="s">
        <v>67</v>
      </c>
      <c r="EU60" s="104"/>
      <c r="EV60" s="221" t="s">
        <v>68</v>
      </c>
      <c r="EW60" s="222"/>
      <c r="EX60" s="222"/>
      <c r="EY60" s="222"/>
      <c r="EZ60" s="107"/>
      <c r="FA60" s="218" t="s">
        <v>62</v>
      </c>
      <c r="FB60" s="219" t="s">
        <v>63</v>
      </c>
      <c r="FC60" s="219" t="s">
        <v>86</v>
      </c>
      <c r="FD60" s="219" t="s">
        <v>65</v>
      </c>
      <c r="FE60" s="219" t="s">
        <v>66</v>
      </c>
      <c r="FF60" s="220" t="s">
        <v>67</v>
      </c>
      <c r="FG60" s="104"/>
      <c r="FH60" s="221" t="s">
        <v>68</v>
      </c>
      <c r="FI60" s="222"/>
      <c r="FJ60" s="222"/>
      <c r="FK60" s="222"/>
      <c r="FL60" s="107"/>
      <c r="FM60" s="218" t="s">
        <v>62</v>
      </c>
      <c r="FN60" s="219" t="s">
        <v>63</v>
      </c>
      <c r="FO60" s="219" t="s">
        <v>86</v>
      </c>
      <c r="FP60" s="219" t="s">
        <v>65</v>
      </c>
      <c r="FQ60" s="219" t="s">
        <v>66</v>
      </c>
      <c r="FR60" s="220" t="s">
        <v>67</v>
      </c>
      <c r="FS60" s="104"/>
      <c r="FT60" s="221" t="s">
        <v>68</v>
      </c>
      <c r="FU60" s="222"/>
      <c r="FV60" s="222"/>
      <c r="FW60" s="222"/>
      <c r="FX60" s="107"/>
      <c r="FY60" s="218" t="s">
        <v>62</v>
      </c>
      <c r="FZ60" s="219" t="s">
        <v>63</v>
      </c>
      <c r="GA60" s="219" t="s">
        <v>86</v>
      </c>
      <c r="GB60" s="219" t="s">
        <v>65</v>
      </c>
      <c r="GC60" s="219" t="s">
        <v>66</v>
      </c>
      <c r="GD60" s="220" t="s">
        <v>67</v>
      </c>
      <c r="GE60" s="104"/>
      <c r="GF60" s="221" t="s">
        <v>68</v>
      </c>
      <c r="GG60" s="222"/>
      <c r="GH60" s="222"/>
      <c r="GI60" s="222"/>
      <c r="GJ60" s="107"/>
      <c r="GK60" s="218" t="s">
        <v>62</v>
      </c>
      <c r="GL60" s="219" t="s">
        <v>63</v>
      </c>
      <c r="GM60" s="219" t="s">
        <v>86</v>
      </c>
      <c r="GN60" s="219" t="s">
        <v>65</v>
      </c>
      <c r="GO60" s="219" t="s">
        <v>66</v>
      </c>
      <c r="GP60" s="220" t="s">
        <v>67</v>
      </c>
      <c r="GQ60" s="104"/>
      <c r="GR60" s="221" t="s">
        <v>68</v>
      </c>
      <c r="GS60" s="222"/>
      <c r="GT60" s="222"/>
      <c r="GU60" s="222"/>
      <c r="GV60" s="107"/>
      <c r="GW60" s="218" t="s">
        <v>62</v>
      </c>
      <c r="GX60" s="219" t="s">
        <v>63</v>
      </c>
      <c r="GY60" s="219" t="s">
        <v>86</v>
      </c>
      <c r="GZ60" s="219" t="s">
        <v>65</v>
      </c>
      <c r="HA60" s="219" t="s">
        <v>66</v>
      </c>
      <c r="HB60" s="220" t="s">
        <v>67</v>
      </c>
      <c r="HC60" s="104"/>
      <c r="HD60" s="221" t="s">
        <v>68</v>
      </c>
      <c r="HE60" s="222"/>
      <c r="HF60" s="222"/>
      <c r="HG60" s="222"/>
      <c r="HH60" s="107"/>
      <c r="HI60" s="106"/>
    </row>
    <row r="61" ht="66.0" customHeight="1">
      <c r="A61" s="108"/>
      <c r="B61" s="94"/>
      <c r="C61" s="94"/>
      <c r="D61" s="94"/>
      <c r="E61" s="94"/>
      <c r="F61" s="223" t="s">
        <v>69</v>
      </c>
      <c r="G61" s="223" t="s">
        <v>70</v>
      </c>
      <c r="H61" s="110"/>
      <c r="I61" s="222"/>
      <c r="J61" s="222"/>
      <c r="K61" s="222"/>
      <c r="L61" s="107"/>
      <c r="M61" s="108"/>
      <c r="N61" s="94"/>
      <c r="O61" s="94"/>
      <c r="P61" s="94"/>
      <c r="Q61" s="94"/>
      <c r="R61" s="223" t="s">
        <v>69</v>
      </c>
      <c r="S61" s="223" t="s">
        <v>70</v>
      </c>
      <c r="T61" s="110"/>
      <c r="U61" s="222"/>
      <c r="V61" s="222"/>
      <c r="W61" s="222"/>
      <c r="X61" s="107"/>
      <c r="Y61" s="108"/>
      <c r="Z61" s="94"/>
      <c r="AA61" s="94"/>
      <c r="AB61" s="94"/>
      <c r="AC61" s="94"/>
      <c r="AD61" s="223" t="s">
        <v>69</v>
      </c>
      <c r="AE61" s="223" t="s">
        <v>70</v>
      </c>
      <c r="AF61" s="110"/>
      <c r="AG61" s="222"/>
      <c r="AH61" s="222"/>
      <c r="AI61" s="222"/>
      <c r="AJ61" s="107"/>
      <c r="AK61" s="108"/>
      <c r="AL61" s="94"/>
      <c r="AM61" s="94"/>
      <c r="AN61" s="94"/>
      <c r="AO61" s="94"/>
      <c r="AP61" s="223" t="s">
        <v>69</v>
      </c>
      <c r="AQ61" s="223" t="s">
        <v>70</v>
      </c>
      <c r="AR61" s="110"/>
      <c r="AS61" s="222"/>
      <c r="AT61" s="222"/>
      <c r="AU61" s="222"/>
      <c r="AV61" s="107"/>
      <c r="AW61" s="108"/>
      <c r="AX61" s="94"/>
      <c r="AY61" s="94"/>
      <c r="AZ61" s="94"/>
      <c r="BA61" s="94"/>
      <c r="BB61" s="223" t="s">
        <v>69</v>
      </c>
      <c r="BC61" s="223" t="s">
        <v>70</v>
      </c>
      <c r="BD61" s="110"/>
      <c r="BE61" s="222"/>
      <c r="BF61" s="222"/>
      <c r="BG61" s="222"/>
      <c r="BH61" s="107"/>
      <c r="BI61" s="108"/>
      <c r="BJ61" s="94"/>
      <c r="BK61" s="94"/>
      <c r="BL61" s="94"/>
      <c r="BM61" s="94"/>
      <c r="BN61" s="223" t="s">
        <v>69</v>
      </c>
      <c r="BO61" s="223" t="s">
        <v>70</v>
      </c>
      <c r="BP61" s="110"/>
      <c r="BQ61" s="222"/>
      <c r="BR61" s="222"/>
      <c r="BS61" s="222"/>
      <c r="BT61" s="107"/>
      <c r="BU61" s="108"/>
      <c r="BV61" s="94"/>
      <c r="BW61" s="94"/>
      <c r="BX61" s="94"/>
      <c r="BY61" s="94"/>
      <c r="BZ61" s="223" t="s">
        <v>69</v>
      </c>
      <c r="CA61" s="223" t="s">
        <v>70</v>
      </c>
      <c r="CB61" s="110"/>
      <c r="CC61" s="222"/>
      <c r="CD61" s="222"/>
      <c r="CE61" s="222"/>
      <c r="CF61" s="107"/>
      <c r="CG61" s="108"/>
      <c r="CH61" s="94"/>
      <c r="CI61" s="94"/>
      <c r="CJ61" s="94"/>
      <c r="CK61" s="94"/>
      <c r="CL61" s="223" t="s">
        <v>69</v>
      </c>
      <c r="CM61" s="223" t="s">
        <v>70</v>
      </c>
      <c r="CN61" s="110"/>
      <c r="CO61" s="222"/>
      <c r="CP61" s="222"/>
      <c r="CQ61" s="222"/>
      <c r="CR61" s="107"/>
      <c r="CS61" s="108"/>
      <c r="CT61" s="94"/>
      <c r="CU61" s="94"/>
      <c r="CV61" s="94"/>
      <c r="CW61" s="94"/>
      <c r="CX61" s="223" t="s">
        <v>69</v>
      </c>
      <c r="CY61" s="223" t="s">
        <v>70</v>
      </c>
      <c r="CZ61" s="110"/>
      <c r="DA61" s="222"/>
      <c r="DB61" s="222"/>
      <c r="DC61" s="222"/>
      <c r="DD61" s="107"/>
      <c r="DE61" s="108"/>
      <c r="DF61" s="94"/>
      <c r="DG61" s="94"/>
      <c r="DH61" s="94"/>
      <c r="DI61" s="94"/>
      <c r="DJ61" s="223" t="s">
        <v>69</v>
      </c>
      <c r="DK61" s="223" t="s">
        <v>70</v>
      </c>
      <c r="DL61" s="110"/>
      <c r="DM61" s="222"/>
      <c r="DN61" s="222"/>
      <c r="DO61" s="222"/>
      <c r="DP61" s="107"/>
      <c r="DQ61" s="108"/>
      <c r="DR61" s="94"/>
      <c r="DS61" s="94"/>
      <c r="DT61" s="94"/>
      <c r="DU61" s="94"/>
      <c r="DV61" s="223" t="s">
        <v>69</v>
      </c>
      <c r="DW61" s="223" t="s">
        <v>70</v>
      </c>
      <c r="DX61" s="110"/>
      <c r="DY61" s="222"/>
      <c r="DZ61" s="222"/>
      <c r="EA61" s="222"/>
      <c r="EB61" s="107"/>
      <c r="EC61" s="108"/>
      <c r="ED61" s="94"/>
      <c r="EE61" s="94"/>
      <c r="EF61" s="94"/>
      <c r="EG61" s="94"/>
      <c r="EH61" s="223" t="s">
        <v>69</v>
      </c>
      <c r="EI61" s="223" t="s">
        <v>70</v>
      </c>
      <c r="EJ61" s="110"/>
      <c r="EK61" s="222"/>
      <c r="EL61" s="222"/>
      <c r="EM61" s="222"/>
      <c r="EN61" s="107"/>
      <c r="EO61" s="108"/>
      <c r="EP61" s="94"/>
      <c r="EQ61" s="94"/>
      <c r="ER61" s="94"/>
      <c r="ES61" s="94"/>
      <c r="ET61" s="223" t="s">
        <v>69</v>
      </c>
      <c r="EU61" s="223" t="s">
        <v>70</v>
      </c>
      <c r="EV61" s="110"/>
      <c r="EW61" s="222"/>
      <c r="EX61" s="222"/>
      <c r="EY61" s="222"/>
      <c r="EZ61" s="107"/>
      <c r="FA61" s="108"/>
      <c r="FB61" s="94"/>
      <c r="FC61" s="94"/>
      <c r="FD61" s="94"/>
      <c r="FE61" s="94"/>
      <c r="FF61" s="223" t="s">
        <v>69</v>
      </c>
      <c r="FG61" s="223" t="s">
        <v>70</v>
      </c>
      <c r="FH61" s="110"/>
      <c r="FI61" s="222"/>
      <c r="FJ61" s="222"/>
      <c r="FK61" s="222"/>
      <c r="FL61" s="107"/>
      <c r="FM61" s="108"/>
      <c r="FN61" s="94"/>
      <c r="FO61" s="94"/>
      <c r="FP61" s="94"/>
      <c r="FQ61" s="94"/>
      <c r="FR61" s="223" t="s">
        <v>69</v>
      </c>
      <c r="FS61" s="223" t="s">
        <v>70</v>
      </c>
      <c r="FT61" s="110"/>
      <c r="FU61" s="222"/>
      <c r="FV61" s="222"/>
      <c r="FW61" s="222"/>
      <c r="FX61" s="107"/>
      <c r="FY61" s="108"/>
      <c r="FZ61" s="94"/>
      <c r="GA61" s="94"/>
      <c r="GB61" s="94"/>
      <c r="GC61" s="94"/>
      <c r="GD61" s="223" t="s">
        <v>69</v>
      </c>
      <c r="GE61" s="223" t="s">
        <v>70</v>
      </c>
      <c r="GF61" s="110"/>
      <c r="GG61" s="222"/>
      <c r="GH61" s="222"/>
      <c r="GI61" s="222"/>
      <c r="GJ61" s="107"/>
      <c r="GK61" s="108"/>
      <c r="GL61" s="94"/>
      <c r="GM61" s="94"/>
      <c r="GN61" s="94"/>
      <c r="GO61" s="94"/>
      <c r="GP61" s="223" t="s">
        <v>69</v>
      </c>
      <c r="GQ61" s="223" t="s">
        <v>70</v>
      </c>
      <c r="GR61" s="110"/>
      <c r="GS61" s="222"/>
      <c r="GT61" s="222"/>
      <c r="GU61" s="222"/>
      <c r="GV61" s="107"/>
      <c r="GW61" s="108"/>
      <c r="GX61" s="94"/>
      <c r="GY61" s="94"/>
      <c r="GZ61" s="94"/>
      <c r="HA61" s="94"/>
      <c r="HB61" s="223" t="s">
        <v>69</v>
      </c>
      <c r="HC61" s="223" t="s">
        <v>70</v>
      </c>
      <c r="HD61" s="110"/>
      <c r="HE61" s="222"/>
      <c r="HF61" s="222"/>
      <c r="HG61" s="222"/>
      <c r="HH61" s="107"/>
      <c r="HI61" s="106"/>
    </row>
    <row r="62" ht="15.75" customHeight="1">
      <c r="A62" s="224">
        <v>-1.0</v>
      </c>
      <c r="B62" s="225">
        <v>-2.0</v>
      </c>
      <c r="C62" s="225">
        <v>-3.0</v>
      </c>
      <c r="D62" s="225">
        <v>-4.0</v>
      </c>
      <c r="E62" s="225">
        <v>-5.0</v>
      </c>
      <c r="F62" s="225">
        <v>-6.0</v>
      </c>
      <c r="G62" s="225">
        <v>-7.0</v>
      </c>
      <c r="H62" s="226">
        <v>-8.0</v>
      </c>
      <c r="I62" s="227"/>
      <c r="J62" s="227"/>
      <c r="K62" s="227"/>
      <c r="L62" s="115"/>
      <c r="M62" s="224">
        <v>-1.0</v>
      </c>
      <c r="N62" s="225">
        <v>-2.0</v>
      </c>
      <c r="O62" s="225">
        <v>-3.0</v>
      </c>
      <c r="P62" s="225">
        <v>-4.0</v>
      </c>
      <c r="Q62" s="225">
        <v>-5.0</v>
      </c>
      <c r="R62" s="225">
        <v>-6.0</v>
      </c>
      <c r="S62" s="225">
        <v>-7.0</v>
      </c>
      <c r="T62" s="226">
        <v>-8.0</v>
      </c>
      <c r="U62" s="227"/>
      <c r="V62" s="227"/>
      <c r="W62" s="227"/>
      <c r="X62" s="115"/>
      <c r="Y62" s="224">
        <v>-1.0</v>
      </c>
      <c r="Z62" s="225">
        <v>-2.0</v>
      </c>
      <c r="AA62" s="225">
        <v>-3.0</v>
      </c>
      <c r="AB62" s="225">
        <v>-4.0</v>
      </c>
      <c r="AC62" s="225">
        <v>-5.0</v>
      </c>
      <c r="AD62" s="225">
        <v>-6.0</v>
      </c>
      <c r="AE62" s="225">
        <v>-7.0</v>
      </c>
      <c r="AF62" s="226">
        <v>-8.0</v>
      </c>
      <c r="AG62" s="227"/>
      <c r="AH62" s="227"/>
      <c r="AI62" s="227"/>
      <c r="AJ62" s="115"/>
      <c r="AK62" s="224">
        <v>-1.0</v>
      </c>
      <c r="AL62" s="225">
        <v>-2.0</v>
      </c>
      <c r="AM62" s="225">
        <v>-3.0</v>
      </c>
      <c r="AN62" s="225">
        <v>-4.0</v>
      </c>
      <c r="AO62" s="225">
        <v>-5.0</v>
      </c>
      <c r="AP62" s="225">
        <v>-6.0</v>
      </c>
      <c r="AQ62" s="225">
        <v>-7.0</v>
      </c>
      <c r="AR62" s="226">
        <v>-8.0</v>
      </c>
      <c r="AS62" s="227"/>
      <c r="AT62" s="227"/>
      <c r="AU62" s="227"/>
      <c r="AV62" s="115"/>
      <c r="AW62" s="224">
        <v>-1.0</v>
      </c>
      <c r="AX62" s="225">
        <v>-2.0</v>
      </c>
      <c r="AY62" s="225">
        <v>-3.0</v>
      </c>
      <c r="AZ62" s="225">
        <v>-4.0</v>
      </c>
      <c r="BA62" s="225">
        <v>-5.0</v>
      </c>
      <c r="BB62" s="225">
        <v>-6.0</v>
      </c>
      <c r="BC62" s="225">
        <v>-7.0</v>
      </c>
      <c r="BD62" s="226">
        <v>-8.0</v>
      </c>
      <c r="BE62" s="227"/>
      <c r="BF62" s="227"/>
      <c r="BG62" s="227"/>
      <c r="BH62" s="115"/>
      <c r="BI62" s="224">
        <v>-1.0</v>
      </c>
      <c r="BJ62" s="225">
        <v>-2.0</v>
      </c>
      <c r="BK62" s="225">
        <v>-3.0</v>
      </c>
      <c r="BL62" s="225">
        <v>-4.0</v>
      </c>
      <c r="BM62" s="225">
        <v>-5.0</v>
      </c>
      <c r="BN62" s="225">
        <v>-6.0</v>
      </c>
      <c r="BO62" s="225">
        <v>-7.0</v>
      </c>
      <c r="BP62" s="226">
        <v>-8.0</v>
      </c>
      <c r="BQ62" s="227"/>
      <c r="BR62" s="227"/>
      <c r="BS62" s="227"/>
      <c r="BT62" s="115"/>
      <c r="BU62" s="224">
        <v>-1.0</v>
      </c>
      <c r="BV62" s="225">
        <v>-2.0</v>
      </c>
      <c r="BW62" s="225">
        <v>-3.0</v>
      </c>
      <c r="BX62" s="225">
        <v>-4.0</v>
      </c>
      <c r="BY62" s="225">
        <v>-5.0</v>
      </c>
      <c r="BZ62" s="225">
        <v>-6.0</v>
      </c>
      <c r="CA62" s="225">
        <v>-7.0</v>
      </c>
      <c r="CB62" s="226">
        <v>-8.0</v>
      </c>
      <c r="CC62" s="227"/>
      <c r="CD62" s="227"/>
      <c r="CE62" s="227"/>
      <c r="CF62" s="115"/>
      <c r="CG62" s="224">
        <v>-1.0</v>
      </c>
      <c r="CH62" s="225">
        <v>-2.0</v>
      </c>
      <c r="CI62" s="225">
        <v>-3.0</v>
      </c>
      <c r="CJ62" s="225">
        <v>-4.0</v>
      </c>
      <c r="CK62" s="225">
        <v>-5.0</v>
      </c>
      <c r="CL62" s="225">
        <v>-6.0</v>
      </c>
      <c r="CM62" s="225">
        <v>-7.0</v>
      </c>
      <c r="CN62" s="226">
        <v>-8.0</v>
      </c>
      <c r="CO62" s="227"/>
      <c r="CP62" s="227"/>
      <c r="CQ62" s="227"/>
      <c r="CR62" s="115"/>
      <c r="CS62" s="224">
        <v>-1.0</v>
      </c>
      <c r="CT62" s="225">
        <v>-2.0</v>
      </c>
      <c r="CU62" s="225">
        <v>-3.0</v>
      </c>
      <c r="CV62" s="225">
        <v>-4.0</v>
      </c>
      <c r="CW62" s="225">
        <v>-5.0</v>
      </c>
      <c r="CX62" s="225">
        <v>-6.0</v>
      </c>
      <c r="CY62" s="225">
        <v>-7.0</v>
      </c>
      <c r="CZ62" s="226">
        <v>-8.0</v>
      </c>
      <c r="DA62" s="227"/>
      <c r="DB62" s="227"/>
      <c r="DC62" s="227"/>
      <c r="DD62" s="115"/>
      <c r="DE62" s="224">
        <v>-1.0</v>
      </c>
      <c r="DF62" s="225">
        <v>-2.0</v>
      </c>
      <c r="DG62" s="225">
        <v>-3.0</v>
      </c>
      <c r="DH62" s="225">
        <v>-4.0</v>
      </c>
      <c r="DI62" s="225">
        <v>-5.0</v>
      </c>
      <c r="DJ62" s="225">
        <v>-6.0</v>
      </c>
      <c r="DK62" s="225">
        <v>-7.0</v>
      </c>
      <c r="DL62" s="226">
        <v>-8.0</v>
      </c>
      <c r="DM62" s="227"/>
      <c r="DN62" s="227"/>
      <c r="DO62" s="227"/>
      <c r="DP62" s="115"/>
      <c r="DQ62" s="224">
        <v>-1.0</v>
      </c>
      <c r="DR62" s="225">
        <v>-2.0</v>
      </c>
      <c r="DS62" s="225">
        <v>-3.0</v>
      </c>
      <c r="DT62" s="225">
        <v>-4.0</v>
      </c>
      <c r="DU62" s="225">
        <v>-5.0</v>
      </c>
      <c r="DV62" s="225">
        <v>-6.0</v>
      </c>
      <c r="DW62" s="225">
        <v>-7.0</v>
      </c>
      <c r="DX62" s="226">
        <v>-8.0</v>
      </c>
      <c r="DY62" s="227"/>
      <c r="DZ62" s="227"/>
      <c r="EA62" s="227"/>
      <c r="EB62" s="115"/>
      <c r="EC62" s="224">
        <v>-1.0</v>
      </c>
      <c r="ED62" s="225">
        <v>-2.0</v>
      </c>
      <c r="EE62" s="225">
        <v>-3.0</v>
      </c>
      <c r="EF62" s="225">
        <v>-4.0</v>
      </c>
      <c r="EG62" s="225">
        <v>-5.0</v>
      </c>
      <c r="EH62" s="225">
        <v>-6.0</v>
      </c>
      <c r="EI62" s="225">
        <v>-7.0</v>
      </c>
      <c r="EJ62" s="226">
        <v>-8.0</v>
      </c>
      <c r="EK62" s="227"/>
      <c r="EL62" s="227"/>
      <c r="EM62" s="227"/>
      <c r="EN62" s="115"/>
      <c r="EO62" s="224">
        <v>-1.0</v>
      </c>
      <c r="EP62" s="225">
        <v>-2.0</v>
      </c>
      <c r="EQ62" s="225">
        <v>-3.0</v>
      </c>
      <c r="ER62" s="225">
        <v>-4.0</v>
      </c>
      <c r="ES62" s="225">
        <v>-5.0</v>
      </c>
      <c r="ET62" s="225">
        <v>-6.0</v>
      </c>
      <c r="EU62" s="225">
        <v>-7.0</v>
      </c>
      <c r="EV62" s="226">
        <v>-8.0</v>
      </c>
      <c r="EW62" s="227"/>
      <c r="EX62" s="227"/>
      <c r="EY62" s="227"/>
      <c r="EZ62" s="115"/>
      <c r="FA62" s="224">
        <v>-1.0</v>
      </c>
      <c r="FB62" s="225">
        <v>-2.0</v>
      </c>
      <c r="FC62" s="225">
        <v>-3.0</v>
      </c>
      <c r="FD62" s="225">
        <v>-4.0</v>
      </c>
      <c r="FE62" s="225">
        <v>-5.0</v>
      </c>
      <c r="FF62" s="225">
        <v>-6.0</v>
      </c>
      <c r="FG62" s="225">
        <v>-7.0</v>
      </c>
      <c r="FH62" s="226">
        <v>-8.0</v>
      </c>
      <c r="FI62" s="227"/>
      <c r="FJ62" s="227"/>
      <c r="FK62" s="227"/>
      <c r="FL62" s="115"/>
      <c r="FM62" s="224">
        <v>-1.0</v>
      </c>
      <c r="FN62" s="225">
        <v>-2.0</v>
      </c>
      <c r="FO62" s="225">
        <v>-3.0</v>
      </c>
      <c r="FP62" s="225">
        <v>-4.0</v>
      </c>
      <c r="FQ62" s="225">
        <v>-5.0</v>
      </c>
      <c r="FR62" s="225">
        <v>-6.0</v>
      </c>
      <c r="FS62" s="225">
        <v>-7.0</v>
      </c>
      <c r="FT62" s="226">
        <v>-8.0</v>
      </c>
      <c r="FU62" s="227"/>
      <c r="FV62" s="227"/>
      <c r="FW62" s="227"/>
      <c r="FX62" s="115"/>
      <c r="FY62" s="224">
        <v>-1.0</v>
      </c>
      <c r="FZ62" s="225">
        <v>-2.0</v>
      </c>
      <c r="GA62" s="225">
        <v>-3.0</v>
      </c>
      <c r="GB62" s="225">
        <v>-4.0</v>
      </c>
      <c r="GC62" s="225">
        <v>-5.0</v>
      </c>
      <c r="GD62" s="225">
        <v>-6.0</v>
      </c>
      <c r="GE62" s="225">
        <v>-7.0</v>
      </c>
      <c r="GF62" s="226">
        <v>-8.0</v>
      </c>
      <c r="GG62" s="227"/>
      <c r="GH62" s="227"/>
      <c r="GI62" s="227"/>
      <c r="GJ62" s="115"/>
      <c r="GK62" s="224">
        <v>-1.0</v>
      </c>
      <c r="GL62" s="225">
        <v>-2.0</v>
      </c>
      <c r="GM62" s="225">
        <v>-3.0</v>
      </c>
      <c r="GN62" s="225">
        <v>-4.0</v>
      </c>
      <c r="GO62" s="225">
        <v>-5.0</v>
      </c>
      <c r="GP62" s="225">
        <v>-6.0</v>
      </c>
      <c r="GQ62" s="225">
        <v>-7.0</v>
      </c>
      <c r="GR62" s="226">
        <v>-8.0</v>
      </c>
      <c r="GS62" s="227"/>
      <c r="GT62" s="227"/>
      <c r="GU62" s="227"/>
      <c r="GV62" s="115"/>
      <c r="GW62" s="224">
        <v>-1.0</v>
      </c>
      <c r="GX62" s="225">
        <v>-2.0</v>
      </c>
      <c r="GY62" s="225">
        <v>-3.0</v>
      </c>
      <c r="GZ62" s="225">
        <v>-4.0</v>
      </c>
      <c r="HA62" s="225">
        <v>-5.0</v>
      </c>
      <c r="HB62" s="225">
        <v>-6.0</v>
      </c>
      <c r="HC62" s="225">
        <v>-7.0</v>
      </c>
      <c r="HD62" s="226">
        <v>-8.0</v>
      </c>
      <c r="HE62" s="227"/>
      <c r="HF62" s="227"/>
      <c r="HG62" s="227"/>
      <c r="HH62" s="115"/>
      <c r="HI62" s="114"/>
    </row>
    <row r="63" ht="15.75" customHeight="1">
      <c r="A63" s="228"/>
      <c r="B63" s="229"/>
      <c r="C63" s="230"/>
      <c r="D63" s="230"/>
      <c r="E63" s="230"/>
      <c r="F63" s="230"/>
      <c r="G63" s="230"/>
      <c r="H63" s="231"/>
      <c r="I63" s="232"/>
      <c r="J63" s="232"/>
      <c r="K63" s="232"/>
      <c r="L63" s="81"/>
      <c r="M63" s="228"/>
      <c r="N63" s="229"/>
      <c r="O63" s="230"/>
      <c r="P63" s="230"/>
      <c r="Q63" s="230"/>
      <c r="R63" s="230"/>
      <c r="S63" s="230"/>
      <c r="T63" s="231"/>
      <c r="U63" s="232"/>
      <c r="V63" s="232"/>
      <c r="W63" s="232"/>
      <c r="X63" s="81"/>
      <c r="Y63" s="228"/>
      <c r="Z63" s="229"/>
      <c r="AA63" s="230"/>
      <c r="AB63" s="230"/>
      <c r="AC63" s="230"/>
      <c r="AD63" s="230"/>
      <c r="AE63" s="230"/>
      <c r="AF63" s="231"/>
      <c r="AG63" s="232"/>
      <c r="AH63" s="232"/>
      <c r="AI63" s="232"/>
      <c r="AJ63" s="81"/>
      <c r="AK63" s="228"/>
      <c r="AL63" s="229"/>
      <c r="AM63" s="230"/>
      <c r="AN63" s="230"/>
      <c r="AO63" s="230"/>
      <c r="AP63" s="230"/>
      <c r="AQ63" s="230"/>
      <c r="AR63" s="231"/>
      <c r="AS63" s="232"/>
      <c r="AT63" s="232"/>
      <c r="AU63" s="232"/>
      <c r="AV63" s="81"/>
      <c r="AW63" s="228"/>
      <c r="AX63" s="229"/>
      <c r="AY63" s="230"/>
      <c r="AZ63" s="230"/>
      <c r="BA63" s="230"/>
      <c r="BB63" s="230"/>
      <c r="BC63" s="230"/>
      <c r="BD63" s="231"/>
      <c r="BE63" s="232"/>
      <c r="BF63" s="232"/>
      <c r="BG63" s="232"/>
      <c r="BH63" s="81"/>
      <c r="BI63" s="228"/>
      <c r="BJ63" s="229"/>
      <c r="BK63" s="230"/>
      <c r="BL63" s="230"/>
      <c r="BM63" s="230"/>
      <c r="BN63" s="230"/>
      <c r="BO63" s="230"/>
      <c r="BP63" s="231"/>
      <c r="BQ63" s="232"/>
      <c r="BR63" s="232"/>
      <c r="BS63" s="232"/>
      <c r="BT63" s="81"/>
      <c r="BU63" s="228"/>
      <c r="BV63" s="229"/>
      <c r="BW63" s="230"/>
      <c r="BX63" s="230"/>
      <c r="BY63" s="230"/>
      <c r="BZ63" s="230"/>
      <c r="CA63" s="230"/>
      <c r="CB63" s="231"/>
      <c r="CC63" s="232"/>
      <c r="CD63" s="232"/>
      <c r="CE63" s="232"/>
      <c r="CF63" s="81"/>
      <c r="CG63" s="228"/>
      <c r="CH63" s="229"/>
      <c r="CI63" s="230"/>
      <c r="CJ63" s="230"/>
      <c r="CK63" s="230"/>
      <c r="CL63" s="230"/>
      <c r="CM63" s="230"/>
      <c r="CN63" s="231"/>
      <c r="CO63" s="232"/>
      <c r="CP63" s="232"/>
      <c r="CQ63" s="232"/>
      <c r="CR63" s="81"/>
      <c r="CS63" s="228"/>
      <c r="CT63" s="229"/>
      <c r="CU63" s="230"/>
      <c r="CV63" s="230"/>
      <c r="CW63" s="230"/>
      <c r="CX63" s="230"/>
      <c r="CY63" s="230"/>
      <c r="CZ63" s="231"/>
      <c r="DA63" s="232"/>
      <c r="DB63" s="232"/>
      <c r="DC63" s="232"/>
      <c r="DD63" s="81"/>
      <c r="DE63" s="228"/>
      <c r="DF63" s="229"/>
      <c r="DG63" s="230"/>
      <c r="DH63" s="230"/>
      <c r="DI63" s="230"/>
      <c r="DJ63" s="230"/>
      <c r="DK63" s="230"/>
      <c r="DL63" s="231"/>
      <c r="DM63" s="232"/>
      <c r="DN63" s="232"/>
      <c r="DO63" s="232"/>
      <c r="DP63" s="81"/>
      <c r="DQ63" s="228"/>
      <c r="DR63" s="229"/>
      <c r="DS63" s="230"/>
      <c r="DT63" s="230"/>
      <c r="DU63" s="230"/>
      <c r="DV63" s="230"/>
      <c r="DW63" s="230"/>
      <c r="DX63" s="231"/>
      <c r="DY63" s="232"/>
      <c r="DZ63" s="232"/>
      <c r="EA63" s="232"/>
      <c r="EB63" s="81"/>
      <c r="EC63" s="228"/>
      <c r="ED63" s="229"/>
      <c r="EE63" s="230"/>
      <c r="EF63" s="230"/>
      <c r="EG63" s="230"/>
      <c r="EH63" s="230"/>
      <c r="EI63" s="230"/>
      <c r="EJ63" s="231"/>
      <c r="EK63" s="232"/>
      <c r="EL63" s="232"/>
      <c r="EM63" s="232"/>
      <c r="EN63" s="81"/>
      <c r="EO63" s="228"/>
      <c r="EP63" s="229"/>
      <c r="EQ63" s="230"/>
      <c r="ER63" s="230"/>
      <c r="ES63" s="230"/>
      <c r="ET63" s="230"/>
      <c r="EU63" s="230"/>
      <c r="EV63" s="231"/>
      <c r="EW63" s="232"/>
      <c r="EX63" s="232"/>
      <c r="EY63" s="232"/>
      <c r="EZ63" s="81"/>
      <c r="FA63" s="228"/>
      <c r="FB63" s="229"/>
      <c r="FC63" s="230"/>
      <c r="FD63" s="230"/>
      <c r="FE63" s="230"/>
      <c r="FF63" s="230"/>
      <c r="FG63" s="230"/>
      <c r="FH63" s="231"/>
      <c r="FI63" s="232"/>
      <c r="FJ63" s="232"/>
      <c r="FK63" s="232"/>
      <c r="FL63" s="81"/>
      <c r="FM63" s="228"/>
      <c r="FN63" s="229"/>
      <c r="FO63" s="230"/>
      <c r="FP63" s="230"/>
      <c r="FQ63" s="230"/>
      <c r="FR63" s="230"/>
      <c r="FS63" s="230"/>
      <c r="FT63" s="231"/>
      <c r="FU63" s="232"/>
      <c r="FV63" s="232"/>
      <c r="FW63" s="232"/>
      <c r="FX63" s="81"/>
      <c r="FY63" s="228"/>
      <c r="FZ63" s="229"/>
      <c r="GA63" s="230"/>
      <c r="GB63" s="230"/>
      <c r="GC63" s="230"/>
      <c r="GD63" s="230"/>
      <c r="GE63" s="230"/>
      <c r="GF63" s="231"/>
      <c r="GG63" s="232"/>
      <c r="GH63" s="232"/>
      <c r="GI63" s="232"/>
      <c r="GJ63" s="81"/>
      <c r="GK63" s="228"/>
      <c r="GL63" s="229"/>
      <c r="GM63" s="230"/>
      <c r="GN63" s="230"/>
      <c r="GO63" s="230"/>
      <c r="GP63" s="230"/>
      <c r="GQ63" s="230"/>
      <c r="GR63" s="231"/>
      <c r="GS63" s="232"/>
      <c r="GT63" s="232"/>
      <c r="GU63" s="232"/>
      <c r="GV63" s="81"/>
      <c r="GW63" s="228"/>
      <c r="GX63" s="229"/>
      <c r="GY63" s="230"/>
      <c r="GZ63" s="230"/>
      <c r="HA63" s="230"/>
      <c r="HB63" s="230"/>
      <c r="HC63" s="230"/>
      <c r="HD63" s="231"/>
      <c r="HE63" s="232"/>
      <c r="HF63" s="232"/>
      <c r="HG63" s="232"/>
      <c r="HH63" s="81"/>
      <c r="HI63" s="75"/>
    </row>
    <row r="64" ht="15.75" customHeight="1">
      <c r="A64" s="233">
        <v>1.0</v>
      </c>
      <c r="B64" s="234" t="s">
        <v>71</v>
      </c>
      <c r="C64" s="235"/>
      <c r="D64" s="236">
        <f t="shared" ref="D64:D69" si="253">1.16180660667508/100</f>
        <v>0.01161806607</v>
      </c>
      <c r="E64" s="235">
        <f t="shared" ref="E64:E69" si="254">IFERROR(+D64*C64,"0")</f>
        <v>0</v>
      </c>
      <c r="F64" s="236">
        <v>0.16716266605705102</v>
      </c>
      <c r="G64" s="235">
        <f t="shared" ref="G64:G69" si="255">IFERROR(+E64*F64,"")</f>
        <v>0</v>
      </c>
      <c r="H64" s="237">
        <f t="shared" ref="H64:H69" si="256">IFERROR(+(IF(E64="","0",E64))-(IF(G64="","0",G64)),"")</f>
        <v>0</v>
      </c>
      <c r="I64" s="232"/>
      <c r="J64" s="232"/>
      <c r="K64" s="232"/>
      <c r="L64" s="81"/>
      <c r="M64" s="233">
        <v>1.0</v>
      </c>
      <c r="N64" s="234" t="s">
        <v>71</v>
      </c>
      <c r="O64" s="235"/>
      <c r="P64" s="236">
        <f t="shared" ref="P64:P69" si="257">1.16180660667508/100</f>
        <v>0.01161806607</v>
      </c>
      <c r="Q64" s="235">
        <f t="shared" ref="Q64:Q69" si="258">IFERROR(+P64*O64,"0")</f>
        <v>0</v>
      </c>
      <c r="R64" s="236">
        <v>0.16716266605705102</v>
      </c>
      <c r="S64" s="235">
        <f t="shared" ref="S64:S69" si="259">IFERROR(+Q64*R64,"")</f>
        <v>0</v>
      </c>
      <c r="T64" s="237">
        <f t="shared" ref="T64:T69" si="260">IFERROR(+(IF(Q64="","0",Q64))-(IF(S64="","0",S64)),"")</f>
        <v>0</v>
      </c>
      <c r="U64" s="232"/>
      <c r="V64" s="232"/>
      <c r="W64" s="232"/>
      <c r="X64" s="81"/>
      <c r="Y64" s="233">
        <v>1.0</v>
      </c>
      <c r="Z64" s="234" t="s">
        <v>71</v>
      </c>
      <c r="AA64" s="235"/>
      <c r="AB64" s="236">
        <f t="shared" ref="AB64:AB69" si="261">1.16180660667508/100</f>
        <v>0.01161806607</v>
      </c>
      <c r="AC64" s="235">
        <f t="shared" ref="AC64:AC69" si="262">IFERROR(+AB64*AA64,"0")</f>
        <v>0</v>
      </c>
      <c r="AD64" s="236">
        <v>0.16716266605705102</v>
      </c>
      <c r="AE64" s="235">
        <f t="shared" ref="AE64:AE69" si="263">IFERROR(+AC64*AD64,"")</f>
        <v>0</v>
      </c>
      <c r="AF64" s="237">
        <f t="shared" ref="AF64:AF69" si="264">IFERROR(+(IF(AC64="","0",AC64))-(IF(AE64="","0",AE64)),"")</f>
        <v>0</v>
      </c>
      <c r="AG64" s="232"/>
      <c r="AH64" s="232"/>
      <c r="AI64" s="232"/>
      <c r="AJ64" s="81"/>
      <c r="AK64" s="233">
        <v>1.0</v>
      </c>
      <c r="AL64" s="234" t="s">
        <v>71</v>
      </c>
      <c r="AM64" s="235"/>
      <c r="AN64" s="236">
        <f t="shared" ref="AN64:AN69" si="265">1.16180660667508/100</f>
        <v>0.01161806607</v>
      </c>
      <c r="AO64" s="235">
        <f t="shared" ref="AO64:AO69" si="266">IFERROR(+AN64*AM64,"0")</f>
        <v>0</v>
      </c>
      <c r="AP64" s="236">
        <v>0.16716266605705102</v>
      </c>
      <c r="AQ64" s="235">
        <f t="shared" ref="AQ64:AQ69" si="267">IFERROR(+AO64*AP64,"")</f>
        <v>0</v>
      </c>
      <c r="AR64" s="237">
        <f t="shared" ref="AR64:AR69" si="268">IFERROR(+(IF(AO64="","0",AO64))-(IF(AQ64="","0",AQ64)),"")</f>
        <v>0</v>
      </c>
      <c r="AS64" s="232"/>
      <c r="AT64" s="232"/>
      <c r="AU64" s="232"/>
      <c r="AV64" s="81"/>
      <c r="AW64" s="233">
        <v>1.0</v>
      </c>
      <c r="AX64" s="234" t="s">
        <v>71</v>
      </c>
      <c r="AY64" s="235"/>
      <c r="AZ64" s="236">
        <f t="shared" ref="AZ64:AZ69" si="269">1.16180660667508/100</f>
        <v>0.01161806607</v>
      </c>
      <c r="BA64" s="235">
        <f t="shared" ref="BA64:BA69" si="270">IFERROR(+AZ64*AY64,"0")</f>
        <v>0</v>
      </c>
      <c r="BB64" s="236">
        <v>0.16716266605705102</v>
      </c>
      <c r="BC64" s="235">
        <f t="shared" ref="BC64:BC69" si="271">IFERROR(+BA64*BB64,"")</f>
        <v>0</v>
      </c>
      <c r="BD64" s="237">
        <f t="shared" ref="BD64:BD69" si="272">IFERROR(+(IF(BA64="","0",BA64))-(IF(BC64="","0",BC64)),"")</f>
        <v>0</v>
      </c>
      <c r="BE64" s="232"/>
      <c r="BF64" s="232"/>
      <c r="BG64" s="232"/>
      <c r="BH64" s="81"/>
      <c r="BI64" s="233">
        <v>1.0</v>
      </c>
      <c r="BJ64" s="234" t="s">
        <v>71</v>
      </c>
      <c r="BK64" s="235"/>
      <c r="BL64" s="236">
        <f t="shared" ref="BL64:BL69" si="273">1.16180660667508/100</f>
        <v>0.01161806607</v>
      </c>
      <c r="BM64" s="235">
        <f t="shared" ref="BM64:BM69" si="274">IFERROR(+BL64*BK64,"0")</f>
        <v>0</v>
      </c>
      <c r="BN64" s="236">
        <v>0.16716266605705102</v>
      </c>
      <c r="BO64" s="235">
        <f t="shared" ref="BO64:BO69" si="275">IFERROR(+BM64*BN64,"")</f>
        <v>0</v>
      </c>
      <c r="BP64" s="237">
        <f t="shared" ref="BP64:BP69" si="276">IFERROR(+(IF(BM64="","0",BM64))-(IF(BO64="","0",BO64)),"")</f>
        <v>0</v>
      </c>
      <c r="BQ64" s="232"/>
      <c r="BR64" s="232"/>
      <c r="BS64" s="232"/>
      <c r="BT64" s="81"/>
      <c r="BU64" s="233">
        <v>1.0</v>
      </c>
      <c r="BV64" s="234" t="s">
        <v>71</v>
      </c>
      <c r="BW64" s="235"/>
      <c r="BX64" s="236">
        <f t="shared" ref="BX64:BX69" si="277">1.16180660667508/100</f>
        <v>0.01161806607</v>
      </c>
      <c r="BY64" s="235">
        <f t="shared" ref="BY64:BY69" si="278">IFERROR(+BX64*BW64,"0")</f>
        <v>0</v>
      </c>
      <c r="BZ64" s="236">
        <v>0.16716266605705102</v>
      </c>
      <c r="CA64" s="235">
        <f t="shared" ref="CA64:CA69" si="279">IFERROR(+BY64*BZ64,"")</f>
        <v>0</v>
      </c>
      <c r="CB64" s="237">
        <f t="shared" ref="CB64:CB69" si="280">IFERROR(+(IF(BY64="","0",BY64))-(IF(CA64="","0",CA64)),"")</f>
        <v>0</v>
      </c>
      <c r="CC64" s="232"/>
      <c r="CD64" s="232"/>
      <c r="CE64" s="232"/>
      <c r="CF64" s="81"/>
      <c r="CG64" s="233">
        <v>1.0</v>
      </c>
      <c r="CH64" s="234" t="s">
        <v>71</v>
      </c>
      <c r="CI64" s="235"/>
      <c r="CJ64" s="236">
        <f t="shared" ref="CJ64:CJ69" si="281">1.16180660667508/100</f>
        <v>0.01161806607</v>
      </c>
      <c r="CK64" s="235">
        <f t="shared" ref="CK64:CK69" si="282">IFERROR(+CJ64*CI64,"0")</f>
        <v>0</v>
      </c>
      <c r="CL64" s="236">
        <v>0.16716266605705102</v>
      </c>
      <c r="CM64" s="235">
        <f t="shared" ref="CM64:CM69" si="283">IFERROR(+CK64*CL64,"")</f>
        <v>0</v>
      </c>
      <c r="CN64" s="237">
        <f t="shared" ref="CN64:CN69" si="284">IFERROR(+(IF(CK64="","0",CK64))-(IF(CM64="","0",CM64)),"")</f>
        <v>0</v>
      </c>
      <c r="CO64" s="232"/>
      <c r="CP64" s="232"/>
      <c r="CQ64" s="232"/>
      <c r="CR64" s="81"/>
      <c r="CS64" s="233">
        <v>1.0</v>
      </c>
      <c r="CT64" s="234" t="s">
        <v>71</v>
      </c>
      <c r="CU64" s="235"/>
      <c r="CV64" s="236">
        <f t="shared" ref="CV64:CV69" si="285">1.16180660667508/100</f>
        <v>0.01161806607</v>
      </c>
      <c r="CW64" s="235">
        <f t="shared" ref="CW64:CW69" si="286">IFERROR(+CV64*CU64,"0")</f>
        <v>0</v>
      </c>
      <c r="CX64" s="236">
        <v>0.16716266605705102</v>
      </c>
      <c r="CY64" s="235">
        <f t="shared" ref="CY64:CY69" si="287">IFERROR(+CW64*CX64,"")</f>
        <v>0</v>
      </c>
      <c r="CZ64" s="237">
        <f t="shared" ref="CZ64:CZ69" si="288">IFERROR(+(IF(CW64="","0",CW64))-(IF(CY64="","0",CY64)),"")</f>
        <v>0</v>
      </c>
      <c r="DA64" s="232"/>
      <c r="DB64" s="232"/>
      <c r="DC64" s="232"/>
      <c r="DD64" s="81"/>
      <c r="DE64" s="233">
        <v>1.0</v>
      </c>
      <c r="DF64" s="234" t="s">
        <v>71</v>
      </c>
      <c r="DG64" s="235">
        <f>'Hitung Output'!BH29</f>
        <v>860154.1076</v>
      </c>
      <c r="DH64" s="236">
        <f t="shared" ref="DH64:DH69" si="289">1.16180660667508/100</f>
        <v>0.01161806607</v>
      </c>
      <c r="DI64" s="394">
        <f t="shared" ref="DI64:DI69" si="290">IFERROR(+DH64*DG64,"0")</f>
        <v>9993.327249</v>
      </c>
      <c r="DJ64" s="236">
        <v>0.16716266605705102</v>
      </c>
      <c r="DK64" s="235">
        <f t="shared" ref="DK64:DK69" si="291">IFERROR(+DI64*DJ64,"")</f>
        <v>1670.511226</v>
      </c>
      <c r="DL64" s="237">
        <f t="shared" ref="DL64:DL69" si="292">IFERROR(+(IF(DI64="","0",DI64))-(IF(DK64="","0",DK64)),"")</f>
        <v>8322.816024</v>
      </c>
      <c r="DM64" s="232"/>
      <c r="DN64" s="232"/>
      <c r="DO64" s="232"/>
      <c r="DP64" s="81"/>
      <c r="DQ64" s="233">
        <v>1.0</v>
      </c>
      <c r="DR64" s="234" t="s">
        <v>71</v>
      </c>
      <c r="DS64" s="236">
        <f>'Hitung Output'!BM29</f>
        <v>828186.4099</v>
      </c>
      <c r="DT64" s="236">
        <f t="shared" ref="DT64:DT69" si="293">1.16180660667508/100</f>
        <v>0.01161806607</v>
      </c>
      <c r="DU64" s="395">
        <f t="shared" ref="DU64:DU69" si="294">IFERROR(+DT64*DS64,"0")</f>
        <v>9621.924425</v>
      </c>
      <c r="DV64" s="236">
        <v>0.16716266605705102</v>
      </c>
      <c r="DW64" s="235">
        <f t="shared" ref="DW64:DW69" si="295">IFERROR(+DU64*DV64,"")</f>
        <v>1608.42654</v>
      </c>
      <c r="DX64" s="237">
        <f t="shared" ref="DX64:DX69" si="296">IFERROR(+(IF(DU64="","0",DU64))-(IF(DW64="","0",DW64)),"")</f>
        <v>8013.497886</v>
      </c>
      <c r="DY64" s="232"/>
      <c r="DZ64" s="232"/>
      <c r="EA64" s="232"/>
      <c r="EB64" s="81"/>
      <c r="EC64" s="233">
        <v>1.0</v>
      </c>
      <c r="ED64" s="234" t="s">
        <v>71</v>
      </c>
      <c r="EE64" s="236">
        <f>'Hitung Output'!BR29</f>
        <v>963250.8663</v>
      </c>
      <c r="EF64" s="236">
        <f t="shared" ref="EF64:EF69" si="297">1.16180660667508/100</f>
        <v>0.01161806607</v>
      </c>
      <c r="EG64" s="396">
        <f t="shared" ref="EG64:EG69" si="298">IFERROR(+EF64*EE64,"0")</f>
        <v>11191.1122</v>
      </c>
      <c r="EH64" s="236">
        <v>0.16716266605705102</v>
      </c>
      <c r="EI64" s="235">
        <f t="shared" ref="EI64:EI69" si="299">IFERROR(+EG64*EH64,"")</f>
        <v>1870.736152</v>
      </c>
      <c r="EJ64" s="237">
        <f t="shared" ref="EJ64:EJ69" si="300">IFERROR(+(IF(EG64="","0",EG64))-(IF(EI64="","0",EI64)),"")</f>
        <v>9320.376051</v>
      </c>
      <c r="EK64" s="232"/>
      <c r="EL64" s="232"/>
      <c r="EM64" s="232"/>
      <c r="EN64" s="81"/>
      <c r="EO64" s="233">
        <v>1.0</v>
      </c>
      <c r="EP64" s="234" t="s">
        <v>71</v>
      </c>
      <c r="EQ64" s="235">
        <f>'Hitung Output'!BW29</f>
        <v>926744.2138</v>
      </c>
      <c r="ER64" s="236">
        <f t="shared" ref="ER64:ER69" si="301">1.16180660667508/100</f>
        <v>0.01161806607</v>
      </c>
      <c r="ES64" s="397">
        <f t="shared" ref="ES64:ES69" si="302">IFERROR(+ER64*EQ64,"0")</f>
        <v>10766.9755</v>
      </c>
      <c r="ET64" s="236">
        <v>0.16716266605705102</v>
      </c>
      <c r="EU64" s="235">
        <f t="shared" ref="EU64:EU69" si="303">IFERROR(+ES64*ET64,"")</f>
        <v>1799.836331</v>
      </c>
      <c r="EV64" s="237">
        <f t="shared" ref="EV64:EV69" si="304">IFERROR(+(IF(ES64="","0",ES64))-(IF(EU64="","0",EU64)),"")</f>
        <v>8967.139173</v>
      </c>
      <c r="EW64" s="232"/>
      <c r="EX64" s="232"/>
      <c r="EY64" s="232"/>
      <c r="EZ64" s="81"/>
      <c r="FA64" s="233">
        <v>1.0</v>
      </c>
      <c r="FB64" s="234" t="s">
        <v>71</v>
      </c>
      <c r="FC64" s="235">
        <f>'Hitung Output'!CB29</f>
        <v>906176.4091</v>
      </c>
      <c r="FD64" s="236">
        <f t="shared" ref="FD64:FD69" si="305">1.16180660667508/100</f>
        <v>0.01161806607</v>
      </c>
      <c r="FE64" s="396">
        <f t="shared" ref="FE64:FE69" si="306">IFERROR(+FD64*FC64,"0")</f>
        <v>10528.01739</v>
      </c>
      <c r="FF64" s="236">
        <v>0.16716266605705102</v>
      </c>
      <c r="FG64" s="235">
        <f t="shared" ref="FG64:FG69" si="307">IFERROR(+FE64*FF64,"")</f>
        <v>1759.891455</v>
      </c>
      <c r="FH64" s="237">
        <f t="shared" ref="FH64:FH69" si="308">IFERROR(+(IF(FE64="","0",FE64))-(IF(FG64="","0",FG64)),"")</f>
        <v>8768.125934</v>
      </c>
      <c r="FI64" s="232"/>
      <c r="FJ64" s="232"/>
      <c r="FK64" s="232"/>
      <c r="FL64" s="81"/>
      <c r="FM64" s="233">
        <v>1.0</v>
      </c>
      <c r="FN64" s="234" t="s">
        <v>71</v>
      </c>
      <c r="FO64" s="235">
        <f>'Hitung Output'!CG29</f>
        <v>1013737.299</v>
      </c>
      <c r="FP64" s="236">
        <f t="shared" ref="FP64:FP69" si="309">1.16180660667508/100</f>
        <v>0.01161806607</v>
      </c>
      <c r="FQ64" s="398">
        <f t="shared" ref="FQ64:FQ69" si="310">IFERROR(+FP64*FO64,"0")</f>
        <v>11777.66691</v>
      </c>
      <c r="FR64" s="236">
        <v>0.16716266605705102</v>
      </c>
      <c r="FS64" s="235">
        <f t="shared" ref="FS64:FS69" si="311">IFERROR(+FQ64*FR64,"")</f>
        <v>1968.786201</v>
      </c>
      <c r="FT64" s="237">
        <f t="shared" ref="FT64:FT69" si="312">IFERROR(+(IF(FQ64="","0",FQ64))-(IF(FS64="","0",FS64)),"")</f>
        <v>9808.880713</v>
      </c>
      <c r="FU64" s="232"/>
      <c r="FV64" s="232"/>
      <c r="FW64" s="232"/>
      <c r="FX64" s="81"/>
      <c r="FY64" s="233">
        <v>1.0</v>
      </c>
      <c r="FZ64" s="234" t="s">
        <v>71</v>
      </c>
      <c r="GA64" s="235">
        <f>'Hitung Output'!CL29</f>
        <v>1115955.13</v>
      </c>
      <c r="GB64" s="236">
        <f t="shared" ref="GB64:GB69" si="313">1.16180660667508/100</f>
        <v>0.01161806607</v>
      </c>
      <c r="GC64" s="235">
        <f t="shared" ref="GC64:GC69" si="314">IFERROR(+GB64*GA64,"0")</f>
        <v>12965.24043</v>
      </c>
      <c r="GD64" s="236">
        <v>0.16716266605705102</v>
      </c>
      <c r="GE64" s="235">
        <f t="shared" ref="GE64:GE69" si="315">IFERROR(+GC64*GD64,"")</f>
        <v>2167.304156</v>
      </c>
      <c r="GF64" s="237">
        <f t="shared" ref="GF64:GF69" si="316">IFERROR(+(IF(GC64="","0",GC64))-(IF(GE64="","0",GE64)),"")</f>
        <v>10797.93627</v>
      </c>
      <c r="GG64" s="232"/>
      <c r="GH64" s="232"/>
      <c r="GI64" s="232"/>
      <c r="GJ64" s="81"/>
      <c r="GK64" s="233">
        <v>1.0</v>
      </c>
      <c r="GL64" s="234" t="s">
        <v>71</v>
      </c>
      <c r="GM64" s="235"/>
      <c r="GN64" s="236">
        <f t="shared" ref="GN64:GN69" si="317">1.16180660667508/100</f>
        <v>0.01161806607</v>
      </c>
      <c r="GO64" s="235">
        <f t="shared" ref="GO64:GO69" si="318">IFERROR(+GN64*GM64,"0")</f>
        <v>0</v>
      </c>
      <c r="GP64" s="236">
        <v>0.16716266605705102</v>
      </c>
      <c r="GQ64" s="235">
        <f t="shared" ref="GQ64:GQ69" si="319">IFERROR(+GO64*GP64,"")</f>
        <v>0</v>
      </c>
      <c r="GR64" s="237">
        <f t="shared" ref="GR64:GR69" si="320">IFERROR(+(IF(GO64="","0",GO64))-(IF(GQ64="","0",GQ64)),"")</f>
        <v>0</v>
      </c>
      <c r="GS64" s="232"/>
      <c r="GT64" s="232"/>
      <c r="GU64" s="232"/>
      <c r="GV64" s="81"/>
      <c r="GW64" s="233">
        <v>1.0</v>
      </c>
      <c r="GX64" s="234" t="s">
        <v>71</v>
      </c>
      <c r="GY64" s="235"/>
      <c r="GZ64" s="236">
        <f t="shared" ref="GZ64:GZ69" si="321">1.16180660667508/100</f>
        <v>0.01161806607</v>
      </c>
      <c r="HA64" s="235">
        <f t="shared" ref="HA64:HA69" si="322">IFERROR(+GZ64*GY64,"0")</f>
        <v>0</v>
      </c>
      <c r="HB64" s="236">
        <v>0.16716266605705102</v>
      </c>
      <c r="HC64" s="235">
        <f t="shared" ref="HC64:HC69" si="323">IFERROR(+HA64*HB64,"")</f>
        <v>0</v>
      </c>
      <c r="HD64" s="237">
        <f t="shared" ref="HD64:HD69" si="324">IFERROR(+(IF(HA64="","0",HA64))-(IF(HC64="","0",HC64)),"")</f>
        <v>0</v>
      </c>
      <c r="HE64" s="232"/>
      <c r="HF64" s="232"/>
      <c r="HG64" s="232"/>
      <c r="HH64" s="81"/>
      <c r="HI64" s="75"/>
    </row>
    <row r="65" ht="15.75" customHeight="1">
      <c r="A65" s="233">
        <f t="shared" ref="A65:A69" si="325">A64+1</f>
        <v>2</v>
      </c>
      <c r="B65" s="234" t="s">
        <v>72</v>
      </c>
      <c r="C65" s="235"/>
      <c r="D65" s="236">
        <f t="shared" si="253"/>
        <v>0.01161806607</v>
      </c>
      <c r="E65" s="235">
        <f t="shared" si="254"/>
        <v>0</v>
      </c>
      <c r="F65" s="236">
        <v>0.16716266605705102</v>
      </c>
      <c r="G65" s="235">
        <f t="shared" si="255"/>
        <v>0</v>
      </c>
      <c r="H65" s="237">
        <f t="shared" si="256"/>
        <v>0</v>
      </c>
      <c r="I65" s="232"/>
      <c r="J65" s="232"/>
      <c r="K65" s="232"/>
      <c r="L65" s="81"/>
      <c r="M65" s="233">
        <f t="shared" ref="M65:M69" si="326">M64+1</f>
        <v>2</v>
      </c>
      <c r="N65" s="234" t="s">
        <v>72</v>
      </c>
      <c r="O65" s="235"/>
      <c r="P65" s="236">
        <f t="shared" si="257"/>
        <v>0.01161806607</v>
      </c>
      <c r="Q65" s="235">
        <f t="shared" si="258"/>
        <v>0</v>
      </c>
      <c r="R65" s="236">
        <v>0.16716266605705102</v>
      </c>
      <c r="S65" s="235">
        <f t="shared" si="259"/>
        <v>0</v>
      </c>
      <c r="T65" s="237">
        <f t="shared" si="260"/>
        <v>0</v>
      </c>
      <c r="U65" s="232"/>
      <c r="V65" s="232"/>
      <c r="W65" s="232"/>
      <c r="X65" s="81"/>
      <c r="Y65" s="233">
        <f t="shared" ref="Y65:Y69" si="327">Y64+1</f>
        <v>2</v>
      </c>
      <c r="Z65" s="234" t="s">
        <v>72</v>
      </c>
      <c r="AA65" s="235"/>
      <c r="AB65" s="236">
        <f t="shared" si="261"/>
        <v>0.01161806607</v>
      </c>
      <c r="AC65" s="235">
        <f t="shared" si="262"/>
        <v>0</v>
      </c>
      <c r="AD65" s="236">
        <v>0.16716266605705102</v>
      </c>
      <c r="AE65" s="235">
        <f t="shared" si="263"/>
        <v>0</v>
      </c>
      <c r="AF65" s="237">
        <f t="shared" si="264"/>
        <v>0</v>
      </c>
      <c r="AG65" s="232"/>
      <c r="AH65" s="232"/>
      <c r="AI65" s="232"/>
      <c r="AJ65" s="81"/>
      <c r="AK65" s="233">
        <f t="shared" ref="AK65:AK69" si="328">AK64+1</f>
        <v>2</v>
      </c>
      <c r="AL65" s="234" t="s">
        <v>72</v>
      </c>
      <c r="AM65" s="235"/>
      <c r="AN65" s="236">
        <f t="shared" si="265"/>
        <v>0.01161806607</v>
      </c>
      <c r="AO65" s="235">
        <f t="shared" si="266"/>
        <v>0</v>
      </c>
      <c r="AP65" s="236">
        <v>0.16716266605705102</v>
      </c>
      <c r="AQ65" s="235">
        <f t="shared" si="267"/>
        <v>0</v>
      </c>
      <c r="AR65" s="237">
        <f t="shared" si="268"/>
        <v>0</v>
      </c>
      <c r="AS65" s="232"/>
      <c r="AT65" s="232"/>
      <c r="AU65" s="232"/>
      <c r="AV65" s="81"/>
      <c r="AW65" s="233">
        <f t="shared" ref="AW65:AW69" si="329">AW64+1</f>
        <v>2</v>
      </c>
      <c r="AX65" s="234" t="s">
        <v>72</v>
      </c>
      <c r="AY65" s="235"/>
      <c r="AZ65" s="236">
        <f t="shared" si="269"/>
        <v>0.01161806607</v>
      </c>
      <c r="BA65" s="235">
        <f t="shared" si="270"/>
        <v>0</v>
      </c>
      <c r="BB65" s="236">
        <v>0.16716266605705102</v>
      </c>
      <c r="BC65" s="235">
        <f t="shared" si="271"/>
        <v>0</v>
      </c>
      <c r="BD65" s="237">
        <f t="shared" si="272"/>
        <v>0</v>
      </c>
      <c r="BE65" s="232"/>
      <c r="BF65" s="232"/>
      <c r="BG65" s="232"/>
      <c r="BH65" s="81"/>
      <c r="BI65" s="233">
        <f t="shared" ref="BI65:BI69" si="330">BI64+1</f>
        <v>2</v>
      </c>
      <c r="BJ65" s="234" t="s">
        <v>72</v>
      </c>
      <c r="BK65" s="235"/>
      <c r="BL65" s="236">
        <f t="shared" si="273"/>
        <v>0.01161806607</v>
      </c>
      <c r="BM65" s="235">
        <f t="shared" si="274"/>
        <v>0</v>
      </c>
      <c r="BN65" s="236">
        <v>0.16716266605705102</v>
      </c>
      <c r="BO65" s="235">
        <f t="shared" si="275"/>
        <v>0</v>
      </c>
      <c r="BP65" s="237">
        <f t="shared" si="276"/>
        <v>0</v>
      </c>
      <c r="BQ65" s="232"/>
      <c r="BR65" s="232"/>
      <c r="BS65" s="232"/>
      <c r="BT65" s="81"/>
      <c r="BU65" s="233">
        <f t="shared" ref="BU65:BU69" si="331">BU64+1</f>
        <v>2</v>
      </c>
      <c r="BV65" s="234" t="s">
        <v>72</v>
      </c>
      <c r="BW65" s="235"/>
      <c r="BX65" s="236">
        <f t="shared" si="277"/>
        <v>0.01161806607</v>
      </c>
      <c r="BY65" s="235">
        <f t="shared" si="278"/>
        <v>0</v>
      </c>
      <c r="BZ65" s="236">
        <v>0.16716266605705102</v>
      </c>
      <c r="CA65" s="235">
        <f t="shared" si="279"/>
        <v>0</v>
      </c>
      <c r="CB65" s="237">
        <f t="shared" si="280"/>
        <v>0</v>
      </c>
      <c r="CC65" s="232"/>
      <c r="CD65" s="232"/>
      <c r="CE65" s="232"/>
      <c r="CF65" s="81"/>
      <c r="CG65" s="233">
        <f t="shared" ref="CG65:CG69" si="332">CG64+1</f>
        <v>2</v>
      </c>
      <c r="CH65" s="234" t="s">
        <v>72</v>
      </c>
      <c r="CI65" s="235"/>
      <c r="CJ65" s="236">
        <f t="shared" si="281"/>
        <v>0.01161806607</v>
      </c>
      <c r="CK65" s="235">
        <f t="shared" si="282"/>
        <v>0</v>
      </c>
      <c r="CL65" s="236">
        <v>0.16716266605705102</v>
      </c>
      <c r="CM65" s="235">
        <f t="shared" si="283"/>
        <v>0</v>
      </c>
      <c r="CN65" s="237">
        <f t="shared" si="284"/>
        <v>0</v>
      </c>
      <c r="CO65" s="232"/>
      <c r="CP65" s="232"/>
      <c r="CQ65" s="232"/>
      <c r="CR65" s="81"/>
      <c r="CS65" s="233">
        <f t="shared" ref="CS65:CS69" si="333">CS64+1</f>
        <v>2</v>
      </c>
      <c r="CT65" s="234" t="s">
        <v>72</v>
      </c>
      <c r="CU65" s="235"/>
      <c r="CV65" s="236">
        <f t="shared" si="285"/>
        <v>0.01161806607</v>
      </c>
      <c r="CW65" s="235">
        <f t="shared" si="286"/>
        <v>0</v>
      </c>
      <c r="CX65" s="236">
        <v>0.16716266605705102</v>
      </c>
      <c r="CY65" s="235">
        <f t="shared" si="287"/>
        <v>0</v>
      </c>
      <c r="CZ65" s="237">
        <f t="shared" si="288"/>
        <v>0</v>
      </c>
      <c r="DA65" s="232"/>
      <c r="DB65" s="232"/>
      <c r="DC65" s="232"/>
      <c r="DD65" s="81"/>
      <c r="DE65" s="233">
        <f t="shared" ref="DE65:DE69" si="334">DE64+1</f>
        <v>2</v>
      </c>
      <c r="DF65" s="234" t="s">
        <v>72</v>
      </c>
      <c r="DG65" s="235">
        <f>'Hitung Output'!BH30</f>
        <v>99066.05307</v>
      </c>
      <c r="DH65" s="236">
        <f t="shared" si="289"/>
        <v>0.01161806607</v>
      </c>
      <c r="DI65" s="394">
        <f t="shared" si="290"/>
        <v>1150.95595</v>
      </c>
      <c r="DJ65" s="236">
        <v>0.16716266605705102</v>
      </c>
      <c r="DK65" s="235">
        <f t="shared" si="291"/>
        <v>192.396865</v>
      </c>
      <c r="DL65" s="237">
        <f t="shared" si="292"/>
        <v>958.5590845</v>
      </c>
      <c r="DM65" s="232"/>
      <c r="DN65" s="232"/>
      <c r="DO65" s="232"/>
      <c r="DP65" s="81"/>
      <c r="DQ65" s="233">
        <f t="shared" ref="DQ65:DQ69" si="335">DQ64+1</f>
        <v>2</v>
      </c>
      <c r="DR65" s="234" t="s">
        <v>72</v>
      </c>
      <c r="DS65" s="236">
        <f>'Hitung Output'!BM30</f>
        <v>95060.49817</v>
      </c>
      <c r="DT65" s="236">
        <f t="shared" si="293"/>
        <v>0.01161806607</v>
      </c>
      <c r="DU65" s="395">
        <f t="shared" si="294"/>
        <v>1104.419148</v>
      </c>
      <c r="DV65" s="236">
        <v>0.16716266605705102</v>
      </c>
      <c r="DW65" s="235">
        <f t="shared" si="295"/>
        <v>184.6176492</v>
      </c>
      <c r="DX65" s="237">
        <f t="shared" si="296"/>
        <v>919.8014989</v>
      </c>
      <c r="DY65" s="232"/>
      <c r="DZ65" s="232"/>
      <c r="EA65" s="232"/>
      <c r="EB65" s="81"/>
      <c r="EC65" s="233">
        <f t="shared" ref="EC65:EC69" si="336">EC64+1</f>
        <v>2</v>
      </c>
      <c r="ED65" s="234" t="s">
        <v>72</v>
      </c>
      <c r="EE65" s="236">
        <f>'Hitung Output'!BR30</f>
        <v>101126.2673</v>
      </c>
      <c r="EF65" s="236">
        <f t="shared" si="297"/>
        <v>0.01161806607</v>
      </c>
      <c r="EG65" s="396">
        <f t="shared" si="298"/>
        <v>1174.891655</v>
      </c>
      <c r="EH65" s="236">
        <v>0.16716266605705102</v>
      </c>
      <c r="EI65" s="235">
        <f t="shared" si="299"/>
        <v>196.3980213</v>
      </c>
      <c r="EJ65" s="237">
        <f t="shared" si="300"/>
        <v>978.4936334</v>
      </c>
      <c r="EK65" s="232"/>
      <c r="EL65" s="232"/>
      <c r="EM65" s="232"/>
      <c r="EN65" s="81"/>
      <c r="EO65" s="233">
        <f t="shared" ref="EO65:EO69" si="337">EO64+1</f>
        <v>2</v>
      </c>
      <c r="EP65" s="234" t="s">
        <v>72</v>
      </c>
      <c r="EQ65" s="235">
        <f>'Hitung Output'!BW30</f>
        <v>105417.4562</v>
      </c>
      <c r="ER65" s="236">
        <f t="shared" si="301"/>
        <v>0.01161806607</v>
      </c>
      <c r="ES65" s="397">
        <f t="shared" si="302"/>
        <v>1224.74697</v>
      </c>
      <c r="ET65" s="236">
        <v>0.16716266605705102</v>
      </c>
      <c r="EU65" s="235">
        <f t="shared" si="303"/>
        <v>204.7319688</v>
      </c>
      <c r="EV65" s="237">
        <f t="shared" si="304"/>
        <v>1020.015001</v>
      </c>
      <c r="EW65" s="232"/>
      <c r="EX65" s="232"/>
      <c r="EY65" s="232"/>
      <c r="EZ65" s="81"/>
      <c r="FA65" s="233">
        <f t="shared" ref="FA65:FA69" si="338">FA64+1</f>
        <v>2</v>
      </c>
      <c r="FB65" s="234" t="s">
        <v>72</v>
      </c>
      <c r="FC65" s="235">
        <f>'Hitung Output'!CB30</f>
        <v>123475.4934</v>
      </c>
      <c r="FD65" s="236">
        <f t="shared" si="305"/>
        <v>0.01161806607</v>
      </c>
      <c r="FE65" s="396">
        <f t="shared" si="306"/>
        <v>1434.54644</v>
      </c>
      <c r="FF65" s="236">
        <v>0.16716266605705102</v>
      </c>
      <c r="FG65" s="235">
        <f t="shared" si="307"/>
        <v>239.8026075</v>
      </c>
      <c r="FH65" s="237">
        <f t="shared" si="308"/>
        <v>1194.743832</v>
      </c>
      <c r="FI65" s="232"/>
      <c r="FJ65" s="232"/>
      <c r="FK65" s="232"/>
      <c r="FL65" s="81"/>
      <c r="FM65" s="233">
        <f t="shared" ref="FM65:FM69" si="339">FM64+1</f>
        <v>2</v>
      </c>
      <c r="FN65" s="234" t="s">
        <v>72</v>
      </c>
      <c r="FO65" s="235">
        <f>'Hitung Output'!CG30</f>
        <v>125284.747</v>
      </c>
      <c r="FP65" s="236">
        <f t="shared" si="309"/>
        <v>0.01161806607</v>
      </c>
      <c r="FQ65" s="398">
        <f t="shared" si="310"/>
        <v>1455.566468</v>
      </c>
      <c r="FR65" s="236">
        <v>0.16716266605705102</v>
      </c>
      <c r="FS65" s="235">
        <f t="shared" si="311"/>
        <v>243.3163715</v>
      </c>
      <c r="FT65" s="237">
        <f t="shared" si="312"/>
        <v>1212.250097</v>
      </c>
      <c r="FU65" s="232"/>
      <c r="FV65" s="232"/>
      <c r="FW65" s="232"/>
      <c r="FX65" s="81"/>
      <c r="FY65" s="233">
        <f t="shared" ref="FY65:FY69" si="340">FY64+1</f>
        <v>2</v>
      </c>
      <c r="FZ65" s="234" t="s">
        <v>72</v>
      </c>
      <c r="GA65" s="235">
        <f>'Hitung Output'!CL30</f>
        <v>118074.5864</v>
      </c>
      <c r="GB65" s="236">
        <f t="shared" si="313"/>
        <v>0.01161806607</v>
      </c>
      <c r="GC65" s="235">
        <f t="shared" si="314"/>
        <v>1371.798345</v>
      </c>
      <c r="GD65" s="236">
        <v>0.16716266605705102</v>
      </c>
      <c r="GE65" s="235">
        <f t="shared" si="315"/>
        <v>229.3134687</v>
      </c>
      <c r="GF65" s="237">
        <f t="shared" si="316"/>
        <v>1142.484877</v>
      </c>
      <c r="GG65" s="232"/>
      <c r="GH65" s="232"/>
      <c r="GI65" s="232"/>
      <c r="GJ65" s="81"/>
      <c r="GK65" s="233">
        <f t="shared" ref="GK65:GK69" si="341">GK64+1</f>
        <v>2</v>
      </c>
      <c r="GL65" s="234" t="s">
        <v>72</v>
      </c>
      <c r="GM65" s="235"/>
      <c r="GN65" s="236">
        <f t="shared" si="317"/>
        <v>0.01161806607</v>
      </c>
      <c r="GO65" s="235">
        <f t="shared" si="318"/>
        <v>0</v>
      </c>
      <c r="GP65" s="236">
        <v>0.16716266605705102</v>
      </c>
      <c r="GQ65" s="235">
        <f t="shared" si="319"/>
        <v>0</v>
      </c>
      <c r="GR65" s="237">
        <f t="shared" si="320"/>
        <v>0</v>
      </c>
      <c r="GS65" s="232"/>
      <c r="GT65" s="232"/>
      <c r="GU65" s="232"/>
      <c r="GV65" s="81"/>
      <c r="GW65" s="233">
        <f t="shared" ref="GW65:GW69" si="342">GW64+1</f>
        <v>2</v>
      </c>
      <c r="GX65" s="234" t="s">
        <v>72</v>
      </c>
      <c r="GY65" s="235"/>
      <c r="GZ65" s="236">
        <f t="shared" si="321"/>
        <v>0.01161806607</v>
      </c>
      <c r="HA65" s="235">
        <f t="shared" si="322"/>
        <v>0</v>
      </c>
      <c r="HB65" s="236">
        <v>0.16716266605705102</v>
      </c>
      <c r="HC65" s="235">
        <f t="shared" si="323"/>
        <v>0</v>
      </c>
      <c r="HD65" s="237">
        <f t="shared" si="324"/>
        <v>0</v>
      </c>
      <c r="HE65" s="232"/>
      <c r="HF65" s="232"/>
      <c r="HG65" s="232"/>
      <c r="HH65" s="81"/>
      <c r="HI65" s="75"/>
    </row>
    <row r="66" ht="15.75" customHeight="1">
      <c r="A66" s="233">
        <f t="shared" si="325"/>
        <v>3</v>
      </c>
      <c r="B66" s="234" t="s">
        <v>73</v>
      </c>
      <c r="C66" s="235"/>
      <c r="D66" s="236">
        <f t="shared" si="253"/>
        <v>0.01161806607</v>
      </c>
      <c r="E66" s="235">
        <f t="shared" si="254"/>
        <v>0</v>
      </c>
      <c r="F66" s="236">
        <v>0.16716266605705102</v>
      </c>
      <c r="G66" s="235">
        <f t="shared" si="255"/>
        <v>0</v>
      </c>
      <c r="H66" s="237">
        <f t="shared" si="256"/>
        <v>0</v>
      </c>
      <c r="I66" s="232"/>
      <c r="J66" s="232"/>
      <c r="K66" s="232"/>
      <c r="L66" s="81"/>
      <c r="M66" s="233">
        <f t="shared" si="326"/>
        <v>3</v>
      </c>
      <c r="N66" s="234" t="s">
        <v>73</v>
      </c>
      <c r="O66" s="235"/>
      <c r="P66" s="236">
        <f t="shared" si="257"/>
        <v>0.01161806607</v>
      </c>
      <c r="Q66" s="235">
        <f t="shared" si="258"/>
        <v>0</v>
      </c>
      <c r="R66" s="236">
        <v>0.16716266605705102</v>
      </c>
      <c r="S66" s="235">
        <f t="shared" si="259"/>
        <v>0</v>
      </c>
      <c r="T66" s="237">
        <f t="shared" si="260"/>
        <v>0</v>
      </c>
      <c r="U66" s="232"/>
      <c r="V66" s="232"/>
      <c r="W66" s="232"/>
      <c r="X66" s="81"/>
      <c r="Y66" s="233">
        <f t="shared" si="327"/>
        <v>3</v>
      </c>
      <c r="Z66" s="234" t="s">
        <v>73</v>
      </c>
      <c r="AA66" s="235"/>
      <c r="AB66" s="236">
        <f t="shared" si="261"/>
        <v>0.01161806607</v>
      </c>
      <c r="AC66" s="235">
        <f t="shared" si="262"/>
        <v>0</v>
      </c>
      <c r="AD66" s="236">
        <v>0.16716266605705102</v>
      </c>
      <c r="AE66" s="235">
        <f t="shared" si="263"/>
        <v>0</v>
      </c>
      <c r="AF66" s="237">
        <f t="shared" si="264"/>
        <v>0</v>
      </c>
      <c r="AG66" s="232"/>
      <c r="AH66" s="232"/>
      <c r="AI66" s="232"/>
      <c r="AJ66" s="81"/>
      <c r="AK66" s="233">
        <f t="shared" si="328"/>
        <v>3</v>
      </c>
      <c r="AL66" s="234" t="s">
        <v>73</v>
      </c>
      <c r="AM66" s="235"/>
      <c r="AN66" s="236">
        <f t="shared" si="265"/>
        <v>0.01161806607</v>
      </c>
      <c r="AO66" s="235">
        <f t="shared" si="266"/>
        <v>0</v>
      </c>
      <c r="AP66" s="236">
        <v>0.16716266605705102</v>
      </c>
      <c r="AQ66" s="235">
        <f t="shared" si="267"/>
        <v>0</v>
      </c>
      <c r="AR66" s="237">
        <f t="shared" si="268"/>
        <v>0</v>
      </c>
      <c r="AS66" s="232"/>
      <c r="AT66" s="232"/>
      <c r="AU66" s="232"/>
      <c r="AV66" s="81"/>
      <c r="AW66" s="233">
        <f t="shared" si="329"/>
        <v>3</v>
      </c>
      <c r="AX66" s="234" t="s">
        <v>73</v>
      </c>
      <c r="AY66" s="235"/>
      <c r="AZ66" s="236">
        <f t="shared" si="269"/>
        <v>0.01161806607</v>
      </c>
      <c r="BA66" s="235">
        <f t="shared" si="270"/>
        <v>0</v>
      </c>
      <c r="BB66" s="236">
        <v>0.16716266605705102</v>
      </c>
      <c r="BC66" s="235">
        <f t="shared" si="271"/>
        <v>0</v>
      </c>
      <c r="BD66" s="237">
        <f t="shared" si="272"/>
        <v>0</v>
      </c>
      <c r="BE66" s="232"/>
      <c r="BF66" s="232"/>
      <c r="BG66" s="232"/>
      <c r="BH66" s="81"/>
      <c r="BI66" s="233">
        <f t="shared" si="330"/>
        <v>3</v>
      </c>
      <c r="BJ66" s="234" t="s">
        <v>73</v>
      </c>
      <c r="BK66" s="235"/>
      <c r="BL66" s="236">
        <f t="shared" si="273"/>
        <v>0.01161806607</v>
      </c>
      <c r="BM66" s="235">
        <f t="shared" si="274"/>
        <v>0</v>
      </c>
      <c r="BN66" s="236">
        <v>0.16716266605705102</v>
      </c>
      <c r="BO66" s="235">
        <f t="shared" si="275"/>
        <v>0</v>
      </c>
      <c r="BP66" s="237">
        <f t="shared" si="276"/>
        <v>0</v>
      </c>
      <c r="BQ66" s="232"/>
      <c r="BR66" s="232"/>
      <c r="BS66" s="232"/>
      <c r="BT66" s="81"/>
      <c r="BU66" s="233">
        <f t="shared" si="331"/>
        <v>3</v>
      </c>
      <c r="BV66" s="234" t="s">
        <v>73</v>
      </c>
      <c r="BW66" s="235"/>
      <c r="BX66" s="236">
        <f t="shared" si="277"/>
        <v>0.01161806607</v>
      </c>
      <c r="BY66" s="235">
        <f t="shared" si="278"/>
        <v>0</v>
      </c>
      <c r="BZ66" s="236">
        <v>0.16716266605705102</v>
      </c>
      <c r="CA66" s="235">
        <f t="shared" si="279"/>
        <v>0</v>
      </c>
      <c r="CB66" s="237">
        <f t="shared" si="280"/>
        <v>0</v>
      </c>
      <c r="CC66" s="232"/>
      <c r="CD66" s="232"/>
      <c r="CE66" s="232"/>
      <c r="CF66" s="81"/>
      <c r="CG66" s="233">
        <f t="shared" si="332"/>
        <v>3</v>
      </c>
      <c r="CH66" s="234" t="s">
        <v>73</v>
      </c>
      <c r="CI66" s="235"/>
      <c r="CJ66" s="236">
        <f t="shared" si="281"/>
        <v>0.01161806607</v>
      </c>
      <c r="CK66" s="235">
        <f t="shared" si="282"/>
        <v>0</v>
      </c>
      <c r="CL66" s="236">
        <v>0.16716266605705102</v>
      </c>
      <c r="CM66" s="235">
        <f t="shared" si="283"/>
        <v>0</v>
      </c>
      <c r="CN66" s="237">
        <f t="shared" si="284"/>
        <v>0</v>
      </c>
      <c r="CO66" s="232"/>
      <c r="CP66" s="232"/>
      <c r="CQ66" s="232"/>
      <c r="CR66" s="81"/>
      <c r="CS66" s="233">
        <f t="shared" si="333"/>
        <v>3</v>
      </c>
      <c r="CT66" s="234" t="s">
        <v>73</v>
      </c>
      <c r="CU66" s="235"/>
      <c r="CV66" s="236">
        <f t="shared" si="285"/>
        <v>0.01161806607</v>
      </c>
      <c r="CW66" s="235">
        <f t="shared" si="286"/>
        <v>0</v>
      </c>
      <c r="CX66" s="236">
        <v>0.16716266605705102</v>
      </c>
      <c r="CY66" s="235">
        <f t="shared" si="287"/>
        <v>0</v>
      </c>
      <c r="CZ66" s="237">
        <f t="shared" si="288"/>
        <v>0</v>
      </c>
      <c r="DA66" s="232"/>
      <c r="DB66" s="232"/>
      <c r="DC66" s="232"/>
      <c r="DD66" s="81"/>
      <c r="DE66" s="233">
        <f t="shared" si="334"/>
        <v>3</v>
      </c>
      <c r="DF66" s="234" t="s">
        <v>73</v>
      </c>
      <c r="DG66" s="235">
        <f>'Hitung Output'!BH31</f>
        <v>28323.74183</v>
      </c>
      <c r="DH66" s="236">
        <f t="shared" si="289"/>
        <v>0.01161806607</v>
      </c>
      <c r="DI66" s="394">
        <f t="shared" si="290"/>
        <v>329.0671038</v>
      </c>
      <c r="DJ66" s="236">
        <v>0.16716266605705102</v>
      </c>
      <c r="DK66" s="235">
        <f t="shared" si="291"/>
        <v>55.00773438</v>
      </c>
      <c r="DL66" s="237">
        <f t="shared" si="292"/>
        <v>274.0593694</v>
      </c>
      <c r="DM66" s="232"/>
      <c r="DN66" s="232"/>
      <c r="DO66" s="232"/>
      <c r="DP66" s="81"/>
      <c r="DQ66" s="233">
        <f t="shared" si="335"/>
        <v>3</v>
      </c>
      <c r="DR66" s="234" t="s">
        <v>73</v>
      </c>
      <c r="DS66" s="236">
        <f>'Hitung Output'!BM31</f>
        <v>31064.37175</v>
      </c>
      <c r="DT66" s="236">
        <f t="shared" si="293"/>
        <v>0.01161806607</v>
      </c>
      <c r="DU66" s="395">
        <f t="shared" si="294"/>
        <v>360.9079233</v>
      </c>
      <c r="DV66" s="236">
        <v>0.16716266605705102</v>
      </c>
      <c r="DW66" s="235">
        <f t="shared" si="295"/>
        <v>60.33033066</v>
      </c>
      <c r="DX66" s="237">
        <f t="shared" si="296"/>
        <v>300.5775927</v>
      </c>
      <c r="DY66" s="232"/>
      <c r="DZ66" s="232"/>
      <c r="EA66" s="232"/>
      <c r="EB66" s="81"/>
      <c r="EC66" s="233">
        <f t="shared" si="336"/>
        <v>3</v>
      </c>
      <c r="ED66" s="234" t="s">
        <v>73</v>
      </c>
      <c r="EE66" s="236">
        <f>'Hitung Output'!BR31</f>
        <v>29253.54689</v>
      </c>
      <c r="EF66" s="236">
        <f t="shared" si="297"/>
        <v>0.01161806607</v>
      </c>
      <c r="EG66" s="396">
        <f t="shared" si="298"/>
        <v>339.8696404</v>
      </c>
      <c r="EH66" s="236">
        <v>0.16716266605705102</v>
      </c>
      <c r="EI66" s="235">
        <f t="shared" si="299"/>
        <v>56.81351521</v>
      </c>
      <c r="EJ66" s="237">
        <f t="shared" si="300"/>
        <v>283.0561252</v>
      </c>
      <c r="EK66" s="232"/>
      <c r="EL66" s="232"/>
      <c r="EM66" s="232"/>
      <c r="EN66" s="81"/>
      <c r="EO66" s="233">
        <f t="shared" si="337"/>
        <v>3</v>
      </c>
      <c r="EP66" s="234" t="s">
        <v>73</v>
      </c>
      <c r="EQ66" s="235">
        <f>'Hitung Output'!BW31</f>
        <v>27252.97498</v>
      </c>
      <c r="ER66" s="236">
        <f t="shared" si="301"/>
        <v>0.01161806607</v>
      </c>
      <c r="ES66" s="397">
        <f t="shared" si="302"/>
        <v>316.6268638</v>
      </c>
      <c r="ET66" s="236">
        <v>0.16716266605705102</v>
      </c>
      <c r="EU66" s="235">
        <f t="shared" si="303"/>
        <v>52.9281907</v>
      </c>
      <c r="EV66" s="237">
        <f t="shared" si="304"/>
        <v>263.6986731</v>
      </c>
      <c r="EW66" s="232"/>
      <c r="EX66" s="232"/>
      <c r="EY66" s="232"/>
      <c r="EZ66" s="81"/>
      <c r="FA66" s="233">
        <f t="shared" si="338"/>
        <v>3</v>
      </c>
      <c r="FB66" s="234" t="s">
        <v>73</v>
      </c>
      <c r="FC66" s="235">
        <f>'Hitung Output'!CB31</f>
        <v>32369.12347</v>
      </c>
      <c r="FD66" s="236">
        <f t="shared" si="305"/>
        <v>0.01161806607</v>
      </c>
      <c r="FE66" s="396">
        <f t="shared" si="306"/>
        <v>376.066615</v>
      </c>
      <c r="FF66" s="236">
        <v>0.16716266605705102</v>
      </c>
      <c r="FG66" s="235">
        <f t="shared" si="307"/>
        <v>62.86429798</v>
      </c>
      <c r="FH66" s="237">
        <f t="shared" si="308"/>
        <v>313.202317</v>
      </c>
      <c r="FI66" s="232"/>
      <c r="FJ66" s="232"/>
      <c r="FK66" s="232"/>
      <c r="FL66" s="81"/>
      <c r="FM66" s="233">
        <f t="shared" si="339"/>
        <v>3</v>
      </c>
      <c r="FN66" s="234" t="s">
        <v>73</v>
      </c>
      <c r="FO66" s="235">
        <f>'Hitung Output'!CG31</f>
        <v>44788.55429</v>
      </c>
      <c r="FP66" s="236">
        <f t="shared" si="309"/>
        <v>0.01161806607</v>
      </c>
      <c r="FQ66" s="398">
        <f t="shared" si="310"/>
        <v>520.3563828</v>
      </c>
      <c r="FR66" s="236">
        <v>0.16716266605705102</v>
      </c>
      <c r="FS66" s="235">
        <f t="shared" si="311"/>
        <v>86.98416025</v>
      </c>
      <c r="FT66" s="237">
        <f t="shared" si="312"/>
        <v>433.3722226</v>
      </c>
      <c r="FU66" s="232"/>
      <c r="FV66" s="232"/>
      <c r="FW66" s="232"/>
      <c r="FX66" s="81"/>
      <c r="FY66" s="233">
        <f t="shared" si="340"/>
        <v>3</v>
      </c>
      <c r="FZ66" s="234" t="s">
        <v>73</v>
      </c>
      <c r="GA66" s="235">
        <f>'Hitung Output'!CL31</f>
        <v>84062.8257</v>
      </c>
      <c r="GB66" s="236">
        <f t="shared" si="313"/>
        <v>0.01161806607</v>
      </c>
      <c r="GC66" s="235">
        <f t="shared" si="314"/>
        <v>976.6474628</v>
      </c>
      <c r="GD66" s="236">
        <v>0.16716266605705102</v>
      </c>
      <c r="GE66" s="235">
        <f t="shared" si="315"/>
        <v>163.2589937</v>
      </c>
      <c r="GF66" s="237">
        <f t="shared" si="316"/>
        <v>813.3884691</v>
      </c>
      <c r="GG66" s="232"/>
      <c r="GH66" s="232"/>
      <c r="GI66" s="232"/>
      <c r="GJ66" s="81"/>
      <c r="GK66" s="233">
        <f t="shared" si="341"/>
        <v>3</v>
      </c>
      <c r="GL66" s="234" t="s">
        <v>73</v>
      </c>
      <c r="GM66" s="235"/>
      <c r="GN66" s="236">
        <f t="shared" si="317"/>
        <v>0.01161806607</v>
      </c>
      <c r="GO66" s="235">
        <f t="shared" si="318"/>
        <v>0</v>
      </c>
      <c r="GP66" s="236">
        <v>0.16716266605705102</v>
      </c>
      <c r="GQ66" s="235">
        <f t="shared" si="319"/>
        <v>0</v>
      </c>
      <c r="GR66" s="237">
        <f t="shared" si="320"/>
        <v>0</v>
      </c>
      <c r="GS66" s="232"/>
      <c r="GT66" s="232"/>
      <c r="GU66" s="232"/>
      <c r="GV66" s="81"/>
      <c r="GW66" s="233">
        <f t="shared" si="342"/>
        <v>3</v>
      </c>
      <c r="GX66" s="234" t="s">
        <v>73</v>
      </c>
      <c r="GY66" s="235"/>
      <c r="GZ66" s="236">
        <f t="shared" si="321"/>
        <v>0.01161806607</v>
      </c>
      <c r="HA66" s="235">
        <f t="shared" si="322"/>
        <v>0</v>
      </c>
      <c r="HB66" s="236">
        <v>0.16716266605705102</v>
      </c>
      <c r="HC66" s="235">
        <f t="shared" si="323"/>
        <v>0</v>
      </c>
      <c r="HD66" s="237">
        <f t="shared" si="324"/>
        <v>0</v>
      </c>
      <c r="HE66" s="232"/>
      <c r="HF66" s="232"/>
      <c r="HG66" s="232"/>
      <c r="HH66" s="81"/>
      <c r="HI66" s="75"/>
    </row>
    <row r="67" ht="15.75" customHeight="1">
      <c r="A67" s="233">
        <f t="shared" si="325"/>
        <v>4</v>
      </c>
      <c r="B67" s="234" t="s">
        <v>74</v>
      </c>
      <c r="C67" s="235"/>
      <c r="D67" s="236">
        <f t="shared" si="253"/>
        <v>0.01161806607</v>
      </c>
      <c r="E67" s="235">
        <f t="shared" si="254"/>
        <v>0</v>
      </c>
      <c r="F67" s="236">
        <v>0.16716266605705102</v>
      </c>
      <c r="G67" s="235">
        <f t="shared" si="255"/>
        <v>0</v>
      </c>
      <c r="H67" s="237">
        <f t="shared" si="256"/>
        <v>0</v>
      </c>
      <c r="I67" s="232"/>
      <c r="J67" s="232"/>
      <c r="K67" s="232"/>
      <c r="L67" s="81"/>
      <c r="M67" s="233">
        <f t="shared" si="326"/>
        <v>4</v>
      </c>
      <c r="N67" s="234" t="s">
        <v>74</v>
      </c>
      <c r="O67" s="235"/>
      <c r="P67" s="236">
        <f t="shared" si="257"/>
        <v>0.01161806607</v>
      </c>
      <c r="Q67" s="235">
        <f t="shared" si="258"/>
        <v>0</v>
      </c>
      <c r="R67" s="236">
        <v>0.16716266605705102</v>
      </c>
      <c r="S67" s="235">
        <f t="shared" si="259"/>
        <v>0</v>
      </c>
      <c r="T67" s="237">
        <f t="shared" si="260"/>
        <v>0</v>
      </c>
      <c r="U67" s="232"/>
      <c r="V67" s="232"/>
      <c r="W67" s="232"/>
      <c r="X67" s="81"/>
      <c r="Y67" s="233">
        <f t="shared" si="327"/>
        <v>4</v>
      </c>
      <c r="Z67" s="234" t="s">
        <v>74</v>
      </c>
      <c r="AA67" s="235"/>
      <c r="AB67" s="236">
        <f t="shared" si="261"/>
        <v>0.01161806607</v>
      </c>
      <c r="AC67" s="235">
        <f t="shared" si="262"/>
        <v>0</v>
      </c>
      <c r="AD67" s="236">
        <v>0.16716266605705102</v>
      </c>
      <c r="AE67" s="235">
        <f t="shared" si="263"/>
        <v>0</v>
      </c>
      <c r="AF67" s="237">
        <f t="shared" si="264"/>
        <v>0</v>
      </c>
      <c r="AG67" s="232"/>
      <c r="AH67" s="232"/>
      <c r="AI67" s="232"/>
      <c r="AJ67" s="81"/>
      <c r="AK67" s="233">
        <f t="shared" si="328"/>
        <v>4</v>
      </c>
      <c r="AL67" s="234" t="s">
        <v>74</v>
      </c>
      <c r="AM67" s="235"/>
      <c r="AN67" s="236">
        <f t="shared" si="265"/>
        <v>0.01161806607</v>
      </c>
      <c r="AO67" s="235">
        <f t="shared" si="266"/>
        <v>0</v>
      </c>
      <c r="AP67" s="236">
        <v>0.16716266605705102</v>
      </c>
      <c r="AQ67" s="235">
        <f t="shared" si="267"/>
        <v>0</v>
      </c>
      <c r="AR67" s="237">
        <f t="shared" si="268"/>
        <v>0</v>
      </c>
      <c r="AS67" s="232"/>
      <c r="AT67" s="232"/>
      <c r="AU67" s="232"/>
      <c r="AV67" s="81"/>
      <c r="AW67" s="233">
        <f t="shared" si="329"/>
        <v>4</v>
      </c>
      <c r="AX67" s="234" t="s">
        <v>74</v>
      </c>
      <c r="AY67" s="235"/>
      <c r="AZ67" s="236">
        <f t="shared" si="269"/>
        <v>0.01161806607</v>
      </c>
      <c r="BA67" s="235">
        <f t="shared" si="270"/>
        <v>0</v>
      </c>
      <c r="BB67" s="236">
        <v>0.16716266605705102</v>
      </c>
      <c r="BC67" s="235">
        <f t="shared" si="271"/>
        <v>0</v>
      </c>
      <c r="BD67" s="237">
        <f t="shared" si="272"/>
        <v>0</v>
      </c>
      <c r="BE67" s="232"/>
      <c r="BF67" s="232"/>
      <c r="BG67" s="232"/>
      <c r="BH67" s="81"/>
      <c r="BI67" s="233">
        <f t="shared" si="330"/>
        <v>4</v>
      </c>
      <c r="BJ67" s="234" t="s">
        <v>74</v>
      </c>
      <c r="BK67" s="235"/>
      <c r="BL67" s="236">
        <f t="shared" si="273"/>
        <v>0.01161806607</v>
      </c>
      <c r="BM67" s="235">
        <f t="shared" si="274"/>
        <v>0</v>
      </c>
      <c r="BN67" s="236">
        <v>0.16716266605705102</v>
      </c>
      <c r="BO67" s="235">
        <f t="shared" si="275"/>
        <v>0</v>
      </c>
      <c r="BP67" s="237">
        <f t="shared" si="276"/>
        <v>0</v>
      </c>
      <c r="BQ67" s="232"/>
      <c r="BR67" s="232"/>
      <c r="BS67" s="232"/>
      <c r="BT67" s="81"/>
      <c r="BU67" s="233">
        <f t="shared" si="331"/>
        <v>4</v>
      </c>
      <c r="BV67" s="234" t="s">
        <v>74</v>
      </c>
      <c r="BW67" s="235"/>
      <c r="BX67" s="236">
        <f t="shared" si="277"/>
        <v>0.01161806607</v>
      </c>
      <c r="BY67" s="235">
        <f t="shared" si="278"/>
        <v>0</v>
      </c>
      <c r="BZ67" s="236">
        <v>0.16716266605705102</v>
      </c>
      <c r="CA67" s="235">
        <f t="shared" si="279"/>
        <v>0</v>
      </c>
      <c r="CB67" s="237">
        <f t="shared" si="280"/>
        <v>0</v>
      </c>
      <c r="CC67" s="232"/>
      <c r="CD67" s="232"/>
      <c r="CE67" s="232"/>
      <c r="CF67" s="81"/>
      <c r="CG67" s="233">
        <f t="shared" si="332"/>
        <v>4</v>
      </c>
      <c r="CH67" s="234" t="s">
        <v>74</v>
      </c>
      <c r="CI67" s="235"/>
      <c r="CJ67" s="236">
        <f t="shared" si="281"/>
        <v>0.01161806607</v>
      </c>
      <c r="CK67" s="235">
        <f t="shared" si="282"/>
        <v>0</v>
      </c>
      <c r="CL67" s="236">
        <v>0.16716266605705102</v>
      </c>
      <c r="CM67" s="235">
        <f t="shared" si="283"/>
        <v>0</v>
      </c>
      <c r="CN67" s="237">
        <f t="shared" si="284"/>
        <v>0</v>
      </c>
      <c r="CO67" s="232"/>
      <c r="CP67" s="232"/>
      <c r="CQ67" s="232"/>
      <c r="CR67" s="81"/>
      <c r="CS67" s="233">
        <f t="shared" si="333"/>
        <v>4</v>
      </c>
      <c r="CT67" s="234" t="s">
        <v>74</v>
      </c>
      <c r="CU67" s="235"/>
      <c r="CV67" s="236">
        <f t="shared" si="285"/>
        <v>0.01161806607</v>
      </c>
      <c r="CW67" s="235">
        <f t="shared" si="286"/>
        <v>0</v>
      </c>
      <c r="CX67" s="236">
        <v>0.16716266605705102</v>
      </c>
      <c r="CY67" s="235">
        <f t="shared" si="287"/>
        <v>0</v>
      </c>
      <c r="CZ67" s="237">
        <f t="shared" si="288"/>
        <v>0</v>
      </c>
      <c r="DA67" s="232"/>
      <c r="DB67" s="232"/>
      <c r="DC67" s="232"/>
      <c r="DD67" s="81"/>
      <c r="DE67" s="233">
        <f t="shared" si="334"/>
        <v>4</v>
      </c>
      <c r="DF67" s="234" t="s">
        <v>74</v>
      </c>
      <c r="DG67" s="235">
        <f>'Hitung Output'!BH32</f>
        <v>223860.1188</v>
      </c>
      <c r="DH67" s="236">
        <f t="shared" si="289"/>
        <v>0.01161806607</v>
      </c>
      <c r="DI67" s="394">
        <f t="shared" si="290"/>
        <v>2600.821649</v>
      </c>
      <c r="DJ67" s="236">
        <v>0.16716266605705102</v>
      </c>
      <c r="DK67" s="235">
        <f t="shared" si="291"/>
        <v>434.7602809</v>
      </c>
      <c r="DL67" s="237">
        <f t="shared" si="292"/>
        <v>2166.061369</v>
      </c>
      <c r="DM67" s="232"/>
      <c r="DN67" s="232"/>
      <c r="DO67" s="232"/>
      <c r="DP67" s="81"/>
      <c r="DQ67" s="233">
        <f t="shared" si="335"/>
        <v>4</v>
      </c>
      <c r="DR67" s="234" t="s">
        <v>74</v>
      </c>
      <c r="DS67" s="236">
        <f>'Hitung Output'!BM32</f>
        <v>232581.9953</v>
      </c>
      <c r="DT67" s="236">
        <f t="shared" si="293"/>
        <v>0.01161806607</v>
      </c>
      <c r="DU67" s="395">
        <f t="shared" si="294"/>
        <v>2702.152988</v>
      </c>
      <c r="DV67" s="236">
        <v>0.16716266605705102</v>
      </c>
      <c r="DW67" s="235">
        <f t="shared" si="295"/>
        <v>451.6990975</v>
      </c>
      <c r="DX67" s="237">
        <f t="shared" si="296"/>
        <v>2250.45389</v>
      </c>
      <c r="DY67" s="232"/>
      <c r="DZ67" s="232"/>
      <c r="EA67" s="232"/>
      <c r="EB67" s="81"/>
      <c r="EC67" s="233">
        <f t="shared" si="336"/>
        <v>4</v>
      </c>
      <c r="ED67" s="234" t="s">
        <v>74</v>
      </c>
      <c r="EE67" s="236">
        <f>'Hitung Output'!BR32</f>
        <v>238442.2581</v>
      </c>
      <c r="EF67" s="236">
        <f t="shared" si="297"/>
        <v>0.01161806607</v>
      </c>
      <c r="EG67" s="396">
        <f t="shared" si="298"/>
        <v>2770.237908</v>
      </c>
      <c r="EH67" s="236">
        <v>0.16716266605705102</v>
      </c>
      <c r="EI67" s="235">
        <f t="shared" si="299"/>
        <v>463.0803543</v>
      </c>
      <c r="EJ67" s="237">
        <f t="shared" si="300"/>
        <v>2307.157553</v>
      </c>
      <c r="EK67" s="232"/>
      <c r="EL67" s="232"/>
      <c r="EM67" s="232"/>
      <c r="EN67" s="81"/>
      <c r="EO67" s="233">
        <f t="shared" si="337"/>
        <v>4</v>
      </c>
      <c r="EP67" s="234" t="s">
        <v>74</v>
      </c>
      <c r="EQ67" s="235">
        <f>'Hitung Output'!BW32</f>
        <v>254372.6011</v>
      </c>
      <c r="ER67" s="236">
        <f t="shared" si="301"/>
        <v>0.01161806607</v>
      </c>
      <c r="ES67" s="397">
        <f t="shared" si="302"/>
        <v>2955.317685</v>
      </c>
      <c r="ET67" s="236">
        <v>0.16716266605705102</v>
      </c>
      <c r="EU67" s="235">
        <f t="shared" si="303"/>
        <v>494.0187833</v>
      </c>
      <c r="EV67" s="237">
        <f t="shared" si="304"/>
        <v>2461.298902</v>
      </c>
      <c r="EW67" s="232"/>
      <c r="EX67" s="232"/>
      <c r="EY67" s="232"/>
      <c r="EZ67" s="81"/>
      <c r="FA67" s="233">
        <f t="shared" si="338"/>
        <v>4</v>
      </c>
      <c r="FB67" s="234" t="s">
        <v>74</v>
      </c>
      <c r="FC67" s="235">
        <f>'Hitung Output'!CB32</f>
        <v>270618.6297</v>
      </c>
      <c r="FD67" s="236">
        <f t="shared" si="305"/>
        <v>0.01161806607</v>
      </c>
      <c r="FE67" s="396">
        <f t="shared" si="306"/>
        <v>3144.065119</v>
      </c>
      <c r="FF67" s="236">
        <v>0.16716266605705102</v>
      </c>
      <c r="FG67" s="235">
        <f t="shared" si="307"/>
        <v>525.5703076</v>
      </c>
      <c r="FH67" s="237">
        <f t="shared" si="308"/>
        <v>2618.494811</v>
      </c>
      <c r="FI67" s="232"/>
      <c r="FJ67" s="232"/>
      <c r="FK67" s="232"/>
      <c r="FL67" s="81"/>
      <c r="FM67" s="233">
        <f t="shared" si="339"/>
        <v>4</v>
      </c>
      <c r="FN67" s="234" t="s">
        <v>74</v>
      </c>
      <c r="FO67" s="235">
        <f>'Hitung Output'!CG32</f>
        <v>269895.8748</v>
      </c>
      <c r="FP67" s="236">
        <f t="shared" si="309"/>
        <v>0.01161806607</v>
      </c>
      <c r="FQ67" s="398">
        <f t="shared" si="310"/>
        <v>3135.668104</v>
      </c>
      <c r="FR67" s="236">
        <v>0.16716266605705102</v>
      </c>
      <c r="FS67" s="235">
        <f t="shared" si="311"/>
        <v>524.1666402</v>
      </c>
      <c r="FT67" s="237">
        <f t="shared" si="312"/>
        <v>2611.501464</v>
      </c>
      <c r="FU67" s="232"/>
      <c r="FV67" s="232"/>
      <c r="FW67" s="232"/>
      <c r="FX67" s="81"/>
      <c r="FY67" s="233">
        <f t="shared" si="340"/>
        <v>4</v>
      </c>
      <c r="FZ67" s="234" t="s">
        <v>74</v>
      </c>
      <c r="GA67" s="235">
        <f>'Hitung Output'!CL32</f>
        <v>269646.2904</v>
      </c>
      <c r="GB67" s="236">
        <f t="shared" si="313"/>
        <v>0.01161806607</v>
      </c>
      <c r="GC67" s="235">
        <f t="shared" si="314"/>
        <v>3132.768416</v>
      </c>
      <c r="GD67" s="236">
        <v>0.16716266605705102</v>
      </c>
      <c r="GE67" s="235">
        <f t="shared" si="315"/>
        <v>523.6819206</v>
      </c>
      <c r="GF67" s="237">
        <f t="shared" si="316"/>
        <v>2609.086495</v>
      </c>
      <c r="GG67" s="232"/>
      <c r="GH67" s="232"/>
      <c r="GI67" s="232"/>
      <c r="GJ67" s="81"/>
      <c r="GK67" s="233">
        <f t="shared" si="341"/>
        <v>4</v>
      </c>
      <c r="GL67" s="234" t="s">
        <v>74</v>
      </c>
      <c r="GM67" s="235"/>
      <c r="GN67" s="236">
        <f t="shared" si="317"/>
        <v>0.01161806607</v>
      </c>
      <c r="GO67" s="235">
        <f t="shared" si="318"/>
        <v>0</v>
      </c>
      <c r="GP67" s="236">
        <v>0.16716266605705102</v>
      </c>
      <c r="GQ67" s="235">
        <f t="shared" si="319"/>
        <v>0</v>
      </c>
      <c r="GR67" s="237">
        <f t="shared" si="320"/>
        <v>0</v>
      </c>
      <c r="GS67" s="232"/>
      <c r="GT67" s="232"/>
      <c r="GU67" s="232"/>
      <c r="GV67" s="81"/>
      <c r="GW67" s="233">
        <f t="shared" si="342"/>
        <v>4</v>
      </c>
      <c r="GX67" s="234" t="s">
        <v>74</v>
      </c>
      <c r="GY67" s="235"/>
      <c r="GZ67" s="236">
        <f t="shared" si="321"/>
        <v>0.01161806607</v>
      </c>
      <c r="HA67" s="235">
        <f t="shared" si="322"/>
        <v>0</v>
      </c>
      <c r="HB67" s="236">
        <v>0.16716266605705102</v>
      </c>
      <c r="HC67" s="235">
        <f t="shared" si="323"/>
        <v>0</v>
      </c>
      <c r="HD67" s="237">
        <f t="shared" si="324"/>
        <v>0</v>
      </c>
      <c r="HE67" s="232"/>
      <c r="HF67" s="232"/>
      <c r="HG67" s="232"/>
      <c r="HH67" s="81"/>
      <c r="HI67" s="75"/>
    </row>
    <row r="68" ht="15.75" customHeight="1">
      <c r="A68" s="233">
        <f t="shared" si="325"/>
        <v>5</v>
      </c>
      <c r="B68" s="234" t="s">
        <v>75</v>
      </c>
      <c r="C68" s="235"/>
      <c r="D68" s="236">
        <f t="shared" si="253"/>
        <v>0.01161806607</v>
      </c>
      <c r="E68" s="235">
        <f t="shared" si="254"/>
        <v>0</v>
      </c>
      <c r="F68" s="236">
        <v>0.16716266605705102</v>
      </c>
      <c r="G68" s="235">
        <f t="shared" si="255"/>
        <v>0</v>
      </c>
      <c r="H68" s="237">
        <f t="shared" si="256"/>
        <v>0</v>
      </c>
      <c r="I68" s="232"/>
      <c r="J68" s="232"/>
      <c r="K68" s="232"/>
      <c r="L68" s="81"/>
      <c r="M68" s="233">
        <f t="shared" si="326"/>
        <v>5</v>
      </c>
      <c r="N68" s="234" t="s">
        <v>75</v>
      </c>
      <c r="O68" s="235"/>
      <c r="P68" s="236">
        <f t="shared" si="257"/>
        <v>0.01161806607</v>
      </c>
      <c r="Q68" s="235">
        <f t="shared" si="258"/>
        <v>0</v>
      </c>
      <c r="R68" s="236">
        <v>0.16716266605705102</v>
      </c>
      <c r="S68" s="235">
        <f t="shared" si="259"/>
        <v>0</v>
      </c>
      <c r="T68" s="237">
        <f t="shared" si="260"/>
        <v>0</v>
      </c>
      <c r="U68" s="232"/>
      <c r="V68" s="232"/>
      <c r="W68" s="232"/>
      <c r="X68" s="81"/>
      <c r="Y68" s="233">
        <f t="shared" si="327"/>
        <v>5</v>
      </c>
      <c r="Z68" s="234" t="s">
        <v>75</v>
      </c>
      <c r="AA68" s="235"/>
      <c r="AB68" s="236">
        <f t="shared" si="261"/>
        <v>0.01161806607</v>
      </c>
      <c r="AC68" s="235">
        <f t="shared" si="262"/>
        <v>0</v>
      </c>
      <c r="AD68" s="236">
        <v>0.16716266605705102</v>
      </c>
      <c r="AE68" s="235">
        <f t="shared" si="263"/>
        <v>0</v>
      </c>
      <c r="AF68" s="237">
        <f t="shared" si="264"/>
        <v>0</v>
      </c>
      <c r="AG68" s="232"/>
      <c r="AH68" s="232"/>
      <c r="AI68" s="232"/>
      <c r="AJ68" s="81"/>
      <c r="AK68" s="233">
        <f t="shared" si="328"/>
        <v>5</v>
      </c>
      <c r="AL68" s="234" t="s">
        <v>75</v>
      </c>
      <c r="AM68" s="235"/>
      <c r="AN68" s="236">
        <f t="shared" si="265"/>
        <v>0.01161806607</v>
      </c>
      <c r="AO68" s="235">
        <f t="shared" si="266"/>
        <v>0</v>
      </c>
      <c r="AP68" s="236">
        <v>0.16716266605705102</v>
      </c>
      <c r="AQ68" s="235">
        <f t="shared" si="267"/>
        <v>0</v>
      </c>
      <c r="AR68" s="237">
        <f t="shared" si="268"/>
        <v>0</v>
      </c>
      <c r="AS68" s="232"/>
      <c r="AT68" s="232"/>
      <c r="AU68" s="232"/>
      <c r="AV68" s="81"/>
      <c r="AW68" s="233">
        <f t="shared" si="329"/>
        <v>5</v>
      </c>
      <c r="AX68" s="234" t="s">
        <v>75</v>
      </c>
      <c r="AY68" s="235"/>
      <c r="AZ68" s="236">
        <f t="shared" si="269"/>
        <v>0.01161806607</v>
      </c>
      <c r="BA68" s="235">
        <f t="shared" si="270"/>
        <v>0</v>
      </c>
      <c r="BB68" s="236">
        <v>0.16716266605705102</v>
      </c>
      <c r="BC68" s="235">
        <f t="shared" si="271"/>
        <v>0</v>
      </c>
      <c r="BD68" s="237">
        <f t="shared" si="272"/>
        <v>0</v>
      </c>
      <c r="BE68" s="232"/>
      <c r="BF68" s="232"/>
      <c r="BG68" s="232"/>
      <c r="BH68" s="81"/>
      <c r="BI68" s="233">
        <f t="shared" si="330"/>
        <v>5</v>
      </c>
      <c r="BJ68" s="234" t="s">
        <v>75</v>
      </c>
      <c r="BK68" s="235"/>
      <c r="BL68" s="236">
        <f t="shared" si="273"/>
        <v>0.01161806607</v>
      </c>
      <c r="BM68" s="235">
        <f t="shared" si="274"/>
        <v>0</v>
      </c>
      <c r="BN68" s="236">
        <v>0.16716266605705102</v>
      </c>
      <c r="BO68" s="235">
        <f t="shared" si="275"/>
        <v>0</v>
      </c>
      <c r="BP68" s="237">
        <f t="shared" si="276"/>
        <v>0</v>
      </c>
      <c r="BQ68" s="232"/>
      <c r="BR68" s="232"/>
      <c r="BS68" s="232"/>
      <c r="BT68" s="81"/>
      <c r="BU68" s="233">
        <f t="shared" si="331"/>
        <v>5</v>
      </c>
      <c r="BV68" s="234" t="s">
        <v>75</v>
      </c>
      <c r="BW68" s="235"/>
      <c r="BX68" s="236">
        <f t="shared" si="277"/>
        <v>0.01161806607</v>
      </c>
      <c r="BY68" s="235">
        <f t="shared" si="278"/>
        <v>0</v>
      </c>
      <c r="BZ68" s="236">
        <v>0.16716266605705102</v>
      </c>
      <c r="CA68" s="235">
        <f t="shared" si="279"/>
        <v>0</v>
      </c>
      <c r="CB68" s="237">
        <f t="shared" si="280"/>
        <v>0</v>
      </c>
      <c r="CC68" s="232"/>
      <c r="CD68" s="232"/>
      <c r="CE68" s="232"/>
      <c r="CF68" s="81"/>
      <c r="CG68" s="233">
        <f t="shared" si="332"/>
        <v>5</v>
      </c>
      <c r="CH68" s="234" t="s">
        <v>75</v>
      </c>
      <c r="CI68" s="235"/>
      <c r="CJ68" s="236">
        <f t="shared" si="281"/>
        <v>0.01161806607</v>
      </c>
      <c r="CK68" s="235">
        <f t="shared" si="282"/>
        <v>0</v>
      </c>
      <c r="CL68" s="236">
        <v>0.16716266605705102</v>
      </c>
      <c r="CM68" s="235">
        <f t="shared" si="283"/>
        <v>0</v>
      </c>
      <c r="CN68" s="237">
        <f t="shared" si="284"/>
        <v>0</v>
      </c>
      <c r="CO68" s="232"/>
      <c r="CP68" s="232"/>
      <c r="CQ68" s="232"/>
      <c r="CR68" s="81"/>
      <c r="CS68" s="233">
        <f t="shared" si="333"/>
        <v>5</v>
      </c>
      <c r="CT68" s="234" t="s">
        <v>75</v>
      </c>
      <c r="CU68" s="235"/>
      <c r="CV68" s="236">
        <f t="shared" si="285"/>
        <v>0.01161806607</v>
      </c>
      <c r="CW68" s="235">
        <f t="shared" si="286"/>
        <v>0</v>
      </c>
      <c r="CX68" s="236">
        <v>0.16716266605705102</v>
      </c>
      <c r="CY68" s="235">
        <f t="shared" si="287"/>
        <v>0</v>
      </c>
      <c r="CZ68" s="237">
        <f t="shared" si="288"/>
        <v>0</v>
      </c>
      <c r="DA68" s="232"/>
      <c r="DB68" s="232"/>
      <c r="DC68" s="232"/>
      <c r="DD68" s="81"/>
      <c r="DE68" s="233">
        <f t="shared" si="334"/>
        <v>5</v>
      </c>
      <c r="DF68" s="234" t="s">
        <v>75</v>
      </c>
      <c r="DG68" s="235">
        <f>'Hitung Output'!BH33</f>
        <v>2494735.954</v>
      </c>
      <c r="DH68" s="236">
        <f t="shared" si="289"/>
        <v>0.01161806607</v>
      </c>
      <c r="DI68" s="394">
        <f t="shared" si="290"/>
        <v>28984.00713</v>
      </c>
      <c r="DJ68" s="236">
        <v>0.16716266605705102</v>
      </c>
      <c r="DK68" s="235">
        <f t="shared" si="291"/>
        <v>4845.043906</v>
      </c>
      <c r="DL68" s="237">
        <f t="shared" si="292"/>
        <v>24138.96323</v>
      </c>
      <c r="DM68" s="232"/>
      <c r="DN68" s="232"/>
      <c r="DO68" s="232"/>
      <c r="DP68" s="81"/>
      <c r="DQ68" s="233">
        <f t="shared" si="335"/>
        <v>5</v>
      </c>
      <c r="DR68" s="234" t="s">
        <v>75</v>
      </c>
      <c r="DS68" s="236">
        <f>'Hitung Output'!BM33</f>
        <v>2483816.363</v>
      </c>
      <c r="DT68" s="236">
        <f t="shared" si="293"/>
        <v>0.01161806607</v>
      </c>
      <c r="DU68" s="395">
        <f t="shared" si="294"/>
        <v>28857.1426</v>
      </c>
      <c r="DV68" s="236">
        <v>0.16716266605705102</v>
      </c>
      <c r="DW68" s="235">
        <f t="shared" si="295"/>
        <v>4823.836892</v>
      </c>
      <c r="DX68" s="237">
        <f t="shared" si="296"/>
        <v>24033.30571</v>
      </c>
      <c r="DY68" s="232"/>
      <c r="DZ68" s="232"/>
      <c r="EA68" s="232"/>
      <c r="EB68" s="81"/>
      <c r="EC68" s="233">
        <f t="shared" si="336"/>
        <v>5</v>
      </c>
      <c r="ED68" s="234" t="s">
        <v>75</v>
      </c>
      <c r="EE68" s="236">
        <f>'Hitung Output'!BR33</f>
        <v>2544394.015</v>
      </c>
      <c r="EF68" s="236">
        <f t="shared" si="297"/>
        <v>0.01161806607</v>
      </c>
      <c r="EG68" s="396">
        <f t="shared" si="298"/>
        <v>29560.93776</v>
      </c>
      <c r="EH68" s="236">
        <v>0.16716266605705102</v>
      </c>
      <c r="EI68" s="235">
        <f t="shared" si="299"/>
        <v>4941.485168</v>
      </c>
      <c r="EJ68" s="237">
        <f t="shared" si="300"/>
        <v>24619.4526</v>
      </c>
      <c r="EK68" s="232"/>
      <c r="EL68" s="232"/>
      <c r="EM68" s="232"/>
      <c r="EN68" s="81"/>
      <c r="EO68" s="233">
        <f t="shared" si="337"/>
        <v>5</v>
      </c>
      <c r="EP68" s="234" t="s">
        <v>75</v>
      </c>
      <c r="EQ68" s="235">
        <f>'Hitung Output'!BW33</f>
        <v>2949781.769</v>
      </c>
      <c r="ER68" s="236">
        <f t="shared" si="301"/>
        <v>0.01161806607</v>
      </c>
      <c r="ES68" s="397">
        <f t="shared" si="302"/>
        <v>34270.75947</v>
      </c>
      <c r="ET68" s="236">
        <v>0.16716266605705102</v>
      </c>
      <c r="EU68" s="235">
        <f t="shared" si="303"/>
        <v>5728.791521</v>
      </c>
      <c r="EV68" s="237">
        <f t="shared" si="304"/>
        <v>28541.96795</v>
      </c>
      <c r="EW68" s="232"/>
      <c r="EX68" s="232"/>
      <c r="EY68" s="232"/>
      <c r="EZ68" s="81"/>
      <c r="FA68" s="233">
        <f t="shared" si="338"/>
        <v>5</v>
      </c>
      <c r="FB68" s="234" t="s">
        <v>75</v>
      </c>
      <c r="FC68" s="235">
        <f>'Hitung Output'!CB33</f>
        <v>3166948.499</v>
      </c>
      <c r="FD68" s="236">
        <f t="shared" si="305"/>
        <v>0.01161806607</v>
      </c>
      <c r="FE68" s="396">
        <f t="shared" si="306"/>
        <v>36793.81689</v>
      </c>
      <c r="FF68" s="236">
        <v>0.16716266605705102</v>
      </c>
      <c r="FG68" s="235">
        <f t="shared" si="307"/>
        <v>6150.552525</v>
      </c>
      <c r="FH68" s="237">
        <f t="shared" si="308"/>
        <v>30643.26436</v>
      </c>
      <c r="FI68" s="232"/>
      <c r="FJ68" s="232"/>
      <c r="FK68" s="232"/>
      <c r="FL68" s="81"/>
      <c r="FM68" s="233">
        <f t="shared" si="339"/>
        <v>5</v>
      </c>
      <c r="FN68" s="234" t="s">
        <v>75</v>
      </c>
      <c r="FO68" s="235">
        <f>'Hitung Output'!CG33</f>
        <v>4315364.897</v>
      </c>
      <c r="FP68" s="236">
        <f t="shared" si="309"/>
        <v>0.01161806607</v>
      </c>
      <c r="FQ68" s="398">
        <f t="shared" si="310"/>
        <v>50136.19448</v>
      </c>
      <c r="FR68" s="236">
        <v>0.16716266605705102</v>
      </c>
      <c r="FS68" s="235">
        <f t="shared" si="311"/>
        <v>8380.899935</v>
      </c>
      <c r="FT68" s="237">
        <f t="shared" si="312"/>
        <v>41755.29455</v>
      </c>
      <c r="FU68" s="232"/>
      <c r="FV68" s="232"/>
      <c r="FW68" s="232"/>
      <c r="FX68" s="81"/>
      <c r="FY68" s="233">
        <f t="shared" si="340"/>
        <v>5</v>
      </c>
      <c r="FZ68" s="234" t="s">
        <v>75</v>
      </c>
      <c r="GA68" s="235">
        <f>'Hitung Output'!CL33</f>
        <v>5061202.385</v>
      </c>
      <c r="GB68" s="236">
        <f t="shared" si="313"/>
        <v>0.01161806607</v>
      </c>
      <c r="GC68" s="235">
        <f t="shared" si="314"/>
        <v>58801.38369</v>
      </c>
      <c r="GD68" s="236">
        <v>0.16716266605705102</v>
      </c>
      <c r="GE68" s="235">
        <f t="shared" si="315"/>
        <v>9829.396065</v>
      </c>
      <c r="GF68" s="237">
        <f t="shared" si="316"/>
        <v>48971.98762</v>
      </c>
      <c r="GG68" s="232"/>
      <c r="GH68" s="232"/>
      <c r="GI68" s="232"/>
      <c r="GJ68" s="81"/>
      <c r="GK68" s="233">
        <f t="shared" si="341"/>
        <v>5</v>
      </c>
      <c r="GL68" s="234" t="s">
        <v>75</v>
      </c>
      <c r="GM68" s="235"/>
      <c r="GN68" s="236">
        <f t="shared" si="317"/>
        <v>0.01161806607</v>
      </c>
      <c r="GO68" s="235">
        <f t="shared" si="318"/>
        <v>0</v>
      </c>
      <c r="GP68" s="236">
        <v>0.16716266605705102</v>
      </c>
      <c r="GQ68" s="235">
        <f t="shared" si="319"/>
        <v>0</v>
      </c>
      <c r="GR68" s="237">
        <f t="shared" si="320"/>
        <v>0</v>
      </c>
      <c r="GS68" s="232"/>
      <c r="GT68" s="232"/>
      <c r="GU68" s="232"/>
      <c r="GV68" s="81"/>
      <c r="GW68" s="233">
        <f t="shared" si="342"/>
        <v>5</v>
      </c>
      <c r="GX68" s="234" t="s">
        <v>75</v>
      </c>
      <c r="GY68" s="235"/>
      <c r="GZ68" s="236">
        <f t="shared" si="321"/>
        <v>0.01161806607</v>
      </c>
      <c r="HA68" s="235">
        <f t="shared" si="322"/>
        <v>0</v>
      </c>
      <c r="HB68" s="236">
        <v>0.16716266605705102</v>
      </c>
      <c r="HC68" s="235">
        <f t="shared" si="323"/>
        <v>0</v>
      </c>
      <c r="HD68" s="237">
        <f t="shared" si="324"/>
        <v>0</v>
      </c>
      <c r="HE68" s="232"/>
      <c r="HF68" s="232"/>
      <c r="HG68" s="232"/>
      <c r="HH68" s="81"/>
      <c r="HI68" s="75"/>
    </row>
    <row r="69" ht="15.75" customHeight="1">
      <c r="A69" s="233">
        <f t="shared" si="325"/>
        <v>6</v>
      </c>
      <c r="B69" s="234" t="s">
        <v>76</v>
      </c>
      <c r="C69" s="235"/>
      <c r="D69" s="236">
        <f t="shared" si="253"/>
        <v>0.01161806607</v>
      </c>
      <c r="E69" s="235">
        <f t="shared" si="254"/>
        <v>0</v>
      </c>
      <c r="F69" s="236">
        <v>0.16716266605705102</v>
      </c>
      <c r="G69" s="235">
        <f t="shared" si="255"/>
        <v>0</v>
      </c>
      <c r="H69" s="237">
        <f t="shared" si="256"/>
        <v>0</v>
      </c>
      <c r="I69" s="232"/>
      <c r="J69" s="232"/>
      <c r="K69" s="232"/>
      <c r="L69" s="81"/>
      <c r="M69" s="233">
        <f t="shared" si="326"/>
        <v>6</v>
      </c>
      <c r="N69" s="234" t="s">
        <v>76</v>
      </c>
      <c r="O69" s="235"/>
      <c r="P69" s="236">
        <f t="shared" si="257"/>
        <v>0.01161806607</v>
      </c>
      <c r="Q69" s="235">
        <f t="shared" si="258"/>
        <v>0</v>
      </c>
      <c r="R69" s="236">
        <v>0.16716266605705102</v>
      </c>
      <c r="S69" s="235">
        <f t="shared" si="259"/>
        <v>0</v>
      </c>
      <c r="T69" s="237">
        <f t="shared" si="260"/>
        <v>0</v>
      </c>
      <c r="U69" s="232"/>
      <c r="V69" s="232"/>
      <c r="W69" s="232"/>
      <c r="X69" s="81"/>
      <c r="Y69" s="233">
        <f t="shared" si="327"/>
        <v>6</v>
      </c>
      <c r="Z69" s="234" t="s">
        <v>76</v>
      </c>
      <c r="AA69" s="235"/>
      <c r="AB69" s="236">
        <f t="shared" si="261"/>
        <v>0.01161806607</v>
      </c>
      <c r="AC69" s="235">
        <f t="shared" si="262"/>
        <v>0</v>
      </c>
      <c r="AD69" s="236">
        <v>0.16716266605705102</v>
      </c>
      <c r="AE69" s="235">
        <f t="shared" si="263"/>
        <v>0</v>
      </c>
      <c r="AF69" s="237">
        <f t="shared" si="264"/>
        <v>0</v>
      </c>
      <c r="AG69" s="232"/>
      <c r="AH69" s="232"/>
      <c r="AI69" s="232"/>
      <c r="AJ69" s="81"/>
      <c r="AK69" s="233">
        <f t="shared" si="328"/>
        <v>6</v>
      </c>
      <c r="AL69" s="234" t="s">
        <v>76</v>
      </c>
      <c r="AM69" s="235"/>
      <c r="AN69" s="236">
        <f t="shared" si="265"/>
        <v>0.01161806607</v>
      </c>
      <c r="AO69" s="235">
        <f t="shared" si="266"/>
        <v>0</v>
      </c>
      <c r="AP69" s="236">
        <v>0.16716266605705102</v>
      </c>
      <c r="AQ69" s="235">
        <f t="shared" si="267"/>
        <v>0</v>
      </c>
      <c r="AR69" s="237">
        <f t="shared" si="268"/>
        <v>0</v>
      </c>
      <c r="AS69" s="232"/>
      <c r="AT69" s="232"/>
      <c r="AU69" s="232"/>
      <c r="AV69" s="81"/>
      <c r="AW69" s="233">
        <f t="shared" si="329"/>
        <v>6</v>
      </c>
      <c r="AX69" s="234" t="s">
        <v>76</v>
      </c>
      <c r="AY69" s="235"/>
      <c r="AZ69" s="236">
        <f t="shared" si="269"/>
        <v>0.01161806607</v>
      </c>
      <c r="BA69" s="235">
        <f t="shared" si="270"/>
        <v>0</v>
      </c>
      <c r="BB69" s="236">
        <v>0.16716266605705102</v>
      </c>
      <c r="BC69" s="235">
        <f t="shared" si="271"/>
        <v>0</v>
      </c>
      <c r="BD69" s="237">
        <f t="shared" si="272"/>
        <v>0</v>
      </c>
      <c r="BE69" s="232"/>
      <c r="BF69" s="232"/>
      <c r="BG69" s="232"/>
      <c r="BH69" s="81"/>
      <c r="BI69" s="233">
        <f t="shared" si="330"/>
        <v>6</v>
      </c>
      <c r="BJ69" s="234" t="s">
        <v>76</v>
      </c>
      <c r="BK69" s="235"/>
      <c r="BL69" s="236">
        <f t="shared" si="273"/>
        <v>0.01161806607</v>
      </c>
      <c r="BM69" s="235">
        <f t="shared" si="274"/>
        <v>0</v>
      </c>
      <c r="BN69" s="236">
        <v>0.16716266605705102</v>
      </c>
      <c r="BO69" s="235">
        <f t="shared" si="275"/>
        <v>0</v>
      </c>
      <c r="BP69" s="237">
        <f t="shared" si="276"/>
        <v>0</v>
      </c>
      <c r="BQ69" s="232"/>
      <c r="BR69" s="232"/>
      <c r="BS69" s="232"/>
      <c r="BT69" s="81"/>
      <c r="BU69" s="233">
        <f t="shared" si="331"/>
        <v>6</v>
      </c>
      <c r="BV69" s="234" t="s">
        <v>76</v>
      </c>
      <c r="BW69" s="235"/>
      <c r="BX69" s="236">
        <f t="shared" si="277"/>
        <v>0.01161806607</v>
      </c>
      <c r="BY69" s="235">
        <f t="shared" si="278"/>
        <v>0</v>
      </c>
      <c r="BZ69" s="236">
        <v>0.16716266605705102</v>
      </c>
      <c r="CA69" s="235">
        <f t="shared" si="279"/>
        <v>0</v>
      </c>
      <c r="CB69" s="237">
        <f t="shared" si="280"/>
        <v>0</v>
      </c>
      <c r="CC69" s="232"/>
      <c r="CD69" s="232"/>
      <c r="CE69" s="232"/>
      <c r="CF69" s="81"/>
      <c r="CG69" s="233">
        <f t="shared" si="332"/>
        <v>6</v>
      </c>
      <c r="CH69" s="234" t="s">
        <v>76</v>
      </c>
      <c r="CI69" s="235"/>
      <c r="CJ69" s="236">
        <f t="shared" si="281"/>
        <v>0.01161806607</v>
      </c>
      <c r="CK69" s="235">
        <f t="shared" si="282"/>
        <v>0</v>
      </c>
      <c r="CL69" s="236">
        <v>0.16716266605705102</v>
      </c>
      <c r="CM69" s="235">
        <f t="shared" si="283"/>
        <v>0</v>
      </c>
      <c r="CN69" s="237">
        <f t="shared" si="284"/>
        <v>0</v>
      </c>
      <c r="CO69" s="232"/>
      <c r="CP69" s="232"/>
      <c r="CQ69" s="232"/>
      <c r="CR69" s="81"/>
      <c r="CS69" s="233">
        <f t="shared" si="333"/>
        <v>6</v>
      </c>
      <c r="CT69" s="234" t="s">
        <v>76</v>
      </c>
      <c r="CU69" s="235"/>
      <c r="CV69" s="236">
        <f t="shared" si="285"/>
        <v>0.01161806607</v>
      </c>
      <c r="CW69" s="235">
        <f t="shared" si="286"/>
        <v>0</v>
      </c>
      <c r="CX69" s="236">
        <v>0.16716266605705102</v>
      </c>
      <c r="CY69" s="235">
        <f t="shared" si="287"/>
        <v>0</v>
      </c>
      <c r="CZ69" s="237">
        <f t="shared" si="288"/>
        <v>0</v>
      </c>
      <c r="DA69" s="232"/>
      <c r="DB69" s="232"/>
      <c r="DC69" s="232"/>
      <c r="DD69" s="81"/>
      <c r="DE69" s="233">
        <f t="shared" si="334"/>
        <v>6</v>
      </c>
      <c r="DF69" s="234" t="s">
        <v>76</v>
      </c>
      <c r="DG69" s="235">
        <f>'Hitung Output'!BH34</f>
        <v>1105575.797</v>
      </c>
      <c r="DH69" s="236">
        <f t="shared" si="289"/>
        <v>0.01161806607</v>
      </c>
      <c r="DI69" s="394">
        <f t="shared" si="290"/>
        <v>12844.65265</v>
      </c>
      <c r="DJ69" s="236">
        <v>0.16716266605705102</v>
      </c>
      <c r="DK69" s="235">
        <f t="shared" si="291"/>
        <v>2147.146382</v>
      </c>
      <c r="DL69" s="237">
        <f t="shared" si="292"/>
        <v>10697.50627</v>
      </c>
      <c r="DM69" s="232"/>
      <c r="DN69" s="232"/>
      <c r="DO69" s="232"/>
      <c r="DP69" s="81"/>
      <c r="DQ69" s="233">
        <f t="shared" si="335"/>
        <v>6</v>
      </c>
      <c r="DR69" s="234" t="s">
        <v>76</v>
      </c>
      <c r="DS69" s="236">
        <f>'Hitung Output'!BM34</f>
        <v>1116442.255</v>
      </c>
      <c r="DT69" s="236">
        <f t="shared" si="293"/>
        <v>0.01161806607</v>
      </c>
      <c r="DU69" s="395">
        <f t="shared" si="294"/>
        <v>12970.89988</v>
      </c>
      <c r="DV69" s="236">
        <v>0.16716266605705102</v>
      </c>
      <c r="DW69" s="235">
        <f t="shared" si="295"/>
        <v>2168.250205</v>
      </c>
      <c r="DX69" s="237">
        <f t="shared" si="296"/>
        <v>10802.64967</v>
      </c>
      <c r="DY69" s="232"/>
      <c r="DZ69" s="232"/>
      <c r="EA69" s="232"/>
      <c r="EB69" s="81"/>
      <c r="EC69" s="233">
        <f t="shared" si="336"/>
        <v>6</v>
      </c>
      <c r="ED69" s="234" t="s">
        <v>76</v>
      </c>
      <c r="EE69" s="236">
        <f>'Hitung Output'!BR34</f>
        <v>1222188.833</v>
      </c>
      <c r="EF69" s="236">
        <f t="shared" si="297"/>
        <v>0.01161806607</v>
      </c>
      <c r="EG69" s="396">
        <f t="shared" si="298"/>
        <v>14199.47061</v>
      </c>
      <c r="EH69" s="236">
        <v>0.16716266605705102</v>
      </c>
      <c r="EI69" s="235">
        <f t="shared" si="299"/>
        <v>2373.621364</v>
      </c>
      <c r="EJ69" s="237">
        <f t="shared" si="300"/>
        <v>11825.84925</v>
      </c>
      <c r="EK69" s="232"/>
      <c r="EL69" s="232"/>
      <c r="EM69" s="232"/>
      <c r="EN69" s="81"/>
      <c r="EO69" s="233">
        <f t="shared" si="337"/>
        <v>6</v>
      </c>
      <c r="EP69" s="234" t="s">
        <v>76</v>
      </c>
      <c r="EQ69" s="235">
        <f>'Hitung Output'!BW34</f>
        <v>1257066.928</v>
      </c>
      <c r="ER69" s="236">
        <f t="shared" si="301"/>
        <v>0.01161806607</v>
      </c>
      <c r="ES69" s="397">
        <f t="shared" si="302"/>
        <v>14604.68663</v>
      </c>
      <c r="ET69" s="236">
        <v>0.16716266605705102</v>
      </c>
      <c r="EU69" s="235">
        <f t="shared" si="303"/>
        <v>2441.358353</v>
      </c>
      <c r="EV69" s="237">
        <f t="shared" si="304"/>
        <v>12163.32827</v>
      </c>
      <c r="EW69" s="232"/>
      <c r="EX69" s="232"/>
      <c r="EY69" s="232"/>
      <c r="EZ69" s="81"/>
      <c r="FA69" s="233">
        <f t="shared" si="338"/>
        <v>6</v>
      </c>
      <c r="FB69" s="234" t="s">
        <v>76</v>
      </c>
      <c r="FC69" s="235">
        <f>'Hitung Output'!CB34</f>
        <v>1484513.817</v>
      </c>
      <c r="FD69" s="236">
        <f t="shared" si="305"/>
        <v>0.01161806607</v>
      </c>
      <c r="FE69" s="396">
        <f t="shared" si="306"/>
        <v>17247.1796</v>
      </c>
      <c r="FF69" s="236">
        <v>0.16716266605705102</v>
      </c>
      <c r="FG69" s="235">
        <f t="shared" si="307"/>
        <v>2883.084524</v>
      </c>
      <c r="FH69" s="237">
        <f t="shared" si="308"/>
        <v>14364.09508</v>
      </c>
      <c r="FI69" s="232"/>
      <c r="FJ69" s="232"/>
      <c r="FK69" s="232"/>
      <c r="FL69" s="81"/>
      <c r="FM69" s="233">
        <f t="shared" si="339"/>
        <v>6</v>
      </c>
      <c r="FN69" s="234" t="s">
        <v>76</v>
      </c>
      <c r="FO69" s="235">
        <f>'Hitung Output'!CG34</f>
        <v>1525285.776</v>
      </c>
      <c r="FP69" s="236">
        <f t="shared" si="309"/>
        <v>0.01161806607</v>
      </c>
      <c r="FQ69" s="398">
        <f t="shared" si="310"/>
        <v>17720.87092</v>
      </c>
      <c r="FR69" s="236">
        <v>0.16716266605705102</v>
      </c>
      <c r="FS69" s="235">
        <f t="shared" si="311"/>
        <v>2962.268027</v>
      </c>
      <c r="FT69" s="237">
        <f t="shared" si="312"/>
        <v>14758.60289</v>
      </c>
      <c r="FU69" s="232"/>
      <c r="FV69" s="232"/>
      <c r="FW69" s="232"/>
      <c r="FX69" s="81"/>
      <c r="FY69" s="233">
        <f t="shared" si="340"/>
        <v>6</v>
      </c>
      <c r="FZ69" s="234" t="s">
        <v>76</v>
      </c>
      <c r="GA69" s="235">
        <f>'Hitung Output'!CL34</f>
        <v>1698433.198</v>
      </c>
      <c r="GB69" s="236">
        <f t="shared" si="313"/>
        <v>0.01161806607</v>
      </c>
      <c r="GC69" s="235">
        <f t="shared" si="314"/>
        <v>19732.50911</v>
      </c>
      <c r="GD69" s="236">
        <v>0.16716266605705102</v>
      </c>
      <c r="GE69" s="235">
        <f t="shared" si="315"/>
        <v>3298.53883</v>
      </c>
      <c r="GF69" s="237">
        <f t="shared" si="316"/>
        <v>16433.97028</v>
      </c>
      <c r="GG69" s="232"/>
      <c r="GH69" s="232"/>
      <c r="GI69" s="232"/>
      <c r="GJ69" s="81"/>
      <c r="GK69" s="233">
        <f t="shared" si="341"/>
        <v>6</v>
      </c>
      <c r="GL69" s="234" t="s">
        <v>76</v>
      </c>
      <c r="GM69" s="235"/>
      <c r="GN69" s="236">
        <f t="shared" si="317"/>
        <v>0.01161806607</v>
      </c>
      <c r="GO69" s="235">
        <f t="shared" si="318"/>
        <v>0</v>
      </c>
      <c r="GP69" s="236">
        <v>0.16716266605705102</v>
      </c>
      <c r="GQ69" s="235">
        <f t="shared" si="319"/>
        <v>0</v>
      </c>
      <c r="GR69" s="237">
        <f t="shared" si="320"/>
        <v>0</v>
      </c>
      <c r="GS69" s="232"/>
      <c r="GT69" s="232"/>
      <c r="GU69" s="232"/>
      <c r="GV69" s="81"/>
      <c r="GW69" s="233">
        <f t="shared" si="342"/>
        <v>6</v>
      </c>
      <c r="GX69" s="234" t="s">
        <v>76</v>
      </c>
      <c r="GY69" s="235"/>
      <c r="GZ69" s="236">
        <f t="shared" si="321"/>
        <v>0.01161806607</v>
      </c>
      <c r="HA69" s="235">
        <f t="shared" si="322"/>
        <v>0</v>
      </c>
      <c r="HB69" s="236">
        <v>0.16716266605705102</v>
      </c>
      <c r="HC69" s="235">
        <f t="shared" si="323"/>
        <v>0</v>
      </c>
      <c r="HD69" s="237">
        <f t="shared" si="324"/>
        <v>0</v>
      </c>
      <c r="HE69" s="232"/>
      <c r="HF69" s="232"/>
      <c r="HG69" s="232"/>
      <c r="HH69" s="81"/>
      <c r="HI69" s="75"/>
    </row>
    <row r="70" ht="15.75" customHeight="1">
      <c r="A70" s="233"/>
      <c r="B70" s="240"/>
      <c r="C70" s="235"/>
      <c r="D70" s="235"/>
      <c r="E70" s="235"/>
      <c r="F70" s="235"/>
      <c r="G70" s="235"/>
      <c r="H70" s="237"/>
      <c r="I70" s="232"/>
      <c r="J70" s="232"/>
      <c r="K70" s="232"/>
      <c r="L70" s="81"/>
      <c r="M70" s="233"/>
      <c r="N70" s="240"/>
      <c r="O70" s="235"/>
      <c r="P70" s="235"/>
      <c r="Q70" s="235"/>
      <c r="R70" s="235"/>
      <c r="S70" s="235"/>
      <c r="T70" s="237"/>
      <c r="U70" s="232"/>
      <c r="V70" s="232"/>
      <c r="W70" s="232"/>
      <c r="X70" s="81"/>
      <c r="Y70" s="233"/>
      <c r="Z70" s="240"/>
      <c r="AA70" s="235"/>
      <c r="AB70" s="235"/>
      <c r="AC70" s="235"/>
      <c r="AD70" s="235"/>
      <c r="AE70" s="235"/>
      <c r="AF70" s="237"/>
      <c r="AG70" s="232"/>
      <c r="AH70" s="232"/>
      <c r="AI70" s="232"/>
      <c r="AJ70" s="81"/>
      <c r="AK70" s="233"/>
      <c r="AL70" s="240"/>
      <c r="AM70" s="235"/>
      <c r="AN70" s="235"/>
      <c r="AO70" s="235"/>
      <c r="AP70" s="235"/>
      <c r="AQ70" s="235"/>
      <c r="AR70" s="237"/>
      <c r="AS70" s="232"/>
      <c r="AT70" s="232"/>
      <c r="AU70" s="232"/>
      <c r="AV70" s="81"/>
      <c r="AW70" s="233"/>
      <c r="AX70" s="240"/>
      <c r="AY70" s="235"/>
      <c r="AZ70" s="235"/>
      <c r="BA70" s="235"/>
      <c r="BB70" s="235"/>
      <c r="BC70" s="235"/>
      <c r="BD70" s="237"/>
      <c r="BE70" s="232"/>
      <c r="BF70" s="232"/>
      <c r="BG70" s="232"/>
      <c r="BH70" s="81"/>
      <c r="BI70" s="233"/>
      <c r="BJ70" s="240"/>
      <c r="BK70" s="235"/>
      <c r="BL70" s="235"/>
      <c r="BM70" s="235"/>
      <c r="BN70" s="235"/>
      <c r="BO70" s="235"/>
      <c r="BP70" s="237"/>
      <c r="BQ70" s="232"/>
      <c r="BR70" s="232"/>
      <c r="BS70" s="232"/>
      <c r="BT70" s="81"/>
      <c r="BU70" s="233"/>
      <c r="BV70" s="240"/>
      <c r="BW70" s="235"/>
      <c r="BX70" s="235"/>
      <c r="BY70" s="235"/>
      <c r="BZ70" s="235"/>
      <c r="CA70" s="235"/>
      <c r="CB70" s="237"/>
      <c r="CC70" s="232"/>
      <c r="CD70" s="232"/>
      <c r="CE70" s="232"/>
      <c r="CF70" s="81"/>
      <c r="CG70" s="233"/>
      <c r="CH70" s="240"/>
      <c r="CI70" s="235"/>
      <c r="CJ70" s="235"/>
      <c r="CK70" s="235"/>
      <c r="CL70" s="235"/>
      <c r="CM70" s="235"/>
      <c r="CN70" s="237"/>
      <c r="CO70" s="232"/>
      <c r="CP70" s="232"/>
      <c r="CQ70" s="232"/>
      <c r="CR70" s="81"/>
      <c r="CS70" s="233"/>
      <c r="CT70" s="240"/>
      <c r="CU70" s="235"/>
      <c r="CV70" s="235"/>
      <c r="CW70" s="235"/>
      <c r="CX70" s="235"/>
      <c r="CY70" s="235"/>
      <c r="CZ70" s="237"/>
      <c r="DA70" s="232"/>
      <c r="DB70" s="232"/>
      <c r="DC70" s="232"/>
      <c r="DD70" s="81"/>
      <c r="DE70" s="233"/>
      <c r="DF70" s="240"/>
      <c r="DG70" s="235"/>
      <c r="DH70" s="235"/>
      <c r="DI70" s="235"/>
      <c r="DJ70" s="235"/>
      <c r="DK70" s="235"/>
      <c r="DL70" s="237"/>
      <c r="DM70" s="232"/>
      <c r="DN70" s="232"/>
      <c r="DO70" s="232"/>
      <c r="DP70" s="81"/>
      <c r="DQ70" s="233"/>
      <c r="DR70" s="240"/>
      <c r="DS70" s="235"/>
      <c r="DT70" s="235"/>
      <c r="DU70" s="235"/>
      <c r="DV70" s="235"/>
      <c r="DW70" s="235"/>
      <c r="DX70" s="237"/>
      <c r="DY70" s="232"/>
      <c r="DZ70" s="232"/>
      <c r="EA70" s="232"/>
      <c r="EB70" s="81"/>
      <c r="EC70" s="233"/>
      <c r="ED70" s="240"/>
      <c r="EE70" s="235"/>
      <c r="EF70" s="235"/>
      <c r="EG70" s="235"/>
      <c r="EH70" s="235"/>
      <c r="EI70" s="235"/>
      <c r="EJ70" s="237"/>
      <c r="EK70" s="232"/>
      <c r="EL70" s="232"/>
      <c r="EM70" s="232"/>
      <c r="EN70" s="81"/>
      <c r="EO70" s="233"/>
      <c r="EP70" s="240"/>
      <c r="EQ70" s="235"/>
      <c r="ER70" s="235"/>
      <c r="ES70" s="235"/>
      <c r="ET70" s="235"/>
      <c r="EU70" s="235"/>
      <c r="EV70" s="237"/>
      <c r="EW70" s="232"/>
      <c r="EX70" s="232"/>
      <c r="EY70" s="232"/>
      <c r="EZ70" s="81"/>
      <c r="FA70" s="233"/>
      <c r="FB70" s="240"/>
      <c r="FC70" s="235"/>
      <c r="FD70" s="235"/>
      <c r="FE70" s="235"/>
      <c r="FF70" s="235"/>
      <c r="FG70" s="235"/>
      <c r="FH70" s="237"/>
      <c r="FI70" s="232"/>
      <c r="FJ70" s="232"/>
      <c r="FK70" s="232"/>
      <c r="FL70" s="81"/>
      <c r="FM70" s="233"/>
      <c r="FN70" s="240"/>
      <c r="FO70" s="235"/>
      <c r="FP70" s="235"/>
      <c r="FQ70" s="235"/>
      <c r="FR70" s="235"/>
      <c r="FS70" s="235"/>
      <c r="FT70" s="237"/>
      <c r="FU70" s="232"/>
      <c r="FV70" s="232"/>
      <c r="FW70" s="232"/>
      <c r="FX70" s="81"/>
      <c r="FY70" s="233"/>
      <c r="FZ70" s="240"/>
      <c r="GA70" s="235"/>
      <c r="GB70" s="235"/>
      <c r="GC70" s="235"/>
      <c r="GD70" s="235"/>
      <c r="GE70" s="235"/>
      <c r="GF70" s="237"/>
      <c r="GG70" s="232"/>
      <c r="GH70" s="232"/>
      <c r="GI70" s="232"/>
      <c r="GJ70" s="81"/>
      <c r="GK70" s="233"/>
      <c r="GL70" s="240"/>
      <c r="GM70" s="235"/>
      <c r="GN70" s="235"/>
      <c r="GO70" s="235"/>
      <c r="GP70" s="235"/>
      <c r="GQ70" s="235"/>
      <c r="GR70" s="237"/>
      <c r="GS70" s="232"/>
      <c r="GT70" s="232"/>
      <c r="GU70" s="232"/>
      <c r="GV70" s="81"/>
      <c r="GW70" s="233"/>
      <c r="GX70" s="240"/>
      <c r="GY70" s="235"/>
      <c r="GZ70" s="235"/>
      <c r="HA70" s="235"/>
      <c r="HB70" s="235"/>
      <c r="HC70" s="235"/>
      <c r="HD70" s="237"/>
      <c r="HE70" s="232"/>
      <c r="HF70" s="232"/>
      <c r="HG70" s="232"/>
      <c r="HH70" s="81"/>
      <c r="HI70" s="75"/>
    </row>
    <row r="71" ht="15.75" customHeight="1">
      <c r="A71" s="241" t="s">
        <v>77</v>
      </c>
      <c r="B71" s="127"/>
      <c r="C71" s="242">
        <f>SUM(C64:C70)</f>
        <v>0</v>
      </c>
      <c r="D71" s="243"/>
      <c r="E71" s="242">
        <f>SUM(E64:E70)</f>
        <v>0</v>
      </c>
      <c r="F71" s="244"/>
      <c r="G71" s="242">
        <f t="shared" ref="G71:H71" si="343">SUM(G64:G70)</f>
        <v>0</v>
      </c>
      <c r="H71" s="245">
        <f t="shared" si="343"/>
        <v>0</v>
      </c>
      <c r="I71" s="246"/>
      <c r="J71" s="246"/>
      <c r="K71" s="246"/>
      <c r="L71" s="133"/>
      <c r="M71" s="241" t="s">
        <v>77</v>
      </c>
      <c r="N71" s="127"/>
      <c r="O71" s="242">
        <f>SUM(O64:O70)</f>
        <v>0</v>
      </c>
      <c r="P71" s="243"/>
      <c r="Q71" s="242">
        <f>SUM(Q64:Q70)</f>
        <v>0</v>
      </c>
      <c r="R71" s="244"/>
      <c r="S71" s="242">
        <f t="shared" ref="S71:T71" si="344">SUM(S64:S70)</f>
        <v>0</v>
      </c>
      <c r="T71" s="245">
        <f t="shared" si="344"/>
        <v>0</v>
      </c>
      <c r="U71" s="246"/>
      <c r="V71" s="246"/>
      <c r="W71" s="246"/>
      <c r="X71" s="133"/>
      <c r="Y71" s="241" t="s">
        <v>77</v>
      </c>
      <c r="Z71" s="127"/>
      <c r="AA71" s="242">
        <f>SUM(AA64:AA70)</f>
        <v>0</v>
      </c>
      <c r="AB71" s="243"/>
      <c r="AC71" s="242">
        <f>SUM(AC64:AC70)</f>
        <v>0</v>
      </c>
      <c r="AD71" s="244"/>
      <c r="AE71" s="242">
        <f t="shared" ref="AE71:AF71" si="345">SUM(AE64:AE70)</f>
        <v>0</v>
      </c>
      <c r="AF71" s="245">
        <f t="shared" si="345"/>
        <v>0</v>
      </c>
      <c r="AG71" s="246"/>
      <c r="AH71" s="246"/>
      <c r="AI71" s="246"/>
      <c r="AJ71" s="133"/>
      <c r="AK71" s="241" t="s">
        <v>77</v>
      </c>
      <c r="AL71" s="127"/>
      <c r="AM71" s="242">
        <f>SUM(AM64:AM70)</f>
        <v>0</v>
      </c>
      <c r="AN71" s="243"/>
      <c r="AO71" s="242">
        <f>SUM(AO64:AO70)</f>
        <v>0</v>
      </c>
      <c r="AP71" s="244"/>
      <c r="AQ71" s="242">
        <f t="shared" ref="AQ71:AR71" si="346">SUM(AQ64:AQ70)</f>
        <v>0</v>
      </c>
      <c r="AR71" s="245">
        <f t="shared" si="346"/>
        <v>0</v>
      </c>
      <c r="AS71" s="246"/>
      <c r="AT71" s="246"/>
      <c r="AU71" s="246"/>
      <c r="AV71" s="133"/>
      <c r="AW71" s="241" t="s">
        <v>77</v>
      </c>
      <c r="AX71" s="127"/>
      <c r="AY71" s="242">
        <f>SUM(AY64:AY70)</f>
        <v>0</v>
      </c>
      <c r="AZ71" s="243"/>
      <c r="BA71" s="242">
        <f>SUM(BA64:BA70)</f>
        <v>0</v>
      </c>
      <c r="BB71" s="244"/>
      <c r="BC71" s="242">
        <f t="shared" ref="BC71:BD71" si="347">SUM(BC64:BC70)</f>
        <v>0</v>
      </c>
      <c r="BD71" s="245">
        <f t="shared" si="347"/>
        <v>0</v>
      </c>
      <c r="BE71" s="246"/>
      <c r="BF71" s="246"/>
      <c r="BG71" s="246"/>
      <c r="BH71" s="133"/>
      <c r="BI71" s="241" t="s">
        <v>77</v>
      </c>
      <c r="BJ71" s="127"/>
      <c r="BK71" s="242">
        <f>SUM(BK64:BK70)</f>
        <v>0</v>
      </c>
      <c r="BL71" s="243"/>
      <c r="BM71" s="242">
        <f>SUM(BM64:BM70)</f>
        <v>0</v>
      </c>
      <c r="BN71" s="244"/>
      <c r="BO71" s="242">
        <f t="shared" ref="BO71:BP71" si="348">SUM(BO64:BO70)</f>
        <v>0</v>
      </c>
      <c r="BP71" s="245">
        <f t="shared" si="348"/>
        <v>0</v>
      </c>
      <c r="BQ71" s="246"/>
      <c r="BR71" s="246"/>
      <c r="BS71" s="246"/>
      <c r="BT71" s="133"/>
      <c r="BU71" s="241" t="s">
        <v>77</v>
      </c>
      <c r="BV71" s="127"/>
      <c r="BW71" s="242">
        <f>SUM(BW64:BW70)</f>
        <v>0</v>
      </c>
      <c r="BX71" s="243"/>
      <c r="BY71" s="242">
        <f>SUM(BY64:BY70)</f>
        <v>0</v>
      </c>
      <c r="BZ71" s="244"/>
      <c r="CA71" s="242">
        <f t="shared" ref="CA71:CB71" si="349">SUM(CA64:CA70)</f>
        <v>0</v>
      </c>
      <c r="CB71" s="245">
        <f t="shared" si="349"/>
        <v>0</v>
      </c>
      <c r="CC71" s="246"/>
      <c r="CD71" s="246"/>
      <c r="CE71" s="246"/>
      <c r="CF71" s="133"/>
      <c r="CG71" s="241" t="s">
        <v>77</v>
      </c>
      <c r="CH71" s="127"/>
      <c r="CI71" s="242">
        <f>SUM(CI64:CI70)</f>
        <v>0</v>
      </c>
      <c r="CJ71" s="243"/>
      <c r="CK71" s="242">
        <f>SUM(CK64:CK70)</f>
        <v>0</v>
      </c>
      <c r="CL71" s="244"/>
      <c r="CM71" s="242">
        <f t="shared" ref="CM71:CN71" si="350">SUM(CM64:CM70)</f>
        <v>0</v>
      </c>
      <c r="CN71" s="245">
        <f t="shared" si="350"/>
        <v>0</v>
      </c>
      <c r="CO71" s="246"/>
      <c r="CP71" s="246"/>
      <c r="CQ71" s="246"/>
      <c r="CR71" s="133"/>
      <c r="CS71" s="241" t="s">
        <v>77</v>
      </c>
      <c r="CT71" s="127"/>
      <c r="CU71" s="242">
        <f>SUM(CU64:CU70)</f>
        <v>0</v>
      </c>
      <c r="CV71" s="243"/>
      <c r="CW71" s="242">
        <f>SUM(CW64:CW70)</f>
        <v>0</v>
      </c>
      <c r="CX71" s="244"/>
      <c r="CY71" s="242">
        <f t="shared" ref="CY71:CZ71" si="351">SUM(CY64:CY70)</f>
        <v>0</v>
      </c>
      <c r="CZ71" s="245">
        <f t="shared" si="351"/>
        <v>0</v>
      </c>
      <c r="DA71" s="246"/>
      <c r="DB71" s="246"/>
      <c r="DC71" s="246"/>
      <c r="DD71" s="133"/>
      <c r="DE71" s="241" t="s">
        <v>77</v>
      </c>
      <c r="DF71" s="127"/>
      <c r="DG71" s="242">
        <f>SUM(DG64:DG70)</f>
        <v>4811715.773</v>
      </c>
      <c r="DH71" s="243"/>
      <c r="DI71" s="242">
        <f>SUM(DI64:DI70)</f>
        <v>55902.83174</v>
      </c>
      <c r="DJ71" s="244"/>
      <c r="DK71" s="242">
        <f t="shared" ref="DK71:DL71" si="352">SUM(DK64:DK70)</f>
        <v>9344.866394</v>
      </c>
      <c r="DL71" s="245">
        <f t="shared" si="352"/>
        <v>46557.96535</v>
      </c>
      <c r="DM71" s="246"/>
      <c r="DN71" s="246"/>
      <c r="DO71" s="246"/>
      <c r="DP71" s="133"/>
      <c r="DQ71" s="241" t="s">
        <v>77</v>
      </c>
      <c r="DR71" s="127"/>
      <c r="DS71" s="242">
        <f>SUM(DS64:DS70)</f>
        <v>4787151.893</v>
      </c>
      <c r="DT71" s="243"/>
      <c r="DU71" s="242">
        <f>SUM(DU64:DU70)</f>
        <v>55617.44697</v>
      </c>
      <c r="DV71" s="244"/>
      <c r="DW71" s="242">
        <f t="shared" ref="DW71:DX71" si="353">SUM(DW64:DW70)</f>
        <v>9297.160714</v>
      </c>
      <c r="DX71" s="245">
        <f t="shared" si="353"/>
        <v>46320.28625</v>
      </c>
      <c r="DY71" s="246"/>
      <c r="DZ71" s="246"/>
      <c r="EA71" s="246"/>
      <c r="EB71" s="133"/>
      <c r="EC71" s="241" t="s">
        <v>77</v>
      </c>
      <c r="ED71" s="127"/>
      <c r="EE71" s="242">
        <f>SUM(EE64:EE70)</f>
        <v>5098655.787</v>
      </c>
      <c r="EF71" s="243"/>
      <c r="EG71" s="242">
        <f>SUM(EG64:EG70)</f>
        <v>59236.51978</v>
      </c>
      <c r="EH71" s="244"/>
      <c r="EI71" s="242">
        <f t="shared" ref="EI71:EJ71" si="354">SUM(EI64:EI70)</f>
        <v>9902.134574</v>
      </c>
      <c r="EJ71" s="245">
        <f t="shared" si="354"/>
        <v>49334.38521</v>
      </c>
      <c r="EK71" s="246"/>
      <c r="EL71" s="246"/>
      <c r="EM71" s="246"/>
      <c r="EN71" s="133"/>
      <c r="EO71" s="241" t="s">
        <v>77</v>
      </c>
      <c r="EP71" s="127"/>
      <c r="EQ71" s="242">
        <f>SUM(EQ64:EQ70)</f>
        <v>5520635.943</v>
      </c>
      <c r="ER71" s="243"/>
      <c r="ES71" s="242">
        <f>SUM(ES64:ES70)</f>
        <v>64139.11312</v>
      </c>
      <c r="ET71" s="244"/>
      <c r="EU71" s="242">
        <f t="shared" ref="EU71:EV71" si="355">SUM(EU64:EU70)</f>
        <v>10721.66515</v>
      </c>
      <c r="EV71" s="245">
        <f t="shared" si="355"/>
        <v>53417.44797</v>
      </c>
      <c r="EW71" s="246"/>
      <c r="EX71" s="246"/>
      <c r="EY71" s="246"/>
      <c r="EZ71" s="133"/>
      <c r="FA71" s="241" t="s">
        <v>77</v>
      </c>
      <c r="FB71" s="127"/>
      <c r="FC71" s="242">
        <f>SUM(FC64:FC70)</f>
        <v>5984101.971</v>
      </c>
      <c r="FD71" s="243"/>
      <c r="FE71" s="242">
        <f>SUM(FE64:FE70)</f>
        <v>69523.69205</v>
      </c>
      <c r="FF71" s="244"/>
      <c r="FG71" s="242">
        <f t="shared" ref="FG71:FH71" si="356">SUM(FG64:FG70)</f>
        <v>11621.76572</v>
      </c>
      <c r="FH71" s="245">
        <f t="shared" si="356"/>
        <v>57901.92633</v>
      </c>
      <c r="FI71" s="246"/>
      <c r="FJ71" s="246"/>
      <c r="FK71" s="246"/>
      <c r="FL71" s="133"/>
      <c r="FM71" s="241" t="s">
        <v>77</v>
      </c>
      <c r="FN71" s="127"/>
      <c r="FO71" s="242">
        <f>SUM(FO64:FO70)</f>
        <v>7294357.149</v>
      </c>
      <c r="FP71" s="243"/>
      <c r="FQ71" s="242">
        <f>SUM(FQ64:FQ70)</f>
        <v>84746.32327</v>
      </c>
      <c r="FR71" s="244"/>
      <c r="FS71" s="242">
        <f t="shared" ref="FS71:FT71" si="357">SUM(FS64:FS70)</f>
        <v>14166.42134</v>
      </c>
      <c r="FT71" s="245">
        <f t="shared" si="357"/>
        <v>70579.90193</v>
      </c>
      <c r="FU71" s="246"/>
      <c r="FV71" s="246"/>
      <c r="FW71" s="246"/>
      <c r="FX71" s="133"/>
      <c r="FY71" s="241" t="s">
        <v>77</v>
      </c>
      <c r="FZ71" s="127"/>
      <c r="GA71" s="242">
        <f>SUM(GA64:GA70)</f>
        <v>8347374.416</v>
      </c>
      <c r="GB71" s="243"/>
      <c r="GC71" s="242">
        <f>SUM(GC64:GC70)</f>
        <v>96980.34744</v>
      </c>
      <c r="GD71" s="244"/>
      <c r="GE71" s="242">
        <f t="shared" ref="GE71:GF71" si="358">SUM(GE64:GE70)</f>
        <v>16211.49343</v>
      </c>
      <c r="GF71" s="245">
        <f t="shared" si="358"/>
        <v>80768.85401</v>
      </c>
      <c r="GG71" s="246"/>
      <c r="GH71" s="246"/>
      <c r="GI71" s="246"/>
      <c r="GJ71" s="133"/>
      <c r="GK71" s="241" t="s">
        <v>77</v>
      </c>
      <c r="GL71" s="127"/>
      <c r="GM71" s="242">
        <f>SUM(GM64:GM70)</f>
        <v>0</v>
      </c>
      <c r="GN71" s="243"/>
      <c r="GO71" s="242">
        <f>SUM(GO64:GO70)</f>
        <v>0</v>
      </c>
      <c r="GP71" s="244"/>
      <c r="GQ71" s="242">
        <f t="shared" ref="GQ71:GR71" si="359">SUM(GQ64:GQ70)</f>
        <v>0</v>
      </c>
      <c r="GR71" s="245">
        <f t="shared" si="359"/>
        <v>0</v>
      </c>
      <c r="GS71" s="246"/>
      <c r="GT71" s="246"/>
      <c r="GU71" s="246"/>
      <c r="GV71" s="133"/>
      <c r="GW71" s="241" t="s">
        <v>77</v>
      </c>
      <c r="GX71" s="127"/>
      <c r="GY71" s="242">
        <f>SUM(GY64:GY70)</f>
        <v>0</v>
      </c>
      <c r="GZ71" s="243"/>
      <c r="HA71" s="242">
        <f>SUM(HA64:HA70)</f>
        <v>0</v>
      </c>
      <c r="HB71" s="244"/>
      <c r="HC71" s="242">
        <f t="shared" ref="HC71:HD71" si="360">SUM(HC64:HC70)</f>
        <v>0</v>
      </c>
      <c r="HD71" s="245">
        <f t="shared" si="360"/>
        <v>0</v>
      </c>
      <c r="HE71" s="246"/>
      <c r="HF71" s="246"/>
      <c r="HG71" s="246"/>
      <c r="HH71" s="133"/>
      <c r="HI71" s="132"/>
    </row>
    <row r="72" ht="15.75" customHeight="1">
      <c r="A72" s="233"/>
      <c r="B72" s="234"/>
      <c r="C72" s="234"/>
      <c r="D72" s="234"/>
      <c r="E72" s="235"/>
      <c r="F72" s="235"/>
      <c r="G72" s="235"/>
      <c r="H72" s="247"/>
      <c r="I72" s="248"/>
      <c r="J72" s="248"/>
      <c r="K72" s="248"/>
      <c r="L72" s="136"/>
      <c r="M72" s="233"/>
      <c r="N72" s="234"/>
      <c r="O72" s="234"/>
      <c r="P72" s="234"/>
      <c r="Q72" s="235"/>
      <c r="R72" s="235"/>
      <c r="S72" s="235"/>
      <c r="T72" s="247"/>
      <c r="U72" s="248"/>
      <c r="V72" s="248"/>
      <c r="W72" s="248"/>
      <c r="X72" s="136"/>
      <c r="Y72" s="233"/>
      <c r="Z72" s="234"/>
      <c r="AA72" s="234"/>
      <c r="AB72" s="234"/>
      <c r="AC72" s="235"/>
      <c r="AD72" s="235"/>
      <c r="AE72" s="235"/>
      <c r="AF72" s="247"/>
      <c r="AG72" s="248"/>
      <c r="AH72" s="248"/>
      <c r="AI72" s="248"/>
      <c r="AJ72" s="136"/>
      <c r="AK72" s="233"/>
      <c r="AL72" s="234"/>
      <c r="AM72" s="234"/>
      <c r="AN72" s="234"/>
      <c r="AO72" s="235"/>
      <c r="AP72" s="235"/>
      <c r="AQ72" s="235"/>
      <c r="AR72" s="247"/>
      <c r="AS72" s="248"/>
      <c r="AT72" s="248"/>
      <c r="AU72" s="248"/>
      <c r="AV72" s="136"/>
      <c r="AW72" s="233"/>
      <c r="AX72" s="234"/>
      <c r="AY72" s="234"/>
      <c r="AZ72" s="234"/>
      <c r="BA72" s="235"/>
      <c r="BB72" s="235"/>
      <c r="BC72" s="235"/>
      <c r="BD72" s="247"/>
      <c r="BE72" s="248"/>
      <c r="BF72" s="248"/>
      <c r="BG72" s="248"/>
      <c r="BH72" s="136"/>
      <c r="BI72" s="233"/>
      <c r="BJ72" s="234"/>
      <c r="BK72" s="234"/>
      <c r="BL72" s="234"/>
      <c r="BM72" s="235"/>
      <c r="BN72" s="235"/>
      <c r="BO72" s="235"/>
      <c r="BP72" s="247"/>
      <c r="BQ72" s="248"/>
      <c r="BR72" s="248"/>
      <c r="BS72" s="248"/>
      <c r="BT72" s="136"/>
      <c r="BU72" s="233"/>
      <c r="BV72" s="234"/>
      <c r="BW72" s="234"/>
      <c r="BX72" s="234"/>
      <c r="BY72" s="235"/>
      <c r="BZ72" s="235"/>
      <c r="CA72" s="235"/>
      <c r="CB72" s="247"/>
      <c r="CC72" s="248"/>
      <c r="CD72" s="248"/>
      <c r="CE72" s="248"/>
      <c r="CF72" s="136"/>
      <c r="CG72" s="233"/>
      <c r="CH72" s="234"/>
      <c r="CI72" s="234"/>
      <c r="CJ72" s="234"/>
      <c r="CK72" s="235"/>
      <c r="CL72" s="235"/>
      <c r="CM72" s="235"/>
      <c r="CN72" s="247"/>
      <c r="CO72" s="248"/>
      <c r="CP72" s="248"/>
      <c r="CQ72" s="248"/>
      <c r="CR72" s="136"/>
      <c r="CS72" s="233"/>
      <c r="CT72" s="234"/>
      <c r="CU72" s="234"/>
      <c r="CV72" s="234"/>
      <c r="CW72" s="235"/>
      <c r="CX72" s="235"/>
      <c r="CY72" s="235"/>
      <c r="CZ72" s="247"/>
      <c r="DA72" s="248"/>
      <c r="DB72" s="248"/>
      <c r="DC72" s="248"/>
      <c r="DD72" s="136"/>
      <c r="DE72" s="233"/>
      <c r="DF72" s="234"/>
      <c r="DG72" s="234"/>
      <c r="DH72" s="234"/>
      <c r="DI72" s="235"/>
      <c r="DJ72" s="235"/>
      <c r="DK72" s="235"/>
      <c r="DL72" s="247"/>
      <c r="DM72" s="248"/>
      <c r="DN72" s="248"/>
      <c r="DO72" s="248"/>
      <c r="DP72" s="136"/>
      <c r="DQ72" s="233"/>
      <c r="DR72" s="234"/>
      <c r="DS72" s="234"/>
      <c r="DT72" s="234"/>
      <c r="DU72" s="235"/>
      <c r="DV72" s="235"/>
      <c r="DW72" s="235"/>
      <c r="DX72" s="247"/>
      <c r="DY72" s="248"/>
      <c r="DZ72" s="248"/>
      <c r="EA72" s="248"/>
      <c r="EB72" s="136"/>
      <c r="EC72" s="233"/>
      <c r="ED72" s="234"/>
      <c r="EE72" s="234"/>
      <c r="EF72" s="234"/>
      <c r="EG72" s="235"/>
      <c r="EH72" s="235"/>
      <c r="EI72" s="235"/>
      <c r="EJ72" s="247"/>
      <c r="EK72" s="248"/>
      <c r="EL72" s="248"/>
      <c r="EM72" s="248"/>
      <c r="EN72" s="136"/>
      <c r="EO72" s="233"/>
      <c r="EP72" s="234"/>
      <c r="EQ72" s="234"/>
      <c r="ER72" s="234"/>
      <c r="ES72" s="235"/>
      <c r="ET72" s="235"/>
      <c r="EU72" s="235"/>
      <c r="EV72" s="247"/>
      <c r="EW72" s="248"/>
      <c r="EX72" s="248"/>
      <c r="EY72" s="248"/>
      <c r="EZ72" s="136"/>
      <c r="FA72" s="233"/>
      <c r="FB72" s="234"/>
      <c r="FC72" s="234"/>
      <c r="FD72" s="234"/>
      <c r="FE72" s="235"/>
      <c r="FF72" s="235"/>
      <c r="FG72" s="235"/>
      <c r="FH72" s="247"/>
      <c r="FI72" s="248"/>
      <c r="FJ72" s="248"/>
      <c r="FK72" s="248"/>
      <c r="FL72" s="136"/>
      <c r="FM72" s="233"/>
      <c r="FN72" s="234"/>
      <c r="FO72" s="234"/>
      <c r="FP72" s="234"/>
      <c r="FQ72" s="235"/>
      <c r="FR72" s="235"/>
      <c r="FS72" s="235"/>
      <c r="FT72" s="247"/>
      <c r="FU72" s="248"/>
      <c r="FV72" s="248"/>
      <c r="FW72" s="248"/>
      <c r="FX72" s="136"/>
      <c r="FY72" s="233"/>
      <c r="FZ72" s="234"/>
      <c r="GA72" s="234"/>
      <c r="GB72" s="234"/>
      <c r="GC72" s="235"/>
      <c r="GD72" s="235"/>
      <c r="GE72" s="235"/>
      <c r="GF72" s="247"/>
      <c r="GG72" s="248"/>
      <c r="GH72" s="248"/>
      <c r="GI72" s="248"/>
      <c r="GJ72" s="136"/>
      <c r="GK72" s="233"/>
      <c r="GL72" s="234"/>
      <c r="GM72" s="234"/>
      <c r="GN72" s="234"/>
      <c r="GO72" s="235"/>
      <c r="GP72" s="235"/>
      <c r="GQ72" s="235"/>
      <c r="GR72" s="247"/>
      <c r="GS72" s="248"/>
      <c r="GT72" s="248"/>
      <c r="GU72" s="248"/>
      <c r="GV72" s="136"/>
      <c r="GW72" s="233"/>
      <c r="GX72" s="234"/>
      <c r="GY72" s="234"/>
      <c r="GZ72" s="234"/>
      <c r="HA72" s="235"/>
      <c r="HB72" s="235"/>
      <c r="HC72" s="235"/>
      <c r="HD72" s="247"/>
      <c r="HE72" s="248"/>
      <c r="HF72" s="248"/>
      <c r="HG72" s="248"/>
      <c r="HH72" s="136"/>
      <c r="HI72" s="135"/>
    </row>
    <row r="73" ht="15.75" customHeight="1">
      <c r="A73" s="233"/>
      <c r="B73" s="249" t="str">
        <f>"Adjusment "&amp;" %"</f>
        <v>Adjusment  %</v>
      </c>
      <c r="C73" s="250"/>
      <c r="D73" s="251"/>
      <c r="E73" s="252">
        <f>C73/100*E71</f>
        <v>0</v>
      </c>
      <c r="F73" s="253"/>
      <c r="G73" s="235">
        <f>IFERROR(+E73-H73,"")</f>
        <v>0</v>
      </c>
      <c r="H73" s="254">
        <f>C73/100*H71</f>
        <v>0</v>
      </c>
      <c r="I73" s="232"/>
      <c r="J73" s="232"/>
      <c r="K73" s="232"/>
      <c r="L73" s="81"/>
      <c r="M73" s="233"/>
      <c r="N73" s="249" t="str">
        <f>"Adjusment "&amp;" %"</f>
        <v>Adjusment  %</v>
      </c>
      <c r="O73" s="250"/>
      <c r="P73" s="251"/>
      <c r="Q73" s="252">
        <f>O73/100*Q71</f>
        <v>0</v>
      </c>
      <c r="R73" s="253"/>
      <c r="S73" s="235">
        <f>IFERROR(+Q73-T73,"")</f>
        <v>0</v>
      </c>
      <c r="T73" s="254">
        <f>O73/100*T71</f>
        <v>0</v>
      </c>
      <c r="U73" s="232"/>
      <c r="V73" s="232"/>
      <c r="W73" s="232"/>
      <c r="X73" s="81"/>
      <c r="Y73" s="233"/>
      <c r="Z73" s="249" t="str">
        <f>"Adjusment "&amp;" %"</f>
        <v>Adjusment  %</v>
      </c>
      <c r="AA73" s="250"/>
      <c r="AB73" s="251"/>
      <c r="AC73" s="252">
        <f>AA73/100*AC71</f>
        <v>0</v>
      </c>
      <c r="AD73" s="253"/>
      <c r="AE73" s="235">
        <f>IFERROR(+AC73-AF73,"")</f>
        <v>0</v>
      </c>
      <c r="AF73" s="254">
        <f>AA73/100*AF71</f>
        <v>0</v>
      </c>
      <c r="AG73" s="232"/>
      <c r="AH73" s="232"/>
      <c r="AI73" s="232"/>
      <c r="AJ73" s="81"/>
      <c r="AK73" s="233"/>
      <c r="AL73" s="249" t="str">
        <f>"Adjusment "&amp;" %"</f>
        <v>Adjusment  %</v>
      </c>
      <c r="AM73" s="250"/>
      <c r="AN73" s="251"/>
      <c r="AO73" s="252">
        <f>AM73/100*AO71</f>
        <v>0</v>
      </c>
      <c r="AP73" s="253"/>
      <c r="AQ73" s="235">
        <f>IFERROR(+AO73-AR73,"")</f>
        <v>0</v>
      </c>
      <c r="AR73" s="254">
        <f>AM73/100*AR71</f>
        <v>0</v>
      </c>
      <c r="AS73" s="232"/>
      <c r="AT73" s="232"/>
      <c r="AU73" s="232"/>
      <c r="AV73" s="81"/>
      <c r="AW73" s="233"/>
      <c r="AX73" s="249" t="str">
        <f>"Adjusment "&amp;" %"</f>
        <v>Adjusment  %</v>
      </c>
      <c r="AY73" s="250"/>
      <c r="AZ73" s="251"/>
      <c r="BA73" s="252">
        <f>AY73/100*BA71</f>
        <v>0</v>
      </c>
      <c r="BB73" s="253"/>
      <c r="BC73" s="235">
        <f>IFERROR(+BA73-BD73,"")</f>
        <v>0</v>
      </c>
      <c r="BD73" s="254">
        <f>AY73/100*BD71</f>
        <v>0</v>
      </c>
      <c r="BE73" s="232"/>
      <c r="BF73" s="232"/>
      <c r="BG73" s="232"/>
      <c r="BH73" s="81"/>
      <c r="BI73" s="233"/>
      <c r="BJ73" s="249" t="str">
        <f>"Adjusment "&amp;" %"</f>
        <v>Adjusment  %</v>
      </c>
      <c r="BK73" s="250"/>
      <c r="BL73" s="251"/>
      <c r="BM73" s="252">
        <f>BK73/100*BM71</f>
        <v>0</v>
      </c>
      <c r="BN73" s="253"/>
      <c r="BO73" s="235">
        <f>IFERROR(+BM73-BP73,"")</f>
        <v>0</v>
      </c>
      <c r="BP73" s="254">
        <f>BK73/100*BP71</f>
        <v>0</v>
      </c>
      <c r="BQ73" s="232"/>
      <c r="BR73" s="232"/>
      <c r="BS73" s="232"/>
      <c r="BT73" s="81"/>
      <c r="BU73" s="233"/>
      <c r="BV73" s="249" t="str">
        <f>"Adjusment "&amp;" %"</f>
        <v>Adjusment  %</v>
      </c>
      <c r="BW73" s="250"/>
      <c r="BX73" s="251"/>
      <c r="BY73" s="252">
        <f>BW73/100*BY71</f>
        <v>0</v>
      </c>
      <c r="BZ73" s="253"/>
      <c r="CA73" s="235">
        <f>IFERROR(+BY73-CB73,"")</f>
        <v>0</v>
      </c>
      <c r="CB73" s="254">
        <f>BW73/100*CB71</f>
        <v>0</v>
      </c>
      <c r="CC73" s="232"/>
      <c r="CD73" s="232"/>
      <c r="CE73" s="232"/>
      <c r="CF73" s="81"/>
      <c r="CG73" s="233"/>
      <c r="CH73" s="249" t="str">
        <f>"Adjusment "&amp;" %"</f>
        <v>Adjusment  %</v>
      </c>
      <c r="CI73" s="250"/>
      <c r="CJ73" s="251"/>
      <c r="CK73" s="252">
        <f>CI73/100*CK71</f>
        <v>0</v>
      </c>
      <c r="CL73" s="253"/>
      <c r="CM73" s="235">
        <f>IFERROR(+CK73-CN73,"")</f>
        <v>0</v>
      </c>
      <c r="CN73" s="254">
        <f>CI73/100*CN71</f>
        <v>0</v>
      </c>
      <c r="CO73" s="232"/>
      <c r="CP73" s="232"/>
      <c r="CQ73" s="232"/>
      <c r="CR73" s="81"/>
      <c r="CS73" s="233"/>
      <c r="CT73" s="249" t="str">
        <f>"Adjusment "&amp;" %"</f>
        <v>Adjusment  %</v>
      </c>
      <c r="CU73" s="250"/>
      <c r="CV73" s="251"/>
      <c r="CW73" s="252">
        <f>CU73/100*CW71</f>
        <v>0</v>
      </c>
      <c r="CX73" s="253"/>
      <c r="CY73" s="235">
        <f>IFERROR(+CW73-CZ73,"")</f>
        <v>0</v>
      </c>
      <c r="CZ73" s="254">
        <f>CU73/100*CZ71</f>
        <v>0</v>
      </c>
      <c r="DA73" s="232"/>
      <c r="DB73" s="232"/>
      <c r="DC73" s="232"/>
      <c r="DD73" s="81"/>
      <c r="DE73" s="233"/>
      <c r="DF73" s="249" t="str">
        <f>"Adjusment "&amp;" %"</f>
        <v>Adjusment  %</v>
      </c>
      <c r="DG73" s="250"/>
      <c r="DH73" s="251"/>
      <c r="DI73" s="252">
        <f>DG73/100*DI71</f>
        <v>0</v>
      </c>
      <c r="DJ73" s="253"/>
      <c r="DK73" s="235">
        <f>IFERROR(+DI73-DL73,"")</f>
        <v>0</v>
      </c>
      <c r="DL73" s="254">
        <f>DG73/100*DL71</f>
        <v>0</v>
      </c>
      <c r="DM73" s="232"/>
      <c r="DN73" s="232"/>
      <c r="DO73" s="232"/>
      <c r="DP73" s="81"/>
      <c r="DQ73" s="233"/>
      <c r="DR73" s="249" t="str">
        <f>"Adjusment "&amp;" %"</f>
        <v>Adjusment  %</v>
      </c>
      <c r="DS73" s="250"/>
      <c r="DT73" s="251"/>
      <c r="DU73" s="252">
        <f>DS73/100*DU71</f>
        <v>0</v>
      </c>
      <c r="DV73" s="253"/>
      <c r="DW73" s="235">
        <f>IFERROR(+DU73-DX73,"")</f>
        <v>0</v>
      </c>
      <c r="DX73" s="254">
        <f>DS73/100*DX71</f>
        <v>0</v>
      </c>
      <c r="DY73" s="232"/>
      <c r="DZ73" s="232"/>
      <c r="EA73" s="232"/>
      <c r="EB73" s="81"/>
      <c r="EC73" s="233"/>
      <c r="ED73" s="249" t="str">
        <f>"Adjusment "&amp;" %"</f>
        <v>Adjusment  %</v>
      </c>
      <c r="EE73" s="250"/>
      <c r="EF73" s="251"/>
      <c r="EG73" s="252">
        <f>EE73/100*EG71</f>
        <v>0</v>
      </c>
      <c r="EH73" s="253"/>
      <c r="EI73" s="235">
        <f>IFERROR(+EG73-EJ73,"")</f>
        <v>0</v>
      </c>
      <c r="EJ73" s="254">
        <f>EE73/100*EJ71</f>
        <v>0</v>
      </c>
      <c r="EK73" s="232"/>
      <c r="EL73" s="232"/>
      <c r="EM73" s="232"/>
      <c r="EN73" s="81"/>
      <c r="EO73" s="233"/>
      <c r="EP73" s="249" t="str">
        <f>"Adjusment "&amp;" %"</f>
        <v>Adjusment  %</v>
      </c>
      <c r="EQ73" s="250"/>
      <c r="ER73" s="251"/>
      <c r="ES73" s="252">
        <f>EQ73/100*ES71</f>
        <v>0</v>
      </c>
      <c r="ET73" s="253"/>
      <c r="EU73" s="235">
        <f>IFERROR(+ES73-EV73,"")</f>
        <v>0</v>
      </c>
      <c r="EV73" s="254">
        <f>EQ73/100*EV71</f>
        <v>0</v>
      </c>
      <c r="EW73" s="232"/>
      <c r="EX73" s="232"/>
      <c r="EY73" s="232"/>
      <c r="EZ73" s="81"/>
      <c r="FA73" s="233"/>
      <c r="FB73" s="249" t="str">
        <f>"Adjusment "&amp;" %"</f>
        <v>Adjusment  %</v>
      </c>
      <c r="FC73" s="250"/>
      <c r="FD73" s="251"/>
      <c r="FE73" s="252">
        <f>FC73/100*FE71</f>
        <v>0</v>
      </c>
      <c r="FF73" s="253"/>
      <c r="FG73" s="235">
        <f>IFERROR(+FE73-FH73,"")</f>
        <v>0</v>
      </c>
      <c r="FH73" s="254">
        <f>FC73/100*FH71</f>
        <v>0</v>
      </c>
      <c r="FI73" s="232"/>
      <c r="FJ73" s="232"/>
      <c r="FK73" s="232"/>
      <c r="FL73" s="81"/>
      <c r="FM73" s="233"/>
      <c r="FN73" s="249" t="str">
        <f>"Adjusment "&amp;" %"</f>
        <v>Adjusment  %</v>
      </c>
      <c r="FO73" s="250"/>
      <c r="FP73" s="251"/>
      <c r="FQ73" s="252">
        <f>FO73/100*FQ71</f>
        <v>0</v>
      </c>
      <c r="FR73" s="253"/>
      <c r="FS73" s="235">
        <f>IFERROR(+FQ73-FT73,"")</f>
        <v>0</v>
      </c>
      <c r="FT73" s="254">
        <f>FO73/100*FT71</f>
        <v>0</v>
      </c>
      <c r="FU73" s="232"/>
      <c r="FV73" s="232"/>
      <c r="FW73" s="232"/>
      <c r="FX73" s="81"/>
      <c r="FY73" s="233"/>
      <c r="FZ73" s="249" t="str">
        <f>"Adjusment "&amp;" %"</f>
        <v>Adjusment  %</v>
      </c>
      <c r="GA73" s="250"/>
      <c r="GB73" s="251"/>
      <c r="GC73" s="252">
        <f>GA73/100*GC71</f>
        <v>0</v>
      </c>
      <c r="GD73" s="253"/>
      <c r="GE73" s="235">
        <f>IFERROR(+GC73-GF73,"")</f>
        <v>0</v>
      </c>
      <c r="GF73" s="254">
        <f>GA73/100*GF71</f>
        <v>0</v>
      </c>
      <c r="GG73" s="232"/>
      <c r="GH73" s="232"/>
      <c r="GI73" s="232"/>
      <c r="GJ73" s="81"/>
      <c r="GK73" s="233"/>
      <c r="GL73" s="249" t="str">
        <f>"Adjusment "&amp;" %"</f>
        <v>Adjusment  %</v>
      </c>
      <c r="GM73" s="250"/>
      <c r="GN73" s="251"/>
      <c r="GO73" s="252">
        <f>GM73/100*GO71</f>
        <v>0</v>
      </c>
      <c r="GP73" s="253"/>
      <c r="GQ73" s="235">
        <f>IFERROR(+GO73-GR73,"")</f>
        <v>0</v>
      </c>
      <c r="GR73" s="254">
        <f>GM73/100*GR71</f>
        <v>0</v>
      </c>
      <c r="GS73" s="232"/>
      <c r="GT73" s="232"/>
      <c r="GU73" s="232"/>
      <c r="GV73" s="81"/>
      <c r="GW73" s="233"/>
      <c r="GX73" s="249" t="str">
        <f>"Adjusment "&amp;" %"</f>
        <v>Adjusment  %</v>
      </c>
      <c r="GY73" s="250"/>
      <c r="GZ73" s="251"/>
      <c r="HA73" s="252">
        <f>GY73/100*HA71</f>
        <v>0</v>
      </c>
      <c r="HB73" s="253"/>
      <c r="HC73" s="235">
        <f>IFERROR(+HA73-HD73,"")</f>
        <v>0</v>
      </c>
      <c r="HD73" s="254">
        <f>GY73/100*HD71</f>
        <v>0</v>
      </c>
      <c r="HE73" s="232"/>
      <c r="HF73" s="232"/>
      <c r="HG73" s="232"/>
      <c r="HH73" s="81"/>
      <c r="HI73" s="75"/>
    </row>
    <row r="74" ht="15.75" customHeight="1">
      <c r="A74" s="233"/>
      <c r="B74" s="240"/>
      <c r="C74" s="235"/>
      <c r="D74" s="235"/>
      <c r="E74" s="235"/>
      <c r="F74" s="235"/>
      <c r="G74" s="235"/>
      <c r="H74" s="237"/>
      <c r="I74" s="232"/>
      <c r="J74" s="232"/>
      <c r="K74" s="232"/>
      <c r="L74" s="81"/>
      <c r="M74" s="233"/>
      <c r="N74" s="240"/>
      <c r="O74" s="235"/>
      <c r="P74" s="235"/>
      <c r="Q74" s="235"/>
      <c r="R74" s="235"/>
      <c r="S74" s="235"/>
      <c r="T74" s="237"/>
      <c r="U74" s="232"/>
      <c r="V74" s="232"/>
      <c r="W74" s="232"/>
      <c r="X74" s="81"/>
      <c r="Y74" s="233"/>
      <c r="Z74" s="240"/>
      <c r="AA74" s="235"/>
      <c r="AB74" s="235"/>
      <c r="AC74" s="235"/>
      <c r="AD74" s="235"/>
      <c r="AE74" s="235"/>
      <c r="AF74" s="237"/>
      <c r="AG74" s="232"/>
      <c r="AH74" s="232"/>
      <c r="AI74" s="232"/>
      <c r="AJ74" s="81"/>
      <c r="AK74" s="233"/>
      <c r="AL74" s="240"/>
      <c r="AM74" s="235"/>
      <c r="AN74" s="235"/>
      <c r="AO74" s="235"/>
      <c r="AP74" s="235"/>
      <c r="AQ74" s="235"/>
      <c r="AR74" s="237"/>
      <c r="AS74" s="232"/>
      <c r="AT74" s="232"/>
      <c r="AU74" s="232"/>
      <c r="AV74" s="81"/>
      <c r="AW74" s="233"/>
      <c r="AX74" s="240"/>
      <c r="AY74" s="235"/>
      <c r="AZ74" s="235"/>
      <c r="BA74" s="235"/>
      <c r="BB74" s="235"/>
      <c r="BC74" s="235"/>
      <c r="BD74" s="237"/>
      <c r="BE74" s="232"/>
      <c r="BF74" s="232"/>
      <c r="BG74" s="232"/>
      <c r="BH74" s="81"/>
      <c r="BI74" s="233"/>
      <c r="BJ74" s="240"/>
      <c r="BK74" s="235"/>
      <c r="BL74" s="235"/>
      <c r="BM74" s="235"/>
      <c r="BN74" s="235"/>
      <c r="BO74" s="235"/>
      <c r="BP74" s="237"/>
      <c r="BQ74" s="232"/>
      <c r="BR74" s="232"/>
      <c r="BS74" s="232"/>
      <c r="BT74" s="81"/>
      <c r="BU74" s="233"/>
      <c r="BV74" s="240"/>
      <c r="BW74" s="235"/>
      <c r="BX74" s="235"/>
      <c r="BY74" s="235"/>
      <c r="BZ74" s="235"/>
      <c r="CA74" s="235"/>
      <c r="CB74" s="237"/>
      <c r="CC74" s="232"/>
      <c r="CD74" s="232"/>
      <c r="CE74" s="232"/>
      <c r="CF74" s="81"/>
      <c r="CG74" s="233"/>
      <c r="CH74" s="240"/>
      <c r="CI74" s="235"/>
      <c r="CJ74" s="235"/>
      <c r="CK74" s="235"/>
      <c r="CL74" s="235"/>
      <c r="CM74" s="235"/>
      <c r="CN74" s="237"/>
      <c r="CO74" s="232"/>
      <c r="CP74" s="232"/>
      <c r="CQ74" s="232"/>
      <c r="CR74" s="81"/>
      <c r="CS74" s="233"/>
      <c r="CT74" s="240"/>
      <c r="CU74" s="235"/>
      <c r="CV74" s="235"/>
      <c r="CW74" s="235"/>
      <c r="CX74" s="235"/>
      <c r="CY74" s="235"/>
      <c r="CZ74" s="237"/>
      <c r="DA74" s="232"/>
      <c r="DB74" s="232"/>
      <c r="DC74" s="232"/>
      <c r="DD74" s="81"/>
      <c r="DE74" s="233"/>
      <c r="DF74" s="240"/>
      <c r="DG74" s="235"/>
      <c r="DH74" s="235"/>
      <c r="DI74" s="235"/>
      <c r="DJ74" s="235"/>
      <c r="DK74" s="235"/>
      <c r="DL74" s="237"/>
      <c r="DM74" s="232"/>
      <c r="DN74" s="232"/>
      <c r="DO74" s="232"/>
      <c r="DP74" s="81"/>
      <c r="DQ74" s="233"/>
      <c r="DR74" s="240"/>
      <c r="DS74" s="235"/>
      <c r="DT74" s="235"/>
      <c r="DU74" s="235"/>
      <c r="DV74" s="235"/>
      <c r="DW74" s="235"/>
      <c r="DX74" s="237"/>
      <c r="DY74" s="232"/>
      <c r="DZ74" s="232"/>
      <c r="EA74" s="232"/>
      <c r="EB74" s="81"/>
      <c r="EC74" s="233"/>
      <c r="ED74" s="240"/>
      <c r="EE74" s="235"/>
      <c r="EF74" s="235"/>
      <c r="EG74" s="235"/>
      <c r="EH74" s="235"/>
      <c r="EI74" s="235"/>
      <c r="EJ74" s="237"/>
      <c r="EK74" s="232"/>
      <c r="EL74" s="232"/>
      <c r="EM74" s="232"/>
      <c r="EN74" s="81"/>
      <c r="EO74" s="233"/>
      <c r="EP74" s="240"/>
      <c r="EQ74" s="235"/>
      <c r="ER74" s="235"/>
      <c r="ES74" s="235"/>
      <c r="ET74" s="235"/>
      <c r="EU74" s="235"/>
      <c r="EV74" s="237"/>
      <c r="EW74" s="232"/>
      <c r="EX74" s="232"/>
      <c r="EY74" s="232"/>
      <c r="EZ74" s="81"/>
      <c r="FA74" s="233"/>
      <c r="FB74" s="240"/>
      <c r="FC74" s="235"/>
      <c r="FD74" s="235"/>
      <c r="FE74" s="235"/>
      <c r="FF74" s="235"/>
      <c r="FG74" s="235"/>
      <c r="FH74" s="237"/>
      <c r="FI74" s="232"/>
      <c r="FJ74" s="232"/>
      <c r="FK74" s="232"/>
      <c r="FL74" s="81"/>
      <c r="FM74" s="233"/>
      <c r="FN74" s="240"/>
      <c r="FO74" s="235"/>
      <c r="FP74" s="235"/>
      <c r="FQ74" s="235"/>
      <c r="FR74" s="235"/>
      <c r="FS74" s="235"/>
      <c r="FT74" s="237"/>
      <c r="FU74" s="232"/>
      <c r="FV74" s="232"/>
      <c r="FW74" s="232"/>
      <c r="FX74" s="81"/>
      <c r="FY74" s="233"/>
      <c r="FZ74" s="240"/>
      <c r="GA74" s="235"/>
      <c r="GB74" s="235"/>
      <c r="GC74" s="235"/>
      <c r="GD74" s="235"/>
      <c r="GE74" s="235"/>
      <c r="GF74" s="237"/>
      <c r="GG74" s="232"/>
      <c r="GH74" s="232"/>
      <c r="GI74" s="232"/>
      <c r="GJ74" s="81"/>
      <c r="GK74" s="233"/>
      <c r="GL74" s="240"/>
      <c r="GM74" s="235"/>
      <c r="GN74" s="235"/>
      <c r="GO74" s="235"/>
      <c r="GP74" s="235"/>
      <c r="GQ74" s="235"/>
      <c r="GR74" s="237"/>
      <c r="GS74" s="232"/>
      <c r="GT74" s="232"/>
      <c r="GU74" s="232"/>
      <c r="GV74" s="81"/>
      <c r="GW74" s="233"/>
      <c r="GX74" s="240"/>
      <c r="GY74" s="235"/>
      <c r="GZ74" s="235"/>
      <c r="HA74" s="235"/>
      <c r="HB74" s="235"/>
      <c r="HC74" s="235"/>
      <c r="HD74" s="237"/>
      <c r="HE74" s="232"/>
      <c r="HF74" s="232"/>
      <c r="HG74" s="232"/>
      <c r="HH74" s="81"/>
      <c r="HI74" s="75"/>
    </row>
    <row r="75" ht="24.0" customHeight="1">
      <c r="A75" s="255" t="s">
        <v>78</v>
      </c>
      <c r="B75" s="144"/>
      <c r="C75" s="256">
        <f>SUM(C71:C74)</f>
        <v>0</v>
      </c>
      <c r="D75" s="257"/>
      <c r="E75" s="256">
        <f>SUM(E71:E74)</f>
        <v>0</v>
      </c>
      <c r="F75" s="257"/>
      <c r="G75" s="256">
        <f t="shared" ref="G75:H75" si="361">SUM(G71:G74)</f>
        <v>0</v>
      </c>
      <c r="H75" s="258">
        <f t="shared" si="361"/>
        <v>0</v>
      </c>
      <c r="I75" s="232"/>
      <c r="J75" s="232"/>
      <c r="K75" s="232"/>
      <c r="L75" s="81"/>
      <c r="M75" s="255" t="s">
        <v>78</v>
      </c>
      <c r="N75" s="144"/>
      <c r="O75" s="256">
        <f>SUM(O71:O74)</f>
        <v>0</v>
      </c>
      <c r="P75" s="257"/>
      <c r="Q75" s="256">
        <f>SUM(Q71:Q74)</f>
        <v>0</v>
      </c>
      <c r="R75" s="257"/>
      <c r="S75" s="256">
        <f t="shared" ref="S75:T75" si="362">SUM(S71:S74)</f>
        <v>0</v>
      </c>
      <c r="T75" s="258">
        <f t="shared" si="362"/>
        <v>0</v>
      </c>
      <c r="U75" s="232"/>
      <c r="V75" s="232"/>
      <c r="W75" s="232"/>
      <c r="X75" s="81"/>
      <c r="Y75" s="255" t="s">
        <v>78</v>
      </c>
      <c r="Z75" s="144"/>
      <c r="AA75" s="256">
        <f>SUM(AA71:AA74)</f>
        <v>0</v>
      </c>
      <c r="AB75" s="257"/>
      <c r="AC75" s="256">
        <f>SUM(AC71:AC74)</f>
        <v>0</v>
      </c>
      <c r="AD75" s="257"/>
      <c r="AE75" s="256">
        <f t="shared" ref="AE75:AF75" si="363">SUM(AE71:AE74)</f>
        <v>0</v>
      </c>
      <c r="AF75" s="258">
        <f t="shared" si="363"/>
        <v>0</v>
      </c>
      <c r="AG75" s="232"/>
      <c r="AH75" s="232"/>
      <c r="AI75" s="232"/>
      <c r="AJ75" s="81"/>
      <c r="AK75" s="255" t="s">
        <v>78</v>
      </c>
      <c r="AL75" s="144"/>
      <c r="AM75" s="256">
        <f>SUM(AM71:AM74)</f>
        <v>0</v>
      </c>
      <c r="AN75" s="257"/>
      <c r="AO75" s="256">
        <f>SUM(AO71:AO74)</f>
        <v>0</v>
      </c>
      <c r="AP75" s="257"/>
      <c r="AQ75" s="256">
        <f t="shared" ref="AQ75:AR75" si="364">SUM(AQ71:AQ74)</f>
        <v>0</v>
      </c>
      <c r="AR75" s="258">
        <f t="shared" si="364"/>
        <v>0</v>
      </c>
      <c r="AS75" s="232"/>
      <c r="AT75" s="232"/>
      <c r="AU75" s="232"/>
      <c r="AV75" s="81"/>
      <c r="AW75" s="255" t="s">
        <v>78</v>
      </c>
      <c r="AX75" s="144"/>
      <c r="AY75" s="256">
        <f>SUM(AY71:AY74)</f>
        <v>0</v>
      </c>
      <c r="AZ75" s="257"/>
      <c r="BA75" s="256">
        <f>SUM(BA71:BA74)</f>
        <v>0</v>
      </c>
      <c r="BB75" s="257"/>
      <c r="BC75" s="256">
        <f t="shared" ref="BC75:BD75" si="365">SUM(BC71:BC74)</f>
        <v>0</v>
      </c>
      <c r="BD75" s="258">
        <f t="shared" si="365"/>
        <v>0</v>
      </c>
      <c r="BE75" s="232"/>
      <c r="BF75" s="232"/>
      <c r="BG75" s="232"/>
      <c r="BH75" s="81"/>
      <c r="BI75" s="255" t="s">
        <v>78</v>
      </c>
      <c r="BJ75" s="144"/>
      <c r="BK75" s="256">
        <f>SUM(BK71:BK74)</f>
        <v>0</v>
      </c>
      <c r="BL75" s="257"/>
      <c r="BM75" s="256">
        <f>SUM(BM71:BM74)</f>
        <v>0</v>
      </c>
      <c r="BN75" s="257"/>
      <c r="BO75" s="256">
        <f t="shared" ref="BO75:BP75" si="366">SUM(BO71:BO74)</f>
        <v>0</v>
      </c>
      <c r="BP75" s="258">
        <f t="shared" si="366"/>
        <v>0</v>
      </c>
      <c r="BQ75" s="232"/>
      <c r="BR75" s="232"/>
      <c r="BS75" s="232"/>
      <c r="BT75" s="81"/>
      <c r="BU75" s="255" t="s">
        <v>78</v>
      </c>
      <c r="BV75" s="144"/>
      <c r="BW75" s="256">
        <f>SUM(BW71:BW74)</f>
        <v>0</v>
      </c>
      <c r="BX75" s="257"/>
      <c r="BY75" s="256">
        <f>SUM(BY71:BY74)</f>
        <v>0</v>
      </c>
      <c r="BZ75" s="257"/>
      <c r="CA75" s="256">
        <f t="shared" ref="CA75:CB75" si="367">SUM(CA71:CA74)</f>
        <v>0</v>
      </c>
      <c r="CB75" s="258">
        <f t="shared" si="367"/>
        <v>0</v>
      </c>
      <c r="CC75" s="232"/>
      <c r="CD75" s="232"/>
      <c r="CE75" s="232"/>
      <c r="CF75" s="81"/>
      <c r="CG75" s="255" t="s">
        <v>78</v>
      </c>
      <c r="CH75" s="144"/>
      <c r="CI75" s="256">
        <f>SUM(CI71:CI74)</f>
        <v>0</v>
      </c>
      <c r="CJ75" s="257"/>
      <c r="CK75" s="256">
        <f>SUM(CK71:CK74)</f>
        <v>0</v>
      </c>
      <c r="CL75" s="257"/>
      <c r="CM75" s="256">
        <f t="shared" ref="CM75:CN75" si="368">SUM(CM71:CM74)</f>
        <v>0</v>
      </c>
      <c r="CN75" s="258">
        <f t="shared" si="368"/>
        <v>0</v>
      </c>
      <c r="CO75" s="232"/>
      <c r="CP75" s="232"/>
      <c r="CQ75" s="232"/>
      <c r="CR75" s="81"/>
      <c r="CS75" s="255" t="s">
        <v>78</v>
      </c>
      <c r="CT75" s="144"/>
      <c r="CU75" s="256">
        <f>SUM(CU71:CU74)</f>
        <v>0</v>
      </c>
      <c r="CV75" s="257"/>
      <c r="CW75" s="256">
        <f>SUM(CW71:CW74)</f>
        <v>0</v>
      </c>
      <c r="CX75" s="257"/>
      <c r="CY75" s="256">
        <f t="shared" ref="CY75:CZ75" si="369">SUM(CY71:CY74)</f>
        <v>0</v>
      </c>
      <c r="CZ75" s="258">
        <f t="shared" si="369"/>
        <v>0</v>
      </c>
      <c r="DA75" s="232"/>
      <c r="DB75" s="232"/>
      <c r="DC75" s="232"/>
      <c r="DD75" s="81"/>
      <c r="DE75" s="255" t="s">
        <v>78</v>
      </c>
      <c r="DF75" s="144"/>
      <c r="DG75" s="256">
        <f>SUM(DG71:DG74)</f>
        <v>4811715.773</v>
      </c>
      <c r="DH75" s="257"/>
      <c r="DI75" s="256">
        <f>SUM(DI71:DI74)</f>
        <v>55902.83174</v>
      </c>
      <c r="DJ75" s="257"/>
      <c r="DK75" s="256">
        <f t="shared" ref="DK75:DL75" si="370">SUM(DK71:DK74)</f>
        <v>9344.866394</v>
      </c>
      <c r="DL75" s="258">
        <f t="shared" si="370"/>
        <v>46557.96535</v>
      </c>
      <c r="DM75" s="232"/>
      <c r="DN75" s="232"/>
      <c r="DO75" s="232"/>
      <c r="DP75" s="81"/>
      <c r="DQ75" s="255" t="s">
        <v>78</v>
      </c>
      <c r="DR75" s="144"/>
      <c r="DS75" s="256">
        <f>SUM(DS71:DS74)</f>
        <v>4787151.893</v>
      </c>
      <c r="DT75" s="257"/>
      <c r="DU75" s="256">
        <f>SUM(DU71:DU74)</f>
        <v>55617.44697</v>
      </c>
      <c r="DV75" s="257"/>
      <c r="DW75" s="256">
        <f t="shared" ref="DW75:DX75" si="371">SUM(DW71:DW74)</f>
        <v>9297.160714</v>
      </c>
      <c r="DX75" s="258">
        <f t="shared" si="371"/>
        <v>46320.28625</v>
      </c>
      <c r="DY75" s="232"/>
      <c r="DZ75" s="232"/>
      <c r="EA75" s="232"/>
      <c r="EB75" s="81"/>
      <c r="EC75" s="255" t="s">
        <v>78</v>
      </c>
      <c r="ED75" s="144"/>
      <c r="EE75" s="256">
        <f>SUM(EE71:EE74)</f>
        <v>5098655.787</v>
      </c>
      <c r="EF75" s="257"/>
      <c r="EG75" s="256">
        <f>SUM(EG71:EG74)</f>
        <v>59236.51978</v>
      </c>
      <c r="EH75" s="257"/>
      <c r="EI75" s="256">
        <f t="shared" ref="EI75:EJ75" si="372">SUM(EI71:EI74)</f>
        <v>9902.134574</v>
      </c>
      <c r="EJ75" s="258">
        <f t="shared" si="372"/>
        <v>49334.38521</v>
      </c>
      <c r="EK75" s="232"/>
      <c r="EL75" s="232"/>
      <c r="EM75" s="232"/>
      <c r="EN75" s="81"/>
      <c r="EO75" s="255" t="s">
        <v>78</v>
      </c>
      <c r="EP75" s="144"/>
      <c r="EQ75" s="256">
        <f>SUM(EQ71:EQ74)</f>
        <v>5520635.943</v>
      </c>
      <c r="ER75" s="257"/>
      <c r="ES75" s="256">
        <f>SUM(ES71:ES74)</f>
        <v>64139.11312</v>
      </c>
      <c r="ET75" s="257"/>
      <c r="EU75" s="256">
        <f t="shared" ref="EU75:EV75" si="373">SUM(EU71:EU74)</f>
        <v>10721.66515</v>
      </c>
      <c r="EV75" s="258">
        <f t="shared" si="373"/>
        <v>53417.44797</v>
      </c>
      <c r="EW75" s="232"/>
      <c r="EX75" s="232"/>
      <c r="EY75" s="232"/>
      <c r="EZ75" s="81"/>
      <c r="FA75" s="255" t="s">
        <v>78</v>
      </c>
      <c r="FB75" s="144"/>
      <c r="FC75" s="256">
        <f>SUM(FC71:FC74)</f>
        <v>5984101.971</v>
      </c>
      <c r="FD75" s="257"/>
      <c r="FE75" s="256">
        <f>SUM(FE71:FE74)</f>
        <v>69523.69205</v>
      </c>
      <c r="FF75" s="257"/>
      <c r="FG75" s="256">
        <f t="shared" ref="FG75:FH75" si="374">SUM(FG71:FG74)</f>
        <v>11621.76572</v>
      </c>
      <c r="FH75" s="258">
        <f t="shared" si="374"/>
        <v>57901.92633</v>
      </c>
      <c r="FI75" s="232"/>
      <c r="FJ75" s="232"/>
      <c r="FK75" s="232"/>
      <c r="FL75" s="81"/>
      <c r="FM75" s="255" t="s">
        <v>78</v>
      </c>
      <c r="FN75" s="144"/>
      <c r="FO75" s="256">
        <f>SUM(FO71:FO74)</f>
        <v>7294357.149</v>
      </c>
      <c r="FP75" s="257"/>
      <c r="FQ75" s="256">
        <f>SUM(FQ71:FQ74)</f>
        <v>84746.32327</v>
      </c>
      <c r="FR75" s="257"/>
      <c r="FS75" s="256">
        <f t="shared" ref="FS75:FT75" si="375">SUM(FS71:FS74)</f>
        <v>14166.42134</v>
      </c>
      <c r="FT75" s="258">
        <f t="shared" si="375"/>
        <v>70579.90193</v>
      </c>
      <c r="FU75" s="232"/>
      <c r="FV75" s="232"/>
      <c r="FW75" s="232"/>
      <c r="FX75" s="81"/>
      <c r="FY75" s="255" t="s">
        <v>78</v>
      </c>
      <c r="FZ75" s="144"/>
      <c r="GA75" s="256">
        <f>SUM(GA71:GA74)</f>
        <v>8347374.416</v>
      </c>
      <c r="GB75" s="257"/>
      <c r="GC75" s="256">
        <f>SUM(GC71:GC74)</f>
        <v>96980.34744</v>
      </c>
      <c r="GD75" s="257"/>
      <c r="GE75" s="256">
        <f t="shared" ref="GE75:GF75" si="376">SUM(GE71:GE74)</f>
        <v>16211.49343</v>
      </c>
      <c r="GF75" s="258">
        <f t="shared" si="376"/>
        <v>80768.85401</v>
      </c>
      <c r="GG75" s="232"/>
      <c r="GH75" s="232"/>
      <c r="GI75" s="232"/>
      <c r="GJ75" s="81"/>
      <c r="GK75" s="255" t="s">
        <v>78</v>
      </c>
      <c r="GL75" s="144"/>
      <c r="GM75" s="256">
        <f>SUM(GM71:GM74)</f>
        <v>0</v>
      </c>
      <c r="GN75" s="257"/>
      <c r="GO75" s="256">
        <f>SUM(GO71:GO74)</f>
        <v>0</v>
      </c>
      <c r="GP75" s="257"/>
      <c r="GQ75" s="256">
        <f t="shared" ref="GQ75:GR75" si="377">SUM(GQ71:GQ74)</f>
        <v>0</v>
      </c>
      <c r="GR75" s="258">
        <f t="shared" si="377"/>
        <v>0</v>
      </c>
      <c r="GS75" s="232"/>
      <c r="GT75" s="232"/>
      <c r="GU75" s="232"/>
      <c r="GV75" s="81"/>
      <c r="GW75" s="255" t="s">
        <v>78</v>
      </c>
      <c r="GX75" s="144"/>
      <c r="GY75" s="256">
        <f>SUM(GY71:GY74)</f>
        <v>0</v>
      </c>
      <c r="GZ75" s="257"/>
      <c r="HA75" s="256">
        <f>SUM(HA71:HA74)</f>
        <v>0</v>
      </c>
      <c r="HB75" s="257"/>
      <c r="HC75" s="256">
        <f t="shared" ref="HC75:HD75" si="378">SUM(HC71:HC74)</f>
        <v>0</v>
      </c>
      <c r="HD75" s="258">
        <f t="shared" si="378"/>
        <v>0</v>
      </c>
      <c r="HE75" s="232"/>
      <c r="HF75" s="232"/>
      <c r="HG75" s="232"/>
      <c r="HH75" s="81"/>
      <c r="HI75" s="75"/>
    </row>
    <row r="76" ht="15.0" customHeight="1">
      <c r="A76" s="74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81"/>
      <c r="M76" s="74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81"/>
      <c r="Y76" s="74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81"/>
      <c r="AK76" s="74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81"/>
      <c r="AW76" s="74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81"/>
      <c r="BI76" s="74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81"/>
      <c r="BU76" s="74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81"/>
      <c r="CG76" s="74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81"/>
      <c r="CS76" s="74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81"/>
      <c r="DE76" s="74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81"/>
      <c r="DQ76" s="74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81"/>
      <c r="EC76" s="74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81"/>
      <c r="EO76" s="74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81"/>
      <c r="FA76" s="74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81"/>
      <c r="FM76" s="74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81"/>
      <c r="FY76" s="74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81"/>
      <c r="GK76" s="74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81"/>
      <c r="GW76" s="74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81"/>
      <c r="HI76" s="75"/>
    </row>
    <row r="77" ht="15.0" customHeight="1">
      <c r="A77" s="74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81"/>
      <c r="M77" s="74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81"/>
      <c r="Y77" s="74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81"/>
      <c r="AK77" s="74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81"/>
      <c r="AW77" s="74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81"/>
      <c r="BI77" s="74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81"/>
      <c r="BU77" s="74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81"/>
      <c r="CG77" s="74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81"/>
      <c r="CS77" s="74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81"/>
      <c r="DE77" s="74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81"/>
      <c r="DQ77" s="74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81"/>
      <c r="EC77" s="74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81"/>
      <c r="EO77" s="74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81"/>
      <c r="FA77" s="74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81"/>
      <c r="FM77" s="74"/>
      <c r="FN77" s="75"/>
      <c r="FO77" s="75"/>
      <c r="FP77" s="75"/>
      <c r="FQ77" s="75"/>
      <c r="FR77" s="75"/>
      <c r="FS77" s="75"/>
      <c r="FT77" s="75"/>
      <c r="FU77" s="75"/>
      <c r="FV77" s="75"/>
      <c r="FW77" s="75"/>
      <c r="FX77" s="81"/>
      <c r="FY77" s="74"/>
      <c r="FZ77" s="75"/>
      <c r="GA77" s="75"/>
      <c r="GB77" s="75"/>
      <c r="GC77" s="75"/>
      <c r="GD77" s="75"/>
      <c r="GE77" s="75"/>
      <c r="GF77" s="75"/>
      <c r="GG77" s="75"/>
      <c r="GH77" s="75"/>
      <c r="GI77" s="75"/>
      <c r="GJ77" s="81"/>
      <c r="GK77" s="74"/>
      <c r="GL77" s="75"/>
      <c r="GM77" s="75"/>
      <c r="GN77" s="75"/>
      <c r="GO77" s="75"/>
      <c r="GP77" s="75"/>
      <c r="GQ77" s="75"/>
      <c r="GR77" s="75"/>
      <c r="GS77" s="75"/>
      <c r="GT77" s="75"/>
      <c r="GU77" s="75"/>
      <c r="GV77" s="81"/>
      <c r="GW77" s="74"/>
      <c r="GX77" s="75"/>
      <c r="GY77" s="75"/>
      <c r="GZ77" s="75"/>
      <c r="HA77" s="75"/>
      <c r="HB77" s="75"/>
      <c r="HC77" s="75"/>
      <c r="HD77" s="75"/>
      <c r="HE77" s="75"/>
      <c r="HF77" s="75"/>
      <c r="HG77" s="75"/>
      <c r="HH77" s="81"/>
      <c r="HI77" s="75"/>
    </row>
    <row r="78" ht="15.75" customHeight="1">
      <c r="A78" s="259"/>
      <c r="B78" s="260" t="s">
        <v>49</v>
      </c>
      <c r="C78" s="261" t="s">
        <v>50</v>
      </c>
      <c r="D78" s="262"/>
      <c r="E78" s="262"/>
      <c r="F78" s="262"/>
      <c r="G78" s="260" t="s">
        <v>51</v>
      </c>
      <c r="H78" s="262"/>
      <c r="I78" s="263"/>
      <c r="J78" s="264"/>
      <c r="K78" s="88" t="s">
        <v>83</v>
      </c>
      <c r="L78" s="89"/>
      <c r="M78" s="259"/>
      <c r="N78" s="260" t="s">
        <v>49</v>
      </c>
      <c r="O78" s="261" t="s">
        <v>50</v>
      </c>
      <c r="P78" s="262"/>
      <c r="Q78" s="262"/>
      <c r="R78" s="262"/>
      <c r="S78" s="260" t="s">
        <v>51</v>
      </c>
      <c r="T78" s="262"/>
      <c r="U78" s="263"/>
      <c r="V78" s="264"/>
      <c r="W78" s="88" t="s">
        <v>83</v>
      </c>
      <c r="X78" s="89"/>
      <c r="Y78" s="259"/>
      <c r="Z78" s="260" t="s">
        <v>49</v>
      </c>
      <c r="AA78" s="261" t="s">
        <v>50</v>
      </c>
      <c r="AB78" s="262"/>
      <c r="AC78" s="262"/>
      <c r="AD78" s="262"/>
      <c r="AE78" s="260" t="s">
        <v>51</v>
      </c>
      <c r="AF78" s="262"/>
      <c r="AG78" s="263"/>
      <c r="AH78" s="264"/>
      <c r="AI78" s="88" t="s">
        <v>83</v>
      </c>
      <c r="AJ78" s="89"/>
      <c r="AK78" s="259"/>
      <c r="AL78" s="260" t="s">
        <v>49</v>
      </c>
      <c r="AM78" s="261" t="s">
        <v>50</v>
      </c>
      <c r="AN78" s="262"/>
      <c r="AO78" s="262"/>
      <c r="AP78" s="262"/>
      <c r="AQ78" s="260" t="s">
        <v>51</v>
      </c>
      <c r="AR78" s="262"/>
      <c r="AS78" s="263"/>
      <c r="AT78" s="264"/>
      <c r="AU78" s="88" t="s">
        <v>83</v>
      </c>
      <c r="AV78" s="89"/>
      <c r="AW78" s="259"/>
      <c r="AX78" s="260" t="s">
        <v>49</v>
      </c>
      <c r="AY78" s="261" t="s">
        <v>50</v>
      </c>
      <c r="AZ78" s="262"/>
      <c r="BA78" s="262"/>
      <c r="BB78" s="262"/>
      <c r="BC78" s="260" t="s">
        <v>51</v>
      </c>
      <c r="BD78" s="262"/>
      <c r="BE78" s="263"/>
      <c r="BF78" s="264"/>
      <c r="BG78" s="88" t="s">
        <v>83</v>
      </c>
      <c r="BH78" s="89"/>
      <c r="BI78" s="259"/>
      <c r="BJ78" s="260" t="s">
        <v>49</v>
      </c>
      <c r="BK78" s="261" t="s">
        <v>50</v>
      </c>
      <c r="BL78" s="262"/>
      <c r="BM78" s="262"/>
      <c r="BN78" s="262"/>
      <c r="BO78" s="260" t="s">
        <v>51</v>
      </c>
      <c r="BP78" s="262"/>
      <c r="BQ78" s="263"/>
      <c r="BR78" s="264"/>
      <c r="BS78" s="88" t="s">
        <v>83</v>
      </c>
      <c r="BT78" s="89"/>
      <c r="BU78" s="259"/>
      <c r="BV78" s="260" t="s">
        <v>49</v>
      </c>
      <c r="BW78" s="261" t="s">
        <v>50</v>
      </c>
      <c r="BX78" s="262"/>
      <c r="BY78" s="262"/>
      <c r="BZ78" s="262"/>
      <c r="CA78" s="260" t="s">
        <v>51</v>
      </c>
      <c r="CB78" s="262"/>
      <c r="CC78" s="263"/>
      <c r="CD78" s="264"/>
      <c r="CE78" s="88" t="s">
        <v>83</v>
      </c>
      <c r="CF78" s="89"/>
      <c r="CG78" s="259"/>
      <c r="CH78" s="260" t="s">
        <v>49</v>
      </c>
      <c r="CI78" s="261" t="s">
        <v>50</v>
      </c>
      <c r="CJ78" s="262"/>
      <c r="CK78" s="262"/>
      <c r="CL78" s="262"/>
      <c r="CM78" s="260" t="s">
        <v>51</v>
      </c>
      <c r="CN78" s="262"/>
      <c r="CO78" s="263"/>
      <c r="CP78" s="264"/>
      <c r="CQ78" s="88" t="s">
        <v>83</v>
      </c>
      <c r="CR78" s="89"/>
      <c r="CS78" s="259"/>
      <c r="CT78" s="260" t="s">
        <v>49</v>
      </c>
      <c r="CU78" s="261" t="s">
        <v>50</v>
      </c>
      <c r="CV78" s="262"/>
      <c r="CW78" s="262"/>
      <c r="CX78" s="262"/>
      <c r="CY78" s="260" t="s">
        <v>51</v>
      </c>
      <c r="CZ78" s="262"/>
      <c r="DA78" s="263"/>
      <c r="DB78" s="264"/>
      <c r="DC78" s="88" t="s">
        <v>83</v>
      </c>
      <c r="DD78" s="89"/>
      <c r="DE78" s="259"/>
      <c r="DF78" s="260" t="s">
        <v>49</v>
      </c>
      <c r="DG78" s="261" t="s">
        <v>50</v>
      </c>
      <c r="DH78" s="262"/>
      <c r="DI78" s="262"/>
      <c r="DJ78" s="262"/>
      <c r="DK78" s="260" t="s">
        <v>51</v>
      </c>
      <c r="DL78" s="262"/>
      <c r="DM78" s="263"/>
      <c r="DN78" s="264"/>
      <c r="DO78" s="88" t="s">
        <v>83</v>
      </c>
      <c r="DP78" s="89"/>
      <c r="DQ78" s="259"/>
      <c r="DR78" s="260" t="s">
        <v>49</v>
      </c>
      <c r="DS78" s="261" t="s">
        <v>50</v>
      </c>
      <c r="DT78" s="262"/>
      <c r="DU78" s="262"/>
      <c r="DV78" s="262"/>
      <c r="DW78" s="260" t="s">
        <v>51</v>
      </c>
      <c r="DX78" s="262"/>
      <c r="DY78" s="263"/>
      <c r="DZ78" s="264"/>
      <c r="EA78" s="88" t="s">
        <v>83</v>
      </c>
      <c r="EB78" s="89"/>
      <c r="EC78" s="259"/>
      <c r="ED78" s="260" t="s">
        <v>49</v>
      </c>
      <c r="EE78" s="261" t="s">
        <v>50</v>
      </c>
      <c r="EF78" s="262"/>
      <c r="EG78" s="262"/>
      <c r="EH78" s="262"/>
      <c r="EI78" s="260" t="s">
        <v>51</v>
      </c>
      <c r="EJ78" s="262"/>
      <c r="EK78" s="263"/>
      <c r="EL78" s="264"/>
      <c r="EM78" s="88" t="s">
        <v>83</v>
      </c>
      <c r="EN78" s="89"/>
      <c r="EO78" s="259"/>
      <c r="EP78" s="260" t="s">
        <v>49</v>
      </c>
      <c r="EQ78" s="261" t="s">
        <v>50</v>
      </c>
      <c r="ER78" s="262"/>
      <c r="ES78" s="262"/>
      <c r="ET78" s="262"/>
      <c r="EU78" s="260" t="s">
        <v>51</v>
      </c>
      <c r="EV78" s="262"/>
      <c r="EW78" s="263"/>
      <c r="EX78" s="264"/>
      <c r="EY78" s="88" t="s">
        <v>83</v>
      </c>
      <c r="EZ78" s="89"/>
      <c r="FA78" s="259"/>
      <c r="FB78" s="260" t="s">
        <v>49</v>
      </c>
      <c r="FC78" s="261" t="s">
        <v>50</v>
      </c>
      <c r="FD78" s="262"/>
      <c r="FE78" s="262"/>
      <c r="FF78" s="262"/>
      <c r="FG78" s="260" t="s">
        <v>51</v>
      </c>
      <c r="FH78" s="262"/>
      <c r="FI78" s="263"/>
      <c r="FJ78" s="264"/>
      <c r="FK78" s="88" t="s">
        <v>83</v>
      </c>
      <c r="FL78" s="89"/>
      <c r="FM78" s="259"/>
      <c r="FN78" s="260" t="s">
        <v>49</v>
      </c>
      <c r="FO78" s="261" t="s">
        <v>50</v>
      </c>
      <c r="FP78" s="262"/>
      <c r="FQ78" s="262"/>
      <c r="FR78" s="262"/>
      <c r="FS78" s="260" t="s">
        <v>51</v>
      </c>
      <c r="FT78" s="262"/>
      <c r="FU78" s="263"/>
      <c r="FV78" s="264"/>
      <c r="FW78" s="88" t="s">
        <v>83</v>
      </c>
      <c r="FX78" s="89"/>
      <c r="FY78" s="259"/>
      <c r="FZ78" s="260" t="s">
        <v>49</v>
      </c>
      <c r="GA78" s="261" t="s">
        <v>50</v>
      </c>
      <c r="GB78" s="262"/>
      <c r="GC78" s="262"/>
      <c r="GD78" s="262"/>
      <c r="GE78" s="260" t="s">
        <v>51</v>
      </c>
      <c r="GF78" s="262"/>
      <c r="GG78" s="263"/>
      <c r="GH78" s="264"/>
      <c r="GI78" s="88" t="s">
        <v>83</v>
      </c>
      <c r="GJ78" s="89"/>
      <c r="GK78" s="259"/>
      <c r="GL78" s="260" t="s">
        <v>49</v>
      </c>
      <c r="GM78" s="261" t="s">
        <v>50</v>
      </c>
      <c r="GN78" s="262"/>
      <c r="GO78" s="262"/>
      <c r="GP78" s="262"/>
      <c r="GQ78" s="260" t="s">
        <v>51</v>
      </c>
      <c r="GR78" s="262"/>
      <c r="GS78" s="263"/>
      <c r="GT78" s="264"/>
      <c r="GU78" s="88" t="s">
        <v>83</v>
      </c>
      <c r="GV78" s="89"/>
      <c r="GW78" s="259"/>
      <c r="GX78" s="260" t="s">
        <v>49</v>
      </c>
      <c r="GY78" s="261" t="s">
        <v>50</v>
      </c>
      <c r="GZ78" s="262"/>
      <c r="HA78" s="262"/>
      <c r="HB78" s="262"/>
      <c r="HC78" s="260" t="s">
        <v>51</v>
      </c>
      <c r="HD78" s="262"/>
      <c r="HE78" s="263"/>
      <c r="HF78" s="264"/>
      <c r="HG78" s="88" t="s">
        <v>83</v>
      </c>
      <c r="HH78" s="89"/>
      <c r="HI78" s="87"/>
    </row>
    <row r="79" ht="15.75" customHeight="1">
      <c r="A79" s="265"/>
      <c r="B79" s="266" t="s">
        <v>23</v>
      </c>
      <c r="C79" s="267" t="s">
        <v>53</v>
      </c>
      <c r="D79" s="267"/>
      <c r="E79" s="267"/>
      <c r="F79" s="267"/>
      <c r="G79" s="266" t="s">
        <v>54</v>
      </c>
      <c r="H79" s="267"/>
      <c r="I79" s="268"/>
      <c r="J79" s="264"/>
      <c r="K79" s="94"/>
      <c r="L79" s="89"/>
      <c r="M79" s="265"/>
      <c r="N79" s="266" t="s">
        <v>23</v>
      </c>
      <c r="O79" s="267" t="s">
        <v>53</v>
      </c>
      <c r="P79" s="267"/>
      <c r="Q79" s="267"/>
      <c r="R79" s="267"/>
      <c r="S79" s="266" t="s">
        <v>54</v>
      </c>
      <c r="T79" s="267"/>
      <c r="U79" s="268"/>
      <c r="V79" s="264"/>
      <c r="W79" s="94"/>
      <c r="X79" s="89"/>
      <c r="Y79" s="265"/>
      <c r="Z79" s="266" t="s">
        <v>23</v>
      </c>
      <c r="AA79" s="267" t="s">
        <v>53</v>
      </c>
      <c r="AB79" s="267"/>
      <c r="AC79" s="267"/>
      <c r="AD79" s="267"/>
      <c r="AE79" s="266" t="s">
        <v>54</v>
      </c>
      <c r="AF79" s="267"/>
      <c r="AG79" s="268"/>
      <c r="AH79" s="264"/>
      <c r="AI79" s="94"/>
      <c r="AJ79" s="89"/>
      <c r="AK79" s="265"/>
      <c r="AL79" s="266" t="s">
        <v>23</v>
      </c>
      <c r="AM79" s="267" t="s">
        <v>53</v>
      </c>
      <c r="AN79" s="267"/>
      <c r="AO79" s="267"/>
      <c r="AP79" s="267"/>
      <c r="AQ79" s="266" t="s">
        <v>54</v>
      </c>
      <c r="AR79" s="267"/>
      <c r="AS79" s="268"/>
      <c r="AT79" s="264"/>
      <c r="AU79" s="94"/>
      <c r="AV79" s="89"/>
      <c r="AW79" s="265"/>
      <c r="AX79" s="266" t="s">
        <v>23</v>
      </c>
      <c r="AY79" s="267" t="s">
        <v>53</v>
      </c>
      <c r="AZ79" s="267"/>
      <c r="BA79" s="267"/>
      <c r="BB79" s="267"/>
      <c r="BC79" s="266" t="s">
        <v>54</v>
      </c>
      <c r="BD79" s="267"/>
      <c r="BE79" s="268"/>
      <c r="BF79" s="264"/>
      <c r="BG79" s="94"/>
      <c r="BH79" s="89"/>
      <c r="BI79" s="265"/>
      <c r="BJ79" s="266" t="s">
        <v>23</v>
      </c>
      <c r="BK79" s="267" t="s">
        <v>53</v>
      </c>
      <c r="BL79" s="267"/>
      <c r="BM79" s="267"/>
      <c r="BN79" s="267"/>
      <c r="BO79" s="266" t="s">
        <v>54</v>
      </c>
      <c r="BP79" s="267"/>
      <c r="BQ79" s="268"/>
      <c r="BR79" s="264"/>
      <c r="BS79" s="94"/>
      <c r="BT79" s="89"/>
      <c r="BU79" s="265"/>
      <c r="BV79" s="266" t="s">
        <v>23</v>
      </c>
      <c r="BW79" s="267" t="s">
        <v>53</v>
      </c>
      <c r="BX79" s="267"/>
      <c r="BY79" s="267"/>
      <c r="BZ79" s="267"/>
      <c r="CA79" s="266" t="s">
        <v>54</v>
      </c>
      <c r="CB79" s="267"/>
      <c r="CC79" s="268"/>
      <c r="CD79" s="264"/>
      <c r="CE79" s="94"/>
      <c r="CF79" s="89"/>
      <c r="CG79" s="265"/>
      <c r="CH79" s="266" t="s">
        <v>23</v>
      </c>
      <c r="CI79" s="267" t="s">
        <v>53</v>
      </c>
      <c r="CJ79" s="267"/>
      <c r="CK79" s="267"/>
      <c r="CL79" s="267"/>
      <c r="CM79" s="266" t="s">
        <v>54</v>
      </c>
      <c r="CN79" s="267"/>
      <c r="CO79" s="268"/>
      <c r="CP79" s="264"/>
      <c r="CQ79" s="94"/>
      <c r="CR79" s="89"/>
      <c r="CS79" s="265"/>
      <c r="CT79" s="266" t="s">
        <v>23</v>
      </c>
      <c r="CU79" s="267" t="s">
        <v>53</v>
      </c>
      <c r="CV79" s="267"/>
      <c r="CW79" s="267"/>
      <c r="CX79" s="267"/>
      <c r="CY79" s="266" t="s">
        <v>54</v>
      </c>
      <c r="CZ79" s="267"/>
      <c r="DA79" s="268"/>
      <c r="DB79" s="264"/>
      <c r="DC79" s="94"/>
      <c r="DD79" s="89"/>
      <c r="DE79" s="265"/>
      <c r="DF79" s="266" t="s">
        <v>23</v>
      </c>
      <c r="DG79" s="267" t="s">
        <v>53</v>
      </c>
      <c r="DH79" s="267"/>
      <c r="DI79" s="267"/>
      <c r="DJ79" s="267"/>
      <c r="DK79" s="266" t="s">
        <v>54</v>
      </c>
      <c r="DL79" s="267"/>
      <c r="DM79" s="268"/>
      <c r="DN79" s="264"/>
      <c r="DO79" s="94"/>
      <c r="DP79" s="89"/>
      <c r="DQ79" s="265"/>
      <c r="DR79" s="266" t="s">
        <v>23</v>
      </c>
      <c r="DS79" s="267" t="s">
        <v>53</v>
      </c>
      <c r="DT79" s="267"/>
      <c r="DU79" s="267"/>
      <c r="DV79" s="267"/>
      <c r="DW79" s="266" t="s">
        <v>54</v>
      </c>
      <c r="DX79" s="267"/>
      <c r="DY79" s="268"/>
      <c r="DZ79" s="264"/>
      <c r="EA79" s="94"/>
      <c r="EB79" s="89"/>
      <c r="EC79" s="265"/>
      <c r="ED79" s="266" t="s">
        <v>23</v>
      </c>
      <c r="EE79" s="267" t="s">
        <v>53</v>
      </c>
      <c r="EF79" s="267"/>
      <c r="EG79" s="267"/>
      <c r="EH79" s="267"/>
      <c r="EI79" s="266" t="s">
        <v>54</v>
      </c>
      <c r="EJ79" s="267"/>
      <c r="EK79" s="268"/>
      <c r="EL79" s="264"/>
      <c r="EM79" s="94"/>
      <c r="EN79" s="89"/>
      <c r="EO79" s="265"/>
      <c r="EP79" s="266" t="s">
        <v>23</v>
      </c>
      <c r="EQ79" s="267" t="s">
        <v>53</v>
      </c>
      <c r="ER79" s="267"/>
      <c r="ES79" s="267"/>
      <c r="ET79" s="267"/>
      <c r="EU79" s="266" t="s">
        <v>54</v>
      </c>
      <c r="EV79" s="267"/>
      <c r="EW79" s="268"/>
      <c r="EX79" s="264"/>
      <c r="EY79" s="94"/>
      <c r="EZ79" s="89"/>
      <c r="FA79" s="265"/>
      <c r="FB79" s="266" t="s">
        <v>23</v>
      </c>
      <c r="FC79" s="267" t="s">
        <v>53</v>
      </c>
      <c r="FD79" s="267"/>
      <c r="FE79" s="267"/>
      <c r="FF79" s="267"/>
      <c r="FG79" s="266" t="s">
        <v>54</v>
      </c>
      <c r="FH79" s="267"/>
      <c r="FI79" s="268"/>
      <c r="FJ79" s="264"/>
      <c r="FK79" s="94"/>
      <c r="FL79" s="89"/>
      <c r="FM79" s="265"/>
      <c r="FN79" s="266" t="s">
        <v>23</v>
      </c>
      <c r="FO79" s="267" t="s">
        <v>53</v>
      </c>
      <c r="FP79" s="267"/>
      <c r="FQ79" s="267"/>
      <c r="FR79" s="267"/>
      <c r="FS79" s="266" t="s">
        <v>54</v>
      </c>
      <c r="FT79" s="267"/>
      <c r="FU79" s="268"/>
      <c r="FV79" s="264"/>
      <c r="FW79" s="94"/>
      <c r="FX79" s="89"/>
      <c r="FY79" s="265"/>
      <c r="FZ79" s="266" t="s">
        <v>23</v>
      </c>
      <c r="GA79" s="267" t="s">
        <v>53</v>
      </c>
      <c r="GB79" s="267"/>
      <c r="GC79" s="267"/>
      <c r="GD79" s="267"/>
      <c r="GE79" s="266" t="s">
        <v>54</v>
      </c>
      <c r="GF79" s="267"/>
      <c r="GG79" s="268"/>
      <c r="GH79" s="264"/>
      <c r="GI79" s="94"/>
      <c r="GJ79" s="89"/>
      <c r="GK79" s="265"/>
      <c r="GL79" s="266" t="s">
        <v>23</v>
      </c>
      <c r="GM79" s="267" t="s">
        <v>53</v>
      </c>
      <c r="GN79" s="267"/>
      <c r="GO79" s="267"/>
      <c r="GP79" s="267"/>
      <c r="GQ79" s="266" t="s">
        <v>54</v>
      </c>
      <c r="GR79" s="267"/>
      <c r="GS79" s="268"/>
      <c r="GT79" s="264"/>
      <c r="GU79" s="94"/>
      <c r="GV79" s="89"/>
      <c r="GW79" s="265"/>
      <c r="GX79" s="266" t="s">
        <v>23</v>
      </c>
      <c r="GY79" s="267" t="s">
        <v>53</v>
      </c>
      <c r="GZ79" s="267"/>
      <c r="HA79" s="267"/>
      <c r="HB79" s="267"/>
      <c r="HC79" s="266" t="s">
        <v>54</v>
      </c>
      <c r="HD79" s="267"/>
      <c r="HE79" s="268"/>
      <c r="HF79" s="264"/>
      <c r="HG79" s="94"/>
      <c r="HH79" s="89"/>
      <c r="HI79" s="87"/>
    </row>
    <row r="80" ht="15.0" customHeight="1">
      <c r="A80" s="265"/>
      <c r="B80" s="266" t="s">
        <v>55</v>
      </c>
      <c r="C80" s="267" t="s">
        <v>56</v>
      </c>
      <c r="D80" s="267"/>
      <c r="E80" s="267"/>
      <c r="F80" s="267"/>
      <c r="G80" s="266" t="s">
        <v>84</v>
      </c>
      <c r="H80" s="267"/>
      <c r="I80" s="268"/>
      <c r="J80" s="264"/>
      <c r="K80" s="95" t="str">
        <f>"III/"&amp;K$6</f>
        <v>III/2010</v>
      </c>
      <c r="L80" s="89"/>
      <c r="M80" s="265"/>
      <c r="N80" s="266" t="s">
        <v>55</v>
      </c>
      <c r="O80" s="267" t="s">
        <v>56</v>
      </c>
      <c r="P80" s="267"/>
      <c r="Q80" s="267"/>
      <c r="R80" s="267"/>
      <c r="S80" s="266" t="s">
        <v>84</v>
      </c>
      <c r="T80" s="267"/>
      <c r="U80" s="268"/>
      <c r="V80" s="264"/>
      <c r="W80" s="95" t="str">
        <f>"III/"&amp;W$6</f>
        <v>III/2011</v>
      </c>
      <c r="X80" s="89"/>
      <c r="Y80" s="265"/>
      <c r="Z80" s="266" t="s">
        <v>55</v>
      </c>
      <c r="AA80" s="267" t="s">
        <v>56</v>
      </c>
      <c r="AB80" s="267"/>
      <c r="AC80" s="267"/>
      <c r="AD80" s="267"/>
      <c r="AE80" s="266" t="s">
        <v>84</v>
      </c>
      <c r="AF80" s="267"/>
      <c r="AG80" s="268"/>
      <c r="AH80" s="264"/>
      <c r="AI80" s="95" t="str">
        <f>"III/"&amp;AI$6</f>
        <v>III/2012</v>
      </c>
      <c r="AJ80" s="89"/>
      <c r="AK80" s="265"/>
      <c r="AL80" s="266" t="s">
        <v>55</v>
      </c>
      <c r="AM80" s="267" t="s">
        <v>56</v>
      </c>
      <c r="AN80" s="267"/>
      <c r="AO80" s="267"/>
      <c r="AP80" s="267"/>
      <c r="AQ80" s="266" t="s">
        <v>84</v>
      </c>
      <c r="AR80" s="267"/>
      <c r="AS80" s="268"/>
      <c r="AT80" s="264"/>
      <c r="AU80" s="95" t="str">
        <f>"III/"&amp;AU$6</f>
        <v>III/2013</v>
      </c>
      <c r="AV80" s="89"/>
      <c r="AW80" s="265"/>
      <c r="AX80" s="266" t="s">
        <v>55</v>
      </c>
      <c r="AY80" s="267" t="s">
        <v>56</v>
      </c>
      <c r="AZ80" s="267"/>
      <c r="BA80" s="267"/>
      <c r="BB80" s="267"/>
      <c r="BC80" s="266" t="s">
        <v>84</v>
      </c>
      <c r="BD80" s="267"/>
      <c r="BE80" s="268"/>
      <c r="BF80" s="264"/>
      <c r="BG80" s="95" t="str">
        <f>"III/"&amp;BG$6</f>
        <v>III/2014</v>
      </c>
      <c r="BH80" s="89"/>
      <c r="BI80" s="265"/>
      <c r="BJ80" s="266" t="s">
        <v>55</v>
      </c>
      <c r="BK80" s="267" t="s">
        <v>56</v>
      </c>
      <c r="BL80" s="267"/>
      <c r="BM80" s="267"/>
      <c r="BN80" s="267"/>
      <c r="BO80" s="266" t="s">
        <v>84</v>
      </c>
      <c r="BP80" s="267"/>
      <c r="BQ80" s="268"/>
      <c r="BR80" s="264"/>
      <c r="BS80" s="95" t="str">
        <f>"III/"&amp;BS$6</f>
        <v>III/2015</v>
      </c>
      <c r="BT80" s="89"/>
      <c r="BU80" s="265"/>
      <c r="BV80" s="266" t="s">
        <v>55</v>
      </c>
      <c r="BW80" s="267" t="s">
        <v>56</v>
      </c>
      <c r="BX80" s="267"/>
      <c r="BY80" s="267"/>
      <c r="BZ80" s="267"/>
      <c r="CA80" s="266" t="s">
        <v>84</v>
      </c>
      <c r="CB80" s="267"/>
      <c r="CC80" s="268"/>
      <c r="CD80" s="264"/>
      <c r="CE80" s="95" t="str">
        <f>"III/"&amp;CE$6</f>
        <v>III/2016</v>
      </c>
      <c r="CF80" s="89"/>
      <c r="CG80" s="265"/>
      <c r="CH80" s="266" t="s">
        <v>55</v>
      </c>
      <c r="CI80" s="267" t="s">
        <v>56</v>
      </c>
      <c r="CJ80" s="267"/>
      <c r="CK80" s="267"/>
      <c r="CL80" s="267"/>
      <c r="CM80" s="266" t="s">
        <v>84</v>
      </c>
      <c r="CN80" s="267"/>
      <c r="CO80" s="268"/>
      <c r="CP80" s="264"/>
      <c r="CQ80" s="95" t="str">
        <f>"III/"&amp;CQ$6</f>
        <v>III/2017</v>
      </c>
      <c r="CR80" s="89"/>
      <c r="CS80" s="265"/>
      <c r="CT80" s="266" t="s">
        <v>55</v>
      </c>
      <c r="CU80" s="267" t="s">
        <v>56</v>
      </c>
      <c r="CV80" s="267"/>
      <c r="CW80" s="267"/>
      <c r="CX80" s="267"/>
      <c r="CY80" s="266" t="s">
        <v>84</v>
      </c>
      <c r="CZ80" s="267"/>
      <c r="DA80" s="268"/>
      <c r="DB80" s="264"/>
      <c r="DC80" s="95" t="str">
        <f>"III/"&amp;DC$6</f>
        <v>III/2018</v>
      </c>
      <c r="DD80" s="89"/>
      <c r="DE80" s="265"/>
      <c r="DF80" s="266" t="s">
        <v>55</v>
      </c>
      <c r="DG80" s="267" t="s">
        <v>56</v>
      </c>
      <c r="DH80" s="267"/>
      <c r="DI80" s="267"/>
      <c r="DJ80" s="267"/>
      <c r="DK80" s="266" t="s">
        <v>84</v>
      </c>
      <c r="DL80" s="267"/>
      <c r="DM80" s="268"/>
      <c r="DN80" s="264"/>
      <c r="DO80" s="95" t="str">
        <f>"III/"&amp;DO$6</f>
        <v>III/2019</v>
      </c>
      <c r="DP80" s="89"/>
      <c r="DQ80" s="265"/>
      <c r="DR80" s="266" t="s">
        <v>55</v>
      </c>
      <c r="DS80" s="267" t="s">
        <v>56</v>
      </c>
      <c r="DT80" s="267"/>
      <c r="DU80" s="267"/>
      <c r="DV80" s="267"/>
      <c r="DW80" s="266" t="s">
        <v>84</v>
      </c>
      <c r="DX80" s="267"/>
      <c r="DY80" s="268"/>
      <c r="DZ80" s="264"/>
      <c r="EA80" s="95" t="str">
        <f>"III/"&amp;EA$6</f>
        <v>III/2020</v>
      </c>
      <c r="EB80" s="89"/>
      <c r="EC80" s="265"/>
      <c r="ED80" s="266" t="s">
        <v>55</v>
      </c>
      <c r="EE80" s="267" t="s">
        <v>56</v>
      </c>
      <c r="EF80" s="267"/>
      <c r="EG80" s="267"/>
      <c r="EH80" s="267"/>
      <c r="EI80" s="266" t="s">
        <v>84</v>
      </c>
      <c r="EJ80" s="267"/>
      <c r="EK80" s="268"/>
      <c r="EL80" s="264"/>
      <c r="EM80" s="95" t="str">
        <f>"III/"&amp;EM$6</f>
        <v>III/2021</v>
      </c>
      <c r="EN80" s="89"/>
      <c r="EO80" s="265"/>
      <c r="EP80" s="266" t="s">
        <v>55</v>
      </c>
      <c r="EQ80" s="267" t="s">
        <v>56</v>
      </c>
      <c r="ER80" s="267"/>
      <c r="ES80" s="267"/>
      <c r="ET80" s="267"/>
      <c r="EU80" s="266" t="s">
        <v>84</v>
      </c>
      <c r="EV80" s="267"/>
      <c r="EW80" s="268"/>
      <c r="EX80" s="264"/>
      <c r="EY80" s="95" t="str">
        <f>"III/"&amp;EY$6</f>
        <v>III/2022</v>
      </c>
      <c r="EZ80" s="89"/>
      <c r="FA80" s="265"/>
      <c r="FB80" s="266" t="s">
        <v>55</v>
      </c>
      <c r="FC80" s="267" t="s">
        <v>56</v>
      </c>
      <c r="FD80" s="267"/>
      <c r="FE80" s="267"/>
      <c r="FF80" s="267"/>
      <c r="FG80" s="266" t="s">
        <v>84</v>
      </c>
      <c r="FH80" s="267"/>
      <c r="FI80" s="268"/>
      <c r="FJ80" s="264"/>
      <c r="FK80" s="95" t="str">
        <f>"III/"&amp;FK$6</f>
        <v>III/2023</v>
      </c>
      <c r="FL80" s="89"/>
      <c r="FM80" s="265"/>
      <c r="FN80" s="266" t="s">
        <v>55</v>
      </c>
      <c r="FO80" s="267" t="s">
        <v>56</v>
      </c>
      <c r="FP80" s="267"/>
      <c r="FQ80" s="267"/>
      <c r="FR80" s="267"/>
      <c r="FS80" s="266" t="s">
        <v>84</v>
      </c>
      <c r="FT80" s="267"/>
      <c r="FU80" s="268"/>
      <c r="FV80" s="264"/>
      <c r="FW80" s="95" t="str">
        <f>"III/"&amp;FW$6</f>
        <v>III/2024</v>
      </c>
      <c r="FX80" s="89"/>
      <c r="FY80" s="265"/>
      <c r="FZ80" s="266" t="s">
        <v>55</v>
      </c>
      <c r="GA80" s="267" t="s">
        <v>56</v>
      </c>
      <c r="GB80" s="267"/>
      <c r="GC80" s="267"/>
      <c r="GD80" s="267"/>
      <c r="GE80" s="266" t="s">
        <v>84</v>
      </c>
      <c r="GF80" s="267"/>
      <c r="GG80" s="268"/>
      <c r="GH80" s="264"/>
      <c r="GI80" s="95" t="str">
        <f>"III/"&amp;GI$6</f>
        <v>III/2025</v>
      </c>
      <c r="GJ80" s="89"/>
      <c r="GK80" s="265"/>
      <c r="GL80" s="266" t="s">
        <v>55</v>
      </c>
      <c r="GM80" s="267" t="s">
        <v>56</v>
      </c>
      <c r="GN80" s="267"/>
      <c r="GO80" s="267"/>
      <c r="GP80" s="267"/>
      <c r="GQ80" s="266" t="s">
        <v>84</v>
      </c>
      <c r="GR80" s="267"/>
      <c r="GS80" s="268"/>
      <c r="GT80" s="264"/>
      <c r="GU80" s="95" t="str">
        <f>"III/"&amp;GU$6</f>
        <v>III/2026</v>
      </c>
      <c r="GV80" s="89"/>
      <c r="GW80" s="265"/>
      <c r="GX80" s="266" t="s">
        <v>55</v>
      </c>
      <c r="GY80" s="267" t="s">
        <v>56</v>
      </c>
      <c r="GZ80" s="267"/>
      <c r="HA80" s="267"/>
      <c r="HB80" s="267"/>
      <c r="HC80" s="266" t="s">
        <v>84</v>
      </c>
      <c r="HD80" s="267"/>
      <c r="HE80" s="268"/>
      <c r="HF80" s="264"/>
      <c r="HG80" s="95" t="str">
        <f>"III/"&amp;HG$6</f>
        <v>III/2027</v>
      </c>
      <c r="HH80" s="89"/>
      <c r="HI80" s="87"/>
    </row>
    <row r="81" ht="15.0" customHeight="1">
      <c r="A81" s="265"/>
      <c r="B81" s="266" t="s">
        <v>58</v>
      </c>
      <c r="C81" s="267" t="s">
        <v>59</v>
      </c>
      <c r="D81" s="267"/>
      <c r="E81" s="267"/>
      <c r="F81" s="267"/>
      <c r="G81" s="269" t="s">
        <v>81</v>
      </c>
      <c r="H81" s="267"/>
      <c r="I81" s="268"/>
      <c r="J81" s="264"/>
      <c r="K81" s="94"/>
      <c r="L81" s="89"/>
      <c r="M81" s="265"/>
      <c r="N81" s="266" t="s">
        <v>58</v>
      </c>
      <c r="O81" s="267" t="s">
        <v>59</v>
      </c>
      <c r="P81" s="267"/>
      <c r="Q81" s="267"/>
      <c r="R81" s="267"/>
      <c r="S81" s="269" t="s">
        <v>81</v>
      </c>
      <c r="T81" s="267"/>
      <c r="U81" s="268"/>
      <c r="V81" s="264"/>
      <c r="W81" s="94"/>
      <c r="X81" s="89"/>
      <c r="Y81" s="265"/>
      <c r="Z81" s="266" t="s">
        <v>58</v>
      </c>
      <c r="AA81" s="267" t="s">
        <v>59</v>
      </c>
      <c r="AB81" s="267"/>
      <c r="AC81" s="267"/>
      <c r="AD81" s="267"/>
      <c r="AE81" s="269" t="s">
        <v>81</v>
      </c>
      <c r="AF81" s="267"/>
      <c r="AG81" s="268"/>
      <c r="AH81" s="264"/>
      <c r="AI81" s="94"/>
      <c r="AJ81" s="89"/>
      <c r="AK81" s="265"/>
      <c r="AL81" s="266" t="s">
        <v>58</v>
      </c>
      <c r="AM81" s="267" t="s">
        <v>59</v>
      </c>
      <c r="AN81" s="267"/>
      <c r="AO81" s="267"/>
      <c r="AP81" s="267"/>
      <c r="AQ81" s="269" t="s">
        <v>81</v>
      </c>
      <c r="AR81" s="267"/>
      <c r="AS81" s="268"/>
      <c r="AT81" s="264"/>
      <c r="AU81" s="94"/>
      <c r="AV81" s="89"/>
      <c r="AW81" s="265"/>
      <c r="AX81" s="266" t="s">
        <v>58</v>
      </c>
      <c r="AY81" s="267" t="s">
        <v>59</v>
      </c>
      <c r="AZ81" s="267"/>
      <c r="BA81" s="267"/>
      <c r="BB81" s="267"/>
      <c r="BC81" s="269" t="s">
        <v>81</v>
      </c>
      <c r="BD81" s="267"/>
      <c r="BE81" s="268"/>
      <c r="BF81" s="264"/>
      <c r="BG81" s="94"/>
      <c r="BH81" s="89"/>
      <c r="BI81" s="265"/>
      <c r="BJ81" s="266" t="s">
        <v>58</v>
      </c>
      <c r="BK81" s="267" t="s">
        <v>59</v>
      </c>
      <c r="BL81" s="267"/>
      <c r="BM81" s="267"/>
      <c r="BN81" s="267"/>
      <c r="BO81" s="269" t="s">
        <v>81</v>
      </c>
      <c r="BP81" s="267"/>
      <c r="BQ81" s="268"/>
      <c r="BR81" s="264"/>
      <c r="BS81" s="94"/>
      <c r="BT81" s="89"/>
      <c r="BU81" s="265"/>
      <c r="BV81" s="266" t="s">
        <v>58</v>
      </c>
      <c r="BW81" s="267" t="s">
        <v>59</v>
      </c>
      <c r="BX81" s="267"/>
      <c r="BY81" s="267"/>
      <c r="BZ81" s="267"/>
      <c r="CA81" s="269" t="s">
        <v>81</v>
      </c>
      <c r="CB81" s="267"/>
      <c r="CC81" s="268"/>
      <c r="CD81" s="264"/>
      <c r="CE81" s="94"/>
      <c r="CF81" s="89"/>
      <c r="CG81" s="265"/>
      <c r="CH81" s="266" t="s">
        <v>58</v>
      </c>
      <c r="CI81" s="267" t="s">
        <v>59</v>
      </c>
      <c r="CJ81" s="267"/>
      <c r="CK81" s="267"/>
      <c r="CL81" s="267"/>
      <c r="CM81" s="269" t="s">
        <v>81</v>
      </c>
      <c r="CN81" s="267"/>
      <c r="CO81" s="268"/>
      <c r="CP81" s="264"/>
      <c r="CQ81" s="94"/>
      <c r="CR81" s="89"/>
      <c r="CS81" s="265"/>
      <c r="CT81" s="266" t="s">
        <v>58</v>
      </c>
      <c r="CU81" s="267" t="s">
        <v>59</v>
      </c>
      <c r="CV81" s="267"/>
      <c r="CW81" s="267"/>
      <c r="CX81" s="267"/>
      <c r="CY81" s="269" t="s">
        <v>81</v>
      </c>
      <c r="CZ81" s="267"/>
      <c r="DA81" s="268"/>
      <c r="DB81" s="264"/>
      <c r="DC81" s="94"/>
      <c r="DD81" s="89"/>
      <c r="DE81" s="265"/>
      <c r="DF81" s="266" t="s">
        <v>58</v>
      </c>
      <c r="DG81" s="267" t="s">
        <v>59</v>
      </c>
      <c r="DH81" s="267"/>
      <c r="DI81" s="267"/>
      <c r="DJ81" s="267"/>
      <c r="DK81" s="269" t="s">
        <v>81</v>
      </c>
      <c r="DL81" s="267"/>
      <c r="DM81" s="268"/>
      <c r="DN81" s="264"/>
      <c r="DO81" s="94"/>
      <c r="DP81" s="89"/>
      <c r="DQ81" s="265"/>
      <c r="DR81" s="266" t="s">
        <v>58</v>
      </c>
      <c r="DS81" s="267" t="s">
        <v>59</v>
      </c>
      <c r="DT81" s="267"/>
      <c r="DU81" s="267"/>
      <c r="DV81" s="267"/>
      <c r="DW81" s="269" t="s">
        <v>81</v>
      </c>
      <c r="DX81" s="267"/>
      <c r="DY81" s="268"/>
      <c r="DZ81" s="264"/>
      <c r="EA81" s="94"/>
      <c r="EB81" s="89"/>
      <c r="EC81" s="265"/>
      <c r="ED81" s="266" t="s">
        <v>58</v>
      </c>
      <c r="EE81" s="267" t="s">
        <v>59</v>
      </c>
      <c r="EF81" s="267"/>
      <c r="EG81" s="267"/>
      <c r="EH81" s="267"/>
      <c r="EI81" s="269" t="s">
        <v>81</v>
      </c>
      <c r="EJ81" s="267"/>
      <c r="EK81" s="268"/>
      <c r="EL81" s="264"/>
      <c r="EM81" s="94"/>
      <c r="EN81" s="89"/>
      <c r="EO81" s="265"/>
      <c r="EP81" s="266" t="s">
        <v>58</v>
      </c>
      <c r="EQ81" s="267" t="s">
        <v>59</v>
      </c>
      <c r="ER81" s="267"/>
      <c r="ES81" s="267"/>
      <c r="ET81" s="267"/>
      <c r="EU81" s="269" t="s">
        <v>81</v>
      </c>
      <c r="EV81" s="267"/>
      <c r="EW81" s="268"/>
      <c r="EX81" s="264"/>
      <c r="EY81" s="94"/>
      <c r="EZ81" s="89"/>
      <c r="FA81" s="265"/>
      <c r="FB81" s="266" t="s">
        <v>58</v>
      </c>
      <c r="FC81" s="267" t="s">
        <v>59</v>
      </c>
      <c r="FD81" s="267"/>
      <c r="FE81" s="267"/>
      <c r="FF81" s="267"/>
      <c r="FG81" s="269" t="s">
        <v>81</v>
      </c>
      <c r="FH81" s="267"/>
      <c r="FI81" s="268"/>
      <c r="FJ81" s="264"/>
      <c r="FK81" s="94"/>
      <c r="FL81" s="89"/>
      <c r="FM81" s="265"/>
      <c r="FN81" s="266" t="s">
        <v>58</v>
      </c>
      <c r="FO81" s="267" t="s">
        <v>59</v>
      </c>
      <c r="FP81" s="267"/>
      <c r="FQ81" s="267"/>
      <c r="FR81" s="267"/>
      <c r="FS81" s="269" t="s">
        <v>81</v>
      </c>
      <c r="FT81" s="267"/>
      <c r="FU81" s="268"/>
      <c r="FV81" s="264"/>
      <c r="FW81" s="94"/>
      <c r="FX81" s="89"/>
      <c r="FY81" s="265"/>
      <c r="FZ81" s="266" t="s">
        <v>58</v>
      </c>
      <c r="GA81" s="267" t="s">
        <v>59</v>
      </c>
      <c r="GB81" s="267"/>
      <c r="GC81" s="267"/>
      <c r="GD81" s="267"/>
      <c r="GE81" s="269" t="s">
        <v>81</v>
      </c>
      <c r="GF81" s="267"/>
      <c r="GG81" s="268"/>
      <c r="GH81" s="264"/>
      <c r="GI81" s="94"/>
      <c r="GJ81" s="89"/>
      <c r="GK81" s="265"/>
      <c r="GL81" s="266" t="s">
        <v>58</v>
      </c>
      <c r="GM81" s="267" t="s">
        <v>59</v>
      </c>
      <c r="GN81" s="267"/>
      <c r="GO81" s="267"/>
      <c r="GP81" s="267"/>
      <c r="GQ81" s="269" t="s">
        <v>81</v>
      </c>
      <c r="GR81" s="267"/>
      <c r="GS81" s="268"/>
      <c r="GT81" s="264"/>
      <c r="GU81" s="94"/>
      <c r="GV81" s="89"/>
      <c r="GW81" s="265"/>
      <c r="GX81" s="266" t="s">
        <v>58</v>
      </c>
      <c r="GY81" s="267" t="s">
        <v>59</v>
      </c>
      <c r="GZ81" s="267"/>
      <c r="HA81" s="267"/>
      <c r="HB81" s="267"/>
      <c r="HC81" s="269" t="s">
        <v>81</v>
      </c>
      <c r="HD81" s="267"/>
      <c r="HE81" s="268"/>
      <c r="HF81" s="264"/>
      <c r="HG81" s="94"/>
      <c r="HH81" s="89"/>
      <c r="HI81" s="87"/>
    </row>
    <row r="82" ht="15.75" customHeight="1">
      <c r="A82" s="270"/>
      <c r="B82" s="271" t="s">
        <v>60</v>
      </c>
      <c r="C82" s="272" t="s">
        <v>85</v>
      </c>
      <c r="D82" s="272"/>
      <c r="E82" s="272"/>
      <c r="F82" s="272"/>
      <c r="G82" s="272" t="str">
        <f>"Tahun "&amp;K$6</f>
        <v>Tahun 2010</v>
      </c>
      <c r="H82" s="272"/>
      <c r="I82" s="273"/>
      <c r="J82" s="264"/>
      <c r="K82" s="87"/>
      <c r="L82" s="89"/>
      <c r="M82" s="270"/>
      <c r="N82" s="271" t="s">
        <v>60</v>
      </c>
      <c r="O82" s="272" t="s">
        <v>85</v>
      </c>
      <c r="P82" s="272"/>
      <c r="Q82" s="272"/>
      <c r="R82" s="272"/>
      <c r="S82" s="272" t="str">
        <f>"Tahun "&amp;W$6</f>
        <v>Tahun 2011</v>
      </c>
      <c r="T82" s="272"/>
      <c r="U82" s="273"/>
      <c r="V82" s="264"/>
      <c r="W82" s="87"/>
      <c r="X82" s="89"/>
      <c r="Y82" s="270"/>
      <c r="Z82" s="271" t="s">
        <v>60</v>
      </c>
      <c r="AA82" s="272" t="s">
        <v>85</v>
      </c>
      <c r="AB82" s="272"/>
      <c r="AC82" s="272"/>
      <c r="AD82" s="272"/>
      <c r="AE82" s="272" t="str">
        <f>"Tahun "&amp;AI$6</f>
        <v>Tahun 2012</v>
      </c>
      <c r="AF82" s="272"/>
      <c r="AG82" s="273"/>
      <c r="AH82" s="264"/>
      <c r="AI82" s="87"/>
      <c r="AJ82" s="89"/>
      <c r="AK82" s="270"/>
      <c r="AL82" s="271" t="s">
        <v>60</v>
      </c>
      <c r="AM82" s="272" t="s">
        <v>85</v>
      </c>
      <c r="AN82" s="272"/>
      <c r="AO82" s="272"/>
      <c r="AP82" s="272"/>
      <c r="AQ82" s="272" t="str">
        <f>"Tahun "&amp;AU$6</f>
        <v>Tahun 2013</v>
      </c>
      <c r="AR82" s="272"/>
      <c r="AS82" s="273"/>
      <c r="AT82" s="264"/>
      <c r="AU82" s="87"/>
      <c r="AV82" s="89"/>
      <c r="AW82" s="270"/>
      <c r="AX82" s="271" t="s">
        <v>60</v>
      </c>
      <c r="AY82" s="272" t="s">
        <v>85</v>
      </c>
      <c r="AZ82" s="272"/>
      <c r="BA82" s="272"/>
      <c r="BB82" s="272"/>
      <c r="BC82" s="272" t="str">
        <f>"Tahun "&amp;BG$6</f>
        <v>Tahun 2014</v>
      </c>
      <c r="BD82" s="272"/>
      <c r="BE82" s="273"/>
      <c r="BF82" s="264"/>
      <c r="BG82" s="87"/>
      <c r="BH82" s="89"/>
      <c r="BI82" s="270"/>
      <c r="BJ82" s="271" t="s">
        <v>60</v>
      </c>
      <c r="BK82" s="272" t="s">
        <v>85</v>
      </c>
      <c r="BL82" s="272"/>
      <c r="BM82" s="272"/>
      <c r="BN82" s="272"/>
      <c r="BO82" s="272" t="str">
        <f>"Tahun "&amp;BS$6</f>
        <v>Tahun 2015</v>
      </c>
      <c r="BP82" s="272"/>
      <c r="BQ82" s="273"/>
      <c r="BR82" s="264"/>
      <c r="BS82" s="87"/>
      <c r="BT82" s="89"/>
      <c r="BU82" s="270"/>
      <c r="BV82" s="271" t="s">
        <v>60</v>
      </c>
      <c r="BW82" s="272" t="s">
        <v>85</v>
      </c>
      <c r="BX82" s="272"/>
      <c r="BY82" s="272"/>
      <c r="BZ82" s="272"/>
      <c r="CA82" s="272" t="str">
        <f>"Tahun "&amp;CE$6</f>
        <v>Tahun 2016</v>
      </c>
      <c r="CB82" s="272"/>
      <c r="CC82" s="273"/>
      <c r="CD82" s="264"/>
      <c r="CE82" s="87"/>
      <c r="CF82" s="89"/>
      <c r="CG82" s="270"/>
      <c r="CH82" s="271" t="s">
        <v>60</v>
      </c>
      <c r="CI82" s="272" t="s">
        <v>85</v>
      </c>
      <c r="CJ82" s="272"/>
      <c r="CK82" s="272"/>
      <c r="CL82" s="272"/>
      <c r="CM82" s="272" t="str">
        <f>"Tahun "&amp;CQ$6</f>
        <v>Tahun 2017</v>
      </c>
      <c r="CN82" s="272"/>
      <c r="CO82" s="273"/>
      <c r="CP82" s="264"/>
      <c r="CQ82" s="87"/>
      <c r="CR82" s="89"/>
      <c r="CS82" s="270"/>
      <c r="CT82" s="271" t="s">
        <v>60</v>
      </c>
      <c r="CU82" s="272" t="s">
        <v>85</v>
      </c>
      <c r="CV82" s="272"/>
      <c r="CW82" s="272"/>
      <c r="CX82" s="272"/>
      <c r="CY82" s="272" t="str">
        <f>"Tahun "&amp;DC$6</f>
        <v>Tahun 2018</v>
      </c>
      <c r="CZ82" s="272"/>
      <c r="DA82" s="273"/>
      <c r="DB82" s="264"/>
      <c r="DC82" s="87"/>
      <c r="DD82" s="89"/>
      <c r="DE82" s="270"/>
      <c r="DF82" s="271" t="s">
        <v>60</v>
      </c>
      <c r="DG82" s="272" t="s">
        <v>85</v>
      </c>
      <c r="DH82" s="272"/>
      <c r="DI82" s="272"/>
      <c r="DJ82" s="272"/>
      <c r="DK82" s="272" t="str">
        <f>"Tahun "&amp;DO$6</f>
        <v>Tahun 2019</v>
      </c>
      <c r="DL82" s="272"/>
      <c r="DM82" s="273"/>
      <c r="DN82" s="264"/>
      <c r="DO82" s="87"/>
      <c r="DP82" s="89"/>
      <c r="DQ82" s="270"/>
      <c r="DR82" s="271" t="s">
        <v>60</v>
      </c>
      <c r="DS82" s="272" t="s">
        <v>85</v>
      </c>
      <c r="DT82" s="272"/>
      <c r="DU82" s="272"/>
      <c r="DV82" s="272"/>
      <c r="DW82" s="272" t="str">
        <f>"Tahun "&amp;EA$6</f>
        <v>Tahun 2020</v>
      </c>
      <c r="DX82" s="272"/>
      <c r="DY82" s="273"/>
      <c r="DZ82" s="264"/>
      <c r="EA82" s="87"/>
      <c r="EB82" s="89"/>
      <c r="EC82" s="270"/>
      <c r="ED82" s="271" t="s">
        <v>60</v>
      </c>
      <c r="EE82" s="272" t="s">
        <v>85</v>
      </c>
      <c r="EF82" s="272"/>
      <c r="EG82" s="272"/>
      <c r="EH82" s="272"/>
      <c r="EI82" s="272" t="str">
        <f>"Tahun "&amp;EM$6</f>
        <v>Tahun 2021</v>
      </c>
      <c r="EJ82" s="272"/>
      <c r="EK82" s="273"/>
      <c r="EL82" s="264"/>
      <c r="EM82" s="87"/>
      <c r="EN82" s="89"/>
      <c r="EO82" s="270"/>
      <c r="EP82" s="271" t="s">
        <v>60</v>
      </c>
      <c r="EQ82" s="272" t="s">
        <v>85</v>
      </c>
      <c r="ER82" s="272"/>
      <c r="ES82" s="272"/>
      <c r="ET82" s="272"/>
      <c r="EU82" s="272" t="str">
        <f>"Tahun "&amp;EY$6</f>
        <v>Tahun 2022</v>
      </c>
      <c r="EV82" s="272"/>
      <c r="EW82" s="273"/>
      <c r="EX82" s="264"/>
      <c r="EY82" s="87"/>
      <c r="EZ82" s="89"/>
      <c r="FA82" s="270"/>
      <c r="FB82" s="271" t="s">
        <v>60</v>
      </c>
      <c r="FC82" s="272" t="s">
        <v>85</v>
      </c>
      <c r="FD82" s="272"/>
      <c r="FE82" s="272"/>
      <c r="FF82" s="272"/>
      <c r="FG82" s="272" t="str">
        <f>"Tahun "&amp;FK$6</f>
        <v>Tahun 2023</v>
      </c>
      <c r="FH82" s="272"/>
      <c r="FI82" s="273"/>
      <c r="FJ82" s="264"/>
      <c r="FK82" s="87"/>
      <c r="FL82" s="89"/>
      <c r="FM82" s="270"/>
      <c r="FN82" s="271" t="s">
        <v>60</v>
      </c>
      <c r="FO82" s="272" t="s">
        <v>85</v>
      </c>
      <c r="FP82" s="272"/>
      <c r="FQ82" s="272"/>
      <c r="FR82" s="272"/>
      <c r="FS82" s="272" t="str">
        <f>"Tahun "&amp;FW$6</f>
        <v>Tahun 2024</v>
      </c>
      <c r="FT82" s="272"/>
      <c r="FU82" s="273"/>
      <c r="FV82" s="264"/>
      <c r="FW82" s="87"/>
      <c r="FX82" s="89"/>
      <c r="FY82" s="270"/>
      <c r="FZ82" s="271" t="s">
        <v>60</v>
      </c>
      <c r="GA82" s="272" t="s">
        <v>85</v>
      </c>
      <c r="GB82" s="272"/>
      <c r="GC82" s="272"/>
      <c r="GD82" s="272"/>
      <c r="GE82" s="272" t="str">
        <f>"Tahun "&amp;GI$6</f>
        <v>Tahun 2025</v>
      </c>
      <c r="GF82" s="272"/>
      <c r="GG82" s="273"/>
      <c r="GH82" s="264"/>
      <c r="GI82" s="87"/>
      <c r="GJ82" s="89"/>
      <c r="GK82" s="270"/>
      <c r="GL82" s="271" t="s">
        <v>60</v>
      </c>
      <c r="GM82" s="272" t="s">
        <v>85</v>
      </c>
      <c r="GN82" s="272"/>
      <c r="GO82" s="272"/>
      <c r="GP82" s="272"/>
      <c r="GQ82" s="272" t="str">
        <f>"Tahun "&amp;GU$6</f>
        <v>Tahun 2026</v>
      </c>
      <c r="GR82" s="272"/>
      <c r="GS82" s="273"/>
      <c r="GT82" s="264"/>
      <c r="GU82" s="87"/>
      <c r="GV82" s="89"/>
      <c r="GW82" s="270"/>
      <c r="GX82" s="271" t="s">
        <v>60</v>
      </c>
      <c r="GY82" s="272" t="s">
        <v>85</v>
      </c>
      <c r="GZ82" s="272"/>
      <c r="HA82" s="272"/>
      <c r="HB82" s="272"/>
      <c r="HC82" s="272" t="str">
        <f>"Tahun "&amp;HG$6</f>
        <v>Tahun 2027</v>
      </c>
      <c r="HD82" s="272"/>
      <c r="HE82" s="273"/>
      <c r="HF82" s="264"/>
      <c r="HG82" s="87"/>
      <c r="HH82" s="89"/>
      <c r="HI82" s="87"/>
    </row>
    <row r="83" ht="15.75" customHeight="1">
      <c r="A83" s="74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81"/>
      <c r="M83" s="74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81"/>
      <c r="Y83" s="74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81"/>
      <c r="AK83" s="74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81"/>
      <c r="AW83" s="74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81"/>
      <c r="BI83" s="74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81"/>
      <c r="BU83" s="74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81"/>
      <c r="CG83" s="74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81"/>
      <c r="CS83" s="74"/>
      <c r="CT83" s="75"/>
      <c r="CU83" s="75"/>
      <c r="CV83" s="75"/>
      <c r="CW83" s="75"/>
      <c r="CX83" s="75"/>
      <c r="CY83" s="75"/>
      <c r="CZ83" s="75"/>
      <c r="DA83" s="75"/>
      <c r="DB83" s="75"/>
      <c r="DC83" s="75"/>
      <c r="DD83" s="81"/>
      <c r="DE83" s="74"/>
      <c r="DF83" s="75"/>
      <c r="DG83" s="75"/>
      <c r="DH83" s="75"/>
      <c r="DI83" s="75"/>
      <c r="DJ83" s="75"/>
      <c r="DK83" s="75"/>
      <c r="DL83" s="75"/>
      <c r="DM83" s="75"/>
      <c r="DN83" s="75"/>
      <c r="DO83" s="75"/>
      <c r="DP83" s="81"/>
      <c r="DQ83" s="74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81"/>
      <c r="EC83" s="74"/>
      <c r="ED83" s="75"/>
      <c r="EE83" s="75"/>
      <c r="EF83" s="75"/>
      <c r="EG83" s="75"/>
      <c r="EH83" s="75"/>
      <c r="EI83" s="75"/>
      <c r="EJ83" s="75"/>
      <c r="EK83" s="75"/>
      <c r="EL83" s="75"/>
      <c r="EM83" s="75"/>
      <c r="EN83" s="81"/>
      <c r="EO83" s="74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81"/>
      <c r="FA83" s="74"/>
      <c r="FB83" s="75"/>
      <c r="FC83" s="75"/>
      <c r="FD83" s="75"/>
      <c r="FE83" s="75"/>
      <c r="FF83" s="75"/>
      <c r="FG83" s="75"/>
      <c r="FH83" s="75"/>
      <c r="FI83" s="75"/>
      <c r="FJ83" s="75"/>
      <c r="FK83" s="75"/>
      <c r="FL83" s="81"/>
      <c r="FM83" s="74"/>
      <c r="FN83" s="75"/>
      <c r="FO83" s="75"/>
      <c r="FP83" s="75"/>
      <c r="FQ83" s="75"/>
      <c r="FR83" s="75"/>
      <c r="FS83" s="75"/>
      <c r="FT83" s="75"/>
      <c r="FU83" s="75"/>
      <c r="FV83" s="75"/>
      <c r="FW83" s="75"/>
      <c r="FX83" s="81"/>
      <c r="FY83" s="74"/>
      <c r="FZ83" s="75"/>
      <c r="GA83" s="75"/>
      <c r="GB83" s="75"/>
      <c r="GC83" s="75"/>
      <c r="GD83" s="75"/>
      <c r="GE83" s="75"/>
      <c r="GF83" s="75"/>
      <c r="GG83" s="75"/>
      <c r="GH83" s="75"/>
      <c r="GI83" s="75"/>
      <c r="GJ83" s="81"/>
      <c r="GK83" s="74"/>
      <c r="GL83" s="75"/>
      <c r="GM83" s="75"/>
      <c r="GN83" s="75"/>
      <c r="GO83" s="75"/>
      <c r="GP83" s="75"/>
      <c r="GQ83" s="75"/>
      <c r="GR83" s="75"/>
      <c r="GS83" s="75"/>
      <c r="GT83" s="75"/>
      <c r="GU83" s="75"/>
      <c r="GV83" s="81"/>
      <c r="GW83" s="74"/>
      <c r="GX83" s="75"/>
      <c r="GY83" s="75"/>
      <c r="GZ83" s="75"/>
      <c r="HA83" s="75"/>
      <c r="HB83" s="75"/>
      <c r="HC83" s="75"/>
      <c r="HD83" s="75"/>
      <c r="HE83" s="75"/>
      <c r="HF83" s="75"/>
      <c r="HG83" s="75"/>
      <c r="HH83" s="81"/>
      <c r="HI83" s="75"/>
    </row>
    <row r="84" ht="33.75" customHeight="1">
      <c r="A84" s="274" t="s">
        <v>62</v>
      </c>
      <c r="B84" s="275" t="s">
        <v>63</v>
      </c>
      <c r="C84" s="275" t="s">
        <v>86</v>
      </c>
      <c r="D84" s="275" t="s">
        <v>65</v>
      </c>
      <c r="E84" s="275" t="s">
        <v>66</v>
      </c>
      <c r="F84" s="276" t="s">
        <v>67</v>
      </c>
      <c r="G84" s="104"/>
      <c r="H84" s="277" t="s">
        <v>68</v>
      </c>
      <c r="I84" s="278"/>
      <c r="J84" s="278"/>
      <c r="K84" s="278"/>
      <c r="L84" s="107"/>
      <c r="M84" s="274" t="s">
        <v>62</v>
      </c>
      <c r="N84" s="275" t="s">
        <v>63</v>
      </c>
      <c r="O84" s="275" t="s">
        <v>86</v>
      </c>
      <c r="P84" s="275" t="s">
        <v>65</v>
      </c>
      <c r="Q84" s="275" t="s">
        <v>66</v>
      </c>
      <c r="R84" s="276" t="s">
        <v>67</v>
      </c>
      <c r="S84" s="104"/>
      <c r="T84" s="277" t="s">
        <v>68</v>
      </c>
      <c r="U84" s="278"/>
      <c r="V84" s="278"/>
      <c r="W84" s="278"/>
      <c r="X84" s="107"/>
      <c r="Y84" s="274" t="s">
        <v>62</v>
      </c>
      <c r="Z84" s="275" t="s">
        <v>63</v>
      </c>
      <c r="AA84" s="275" t="s">
        <v>86</v>
      </c>
      <c r="AB84" s="275" t="s">
        <v>65</v>
      </c>
      <c r="AC84" s="275" t="s">
        <v>66</v>
      </c>
      <c r="AD84" s="276" t="s">
        <v>67</v>
      </c>
      <c r="AE84" s="104"/>
      <c r="AF84" s="277" t="s">
        <v>68</v>
      </c>
      <c r="AG84" s="278"/>
      <c r="AH84" s="278"/>
      <c r="AI84" s="278"/>
      <c r="AJ84" s="107"/>
      <c r="AK84" s="274" t="s">
        <v>62</v>
      </c>
      <c r="AL84" s="275" t="s">
        <v>63</v>
      </c>
      <c r="AM84" s="275" t="s">
        <v>86</v>
      </c>
      <c r="AN84" s="275" t="s">
        <v>65</v>
      </c>
      <c r="AO84" s="275" t="s">
        <v>66</v>
      </c>
      <c r="AP84" s="276" t="s">
        <v>67</v>
      </c>
      <c r="AQ84" s="104"/>
      <c r="AR84" s="277" t="s">
        <v>68</v>
      </c>
      <c r="AS84" s="278"/>
      <c r="AT84" s="278"/>
      <c r="AU84" s="278"/>
      <c r="AV84" s="107"/>
      <c r="AW84" s="274" t="s">
        <v>62</v>
      </c>
      <c r="AX84" s="275" t="s">
        <v>63</v>
      </c>
      <c r="AY84" s="275" t="s">
        <v>86</v>
      </c>
      <c r="AZ84" s="275" t="s">
        <v>65</v>
      </c>
      <c r="BA84" s="275" t="s">
        <v>66</v>
      </c>
      <c r="BB84" s="276" t="s">
        <v>67</v>
      </c>
      <c r="BC84" s="104"/>
      <c r="BD84" s="277" t="s">
        <v>68</v>
      </c>
      <c r="BE84" s="278"/>
      <c r="BF84" s="278"/>
      <c r="BG84" s="278"/>
      <c r="BH84" s="107"/>
      <c r="BI84" s="274" t="s">
        <v>62</v>
      </c>
      <c r="BJ84" s="275" t="s">
        <v>63</v>
      </c>
      <c r="BK84" s="275" t="s">
        <v>86</v>
      </c>
      <c r="BL84" s="275" t="s">
        <v>65</v>
      </c>
      <c r="BM84" s="275" t="s">
        <v>66</v>
      </c>
      <c r="BN84" s="276" t="s">
        <v>67</v>
      </c>
      <c r="BO84" s="104"/>
      <c r="BP84" s="277" t="s">
        <v>68</v>
      </c>
      <c r="BQ84" s="278"/>
      <c r="BR84" s="278"/>
      <c r="BS84" s="278"/>
      <c r="BT84" s="107"/>
      <c r="BU84" s="274" t="s">
        <v>62</v>
      </c>
      <c r="BV84" s="275" t="s">
        <v>63</v>
      </c>
      <c r="BW84" s="275" t="s">
        <v>86</v>
      </c>
      <c r="BX84" s="275" t="s">
        <v>65</v>
      </c>
      <c r="BY84" s="275" t="s">
        <v>66</v>
      </c>
      <c r="BZ84" s="276" t="s">
        <v>67</v>
      </c>
      <c r="CA84" s="104"/>
      <c r="CB84" s="277" t="s">
        <v>68</v>
      </c>
      <c r="CC84" s="278"/>
      <c r="CD84" s="278"/>
      <c r="CE84" s="278"/>
      <c r="CF84" s="107"/>
      <c r="CG84" s="274" t="s">
        <v>62</v>
      </c>
      <c r="CH84" s="275" t="s">
        <v>63</v>
      </c>
      <c r="CI84" s="275" t="s">
        <v>86</v>
      </c>
      <c r="CJ84" s="275" t="s">
        <v>65</v>
      </c>
      <c r="CK84" s="275" t="s">
        <v>66</v>
      </c>
      <c r="CL84" s="276" t="s">
        <v>67</v>
      </c>
      <c r="CM84" s="104"/>
      <c r="CN84" s="277" t="s">
        <v>68</v>
      </c>
      <c r="CO84" s="278"/>
      <c r="CP84" s="278"/>
      <c r="CQ84" s="278"/>
      <c r="CR84" s="107"/>
      <c r="CS84" s="274" t="s">
        <v>62</v>
      </c>
      <c r="CT84" s="275" t="s">
        <v>63</v>
      </c>
      <c r="CU84" s="275" t="s">
        <v>86</v>
      </c>
      <c r="CV84" s="275" t="s">
        <v>65</v>
      </c>
      <c r="CW84" s="275" t="s">
        <v>66</v>
      </c>
      <c r="CX84" s="276" t="s">
        <v>67</v>
      </c>
      <c r="CY84" s="104"/>
      <c r="CZ84" s="277" t="s">
        <v>68</v>
      </c>
      <c r="DA84" s="278"/>
      <c r="DB84" s="278"/>
      <c r="DC84" s="278"/>
      <c r="DD84" s="107"/>
      <c r="DE84" s="274" t="s">
        <v>62</v>
      </c>
      <c r="DF84" s="275" t="s">
        <v>63</v>
      </c>
      <c r="DG84" s="275" t="s">
        <v>86</v>
      </c>
      <c r="DH84" s="275" t="s">
        <v>65</v>
      </c>
      <c r="DI84" s="275" t="s">
        <v>66</v>
      </c>
      <c r="DJ84" s="276" t="s">
        <v>67</v>
      </c>
      <c r="DK84" s="104"/>
      <c r="DL84" s="277" t="s">
        <v>68</v>
      </c>
      <c r="DM84" s="278"/>
      <c r="DN84" s="278"/>
      <c r="DO84" s="278"/>
      <c r="DP84" s="107"/>
      <c r="DQ84" s="274" t="s">
        <v>62</v>
      </c>
      <c r="DR84" s="275" t="s">
        <v>63</v>
      </c>
      <c r="DS84" s="275" t="s">
        <v>86</v>
      </c>
      <c r="DT84" s="275" t="s">
        <v>65</v>
      </c>
      <c r="DU84" s="275" t="s">
        <v>66</v>
      </c>
      <c r="DV84" s="276" t="s">
        <v>67</v>
      </c>
      <c r="DW84" s="104"/>
      <c r="DX84" s="277" t="s">
        <v>68</v>
      </c>
      <c r="DY84" s="278"/>
      <c r="DZ84" s="278"/>
      <c r="EA84" s="278"/>
      <c r="EB84" s="107"/>
      <c r="EC84" s="274" t="s">
        <v>62</v>
      </c>
      <c r="ED84" s="275" t="s">
        <v>63</v>
      </c>
      <c r="EE84" s="275" t="s">
        <v>86</v>
      </c>
      <c r="EF84" s="275" t="s">
        <v>65</v>
      </c>
      <c r="EG84" s="275" t="s">
        <v>66</v>
      </c>
      <c r="EH84" s="276" t="s">
        <v>67</v>
      </c>
      <c r="EI84" s="104"/>
      <c r="EJ84" s="277" t="s">
        <v>68</v>
      </c>
      <c r="EK84" s="278"/>
      <c r="EL84" s="278"/>
      <c r="EM84" s="278"/>
      <c r="EN84" s="107"/>
      <c r="EO84" s="274" t="s">
        <v>62</v>
      </c>
      <c r="EP84" s="275" t="s">
        <v>63</v>
      </c>
      <c r="EQ84" s="275" t="s">
        <v>86</v>
      </c>
      <c r="ER84" s="275" t="s">
        <v>65</v>
      </c>
      <c r="ES84" s="275" t="s">
        <v>66</v>
      </c>
      <c r="ET84" s="276" t="s">
        <v>67</v>
      </c>
      <c r="EU84" s="104"/>
      <c r="EV84" s="277" t="s">
        <v>68</v>
      </c>
      <c r="EW84" s="278"/>
      <c r="EX84" s="278"/>
      <c r="EY84" s="278"/>
      <c r="EZ84" s="107"/>
      <c r="FA84" s="274" t="s">
        <v>62</v>
      </c>
      <c r="FB84" s="275" t="s">
        <v>63</v>
      </c>
      <c r="FC84" s="275" t="s">
        <v>86</v>
      </c>
      <c r="FD84" s="275" t="s">
        <v>65</v>
      </c>
      <c r="FE84" s="275" t="s">
        <v>66</v>
      </c>
      <c r="FF84" s="276" t="s">
        <v>67</v>
      </c>
      <c r="FG84" s="104"/>
      <c r="FH84" s="277" t="s">
        <v>68</v>
      </c>
      <c r="FI84" s="278"/>
      <c r="FJ84" s="278"/>
      <c r="FK84" s="278"/>
      <c r="FL84" s="107"/>
      <c r="FM84" s="274" t="s">
        <v>62</v>
      </c>
      <c r="FN84" s="275" t="s">
        <v>63</v>
      </c>
      <c r="FO84" s="275" t="s">
        <v>86</v>
      </c>
      <c r="FP84" s="275" t="s">
        <v>65</v>
      </c>
      <c r="FQ84" s="275" t="s">
        <v>66</v>
      </c>
      <c r="FR84" s="276" t="s">
        <v>67</v>
      </c>
      <c r="FS84" s="104"/>
      <c r="FT84" s="277" t="s">
        <v>68</v>
      </c>
      <c r="FU84" s="278"/>
      <c r="FV84" s="278"/>
      <c r="FW84" s="278"/>
      <c r="FX84" s="107"/>
      <c r="FY84" s="274" t="s">
        <v>62</v>
      </c>
      <c r="FZ84" s="275" t="s">
        <v>63</v>
      </c>
      <c r="GA84" s="275" t="s">
        <v>86</v>
      </c>
      <c r="GB84" s="275" t="s">
        <v>65</v>
      </c>
      <c r="GC84" s="275" t="s">
        <v>66</v>
      </c>
      <c r="GD84" s="276" t="s">
        <v>67</v>
      </c>
      <c r="GE84" s="104"/>
      <c r="GF84" s="277" t="s">
        <v>68</v>
      </c>
      <c r="GG84" s="278"/>
      <c r="GH84" s="278"/>
      <c r="GI84" s="278"/>
      <c r="GJ84" s="107"/>
      <c r="GK84" s="274" t="s">
        <v>62</v>
      </c>
      <c r="GL84" s="275" t="s">
        <v>63</v>
      </c>
      <c r="GM84" s="275" t="s">
        <v>86</v>
      </c>
      <c r="GN84" s="275" t="s">
        <v>65</v>
      </c>
      <c r="GO84" s="275" t="s">
        <v>66</v>
      </c>
      <c r="GP84" s="276" t="s">
        <v>67</v>
      </c>
      <c r="GQ84" s="104"/>
      <c r="GR84" s="277" t="s">
        <v>68</v>
      </c>
      <c r="GS84" s="278"/>
      <c r="GT84" s="278"/>
      <c r="GU84" s="278"/>
      <c r="GV84" s="107"/>
      <c r="GW84" s="274" t="s">
        <v>62</v>
      </c>
      <c r="GX84" s="275" t="s">
        <v>63</v>
      </c>
      <c r="GY84" s="275" t="s">
        <v>86</v>
      </c>
      <c r="GZ84" s="275" t="s">
        <v>65</v>
      </c>
      <c r="HA84" s="275" t="s">
        <v>66</v>
      </c>
      <c r="HB84" s="276" t="s">
        <v>67</v>
      </c>
      <c r="HC84" s="104"/>
      <c r="HD84" s="277" t="s">
        <v>68</v>
      </c>
      <c r="HE84" s="278"/>
      <c r="HF84" s="278"/>
      <c r="HG84" s="278"/>
      <c r="HH84" s="107"/>
      <c r="HI84" s="106"/>
    </row>
    <row r="85" ht="66.0" customHeight="1">
      <c r="A85" s="108"/>
      <c r="B85" s="94"/>
      <c r="C85" s="94"/>
      <c r="D85" s="94"/>
      <c r="E85" s="94"/>
      <c r="F85" s="279" t="s">
        <v>69</v>
      </c>
      <c r="G85" s="279" t="s">
        <v>70</v>
      </c>
      <c r="H85" s="110"/>
      <c r="I85" s="278"/>
      <c r="J85" s="278"/>
      <c r="K85" s="278"/>
      <c r="L85" s="107"/>
      <c r="M85" s="108"/>
      <c r="N85" s="94"/>
      <c r="O85" s="94"/>
      <c r="P85" s="94"/>
      <c r="Q85" s="94"/>
      <c r="R85" s="279" t="s">
        <v>69</v>
      </c>
      <c r="S85" s="279" t="s">
        <v>70</v>
      </c>
      <c r="T85" s="110"/>
      <c r="U85" s="278"/>
      <c r="V85" s="278"/>
      <c r="W85" s="278"/>
      <c r="X85" s="107"/>
      <c r="Y85" s="108"/>
      <c r="Z85" s="94"/>
      <c r="AA85" s="94"/>
      <c r="AB85" s="94"/>
      <c r="AC85" s="94"/>
      <c r="AD85" s="279" t="s">
        <v>69</v>
      </c>
      <c r="AE85" s="279" t="s">
        <v>70</v>
      </c>
      <c r="AF85" s="110"/>
      <c r="AG85" s="278"/>
      <c r="AH85" s="278"/>
      <c r="AI85" s="278"/>
      <c r="AJ85" s="107"/>
      <c r="AK85" s="108"/>
      <c r="AL85" s="94"/>
      <c r="AM85" s="94"/>
      <c r="AN85" s="94"/>
      <c r="AO85" s="94"/>
      <c r="AP85" s="279" t="s">
        <v>69</v>
      </c>
      <c r="AQ85" s="279" t="s">
        <v>70</v>
      </c>
      <c r="AR85" s="110"/>
      <c r="AS85" s="278"/>
      <c r="AT85" s="278"/>
      <c r="AU85" s="278"/>
      <c r="AV85" s="107"/>
      <c r="AW85" s="108"/>
      <c r="AX85" s="94"/>
      <c r="AY85" s="94"/>
      <c r="AZ85" s="94"/>
      <c r="BA85" s="94"/>
      <c r="BB85" s="279" t="s">
        <v>69</v>
      </c>
      <c r="BC85" s="279" t="s">
        <v>70</v>
      </c>
      <c r="BD85" s="110"/>
      <c r="BE85" s="278"/>
      <c r="BF85" s="278"/>
      <c r="BG85" s="278"/>
      <c r="BH85" s="107"/>
      <c r="BI85" s="108"/>
      <c r="BJ85" s="94"/>
      <c r="BK85" s="94"/>
      <c r="BL85" s="94"/>
      <c r="BM85" s="94"/>
      <c r="BN85" s="279" t="s">
        <v>69</v>
      </c>
      <c r="BO85" s="279" t="s">
        <v>70</v>
      </c>
      <c r="BP85" s="110"/>
      <c r="BQ85" s="278"/>
      <c r="BR85" s="278"/>
      <c r="BS85" s="278"/>
      <c r="BT85" s="107"/>
      <c r="BU85" s="108"/>
      <c r="BV85" s="94"/>
      <c r="BW85" s="94"/>
      <c r="BX85" s="94"/>
      <c r="BY85" s="94"/>
      <c r="BZ85" s="279" t="s">
        <v>69</v>
      </c>
      <c r="CA85" s="279" t="s">
        <v>70</v>
      </c>
      <c r="CB85" s="110"/>
      <c r="CC85" s="278"/>
      <c r="CD85" s="278"/>
      <c r="CE85" s="278"/>
      <c r="CF85" s="107"/>
      <c r="CG85" s="108"/>
      <c r="CH85" s="94"/>
      <c r="CI85" s="94"/>
      <c r="CJ85" s="94"/>
      <c r="CK85" s="94"/>
      <c r="CL85" s="279" t="s">
        <v>69</v>
      </c>
      <c r="CM85" s="279" t="s">
        <v>70</v>
      </c>
      <c r="CN85" s="110"/>
      <c r="CO85" s="278"/>
      <c r="CP85" s="278"/>
      <c r="CQ85" s="278"/>
      <c r="CR85" s="107"/>
      <c r="CS85" s="108"/>
      <c r="CT85" s="94"/>
      <c r="CU85" s="94"/>
      <c r="CV85" s="94"/>
      <c r="CW85" s="94"/>
      <c r="CX85" s="279" t="s">
        <v>69</v>
      </c>
      <c r="CY85" s="279" t="s">
        <v>70</v>
      </c>
      <c r="CZ85" s="110"/>
      <c r="DA85" s="278"/>
      <c r="DB85" s="278"/>
      <c r="DC85" s="278"/>
      <c r="DD85" s="107"/>
      <c r="DE85" s="108"/>
      <c r="DF85" s="94"/>
      <c r="DG85" s="94"/>
      <c r="DH85" s="94"/>
      <c r="DI85" s="94"/>
      <c r="DJ85" s="279" t="s">
        <v>69</v>
      </c>
      <c r="DK85" s="279" t="s">
        <v>70</v>
      </c>
      <c r="DL85" s="110"/>
      <c r="DM85" s="278"/>
      <c r="DN85" s="278"/>
      <c r="DO85" s="278"/>
      <c r="DP85" s="107"/>
      <c r="DQ85" s="108"/>
      <c r="DR85" s="94"/>
      <c r="DS85" s="94"/>
      <c r="DT85" s="94"/>
      <c r="DU85" s="94"/>
      <c r="DV85" s="279" t="s">
        <v>69</v>
      </c>
      <c r="DW85" s="279" t="s">
        <v>70</v>
      </c>
      <c r="DX85" s="110"/>
      <c r="DY85" s="278"/>
      <c r="DZ85" s="278"/>
      <c r="EA85" s="278"/>
      <c r="EB85" s="107"/>
      <c r="EC85" s="108"/>
      <c r="ED85" s="94"/>
      <c r="EE85" s="94"/>
      <c r="EF85" s="94"/>
      <c r="EG85" s="94"/>
      <c r="EH85" s="279" t="s">
        <v>69</v>
      </c>
      <c r="EI85" s="279" t="s">
        <v>70</v>
      </c>
      <c r="EJ85" s="110"/>
      <c r="EK85" s="278"/>
      <c r="EL85" s="278"/>
      <c r="EM85" s="278"/>
      <c r="EN85" s="107"/>
      <c r="EO85" s="108"/>
      <c r="EP85" s="94"/>
      <c r="EQ85" s="94"/>
      <c r="ER85" s="94"/>
      <c r="ES85" s="94"/>
      <c r="ET85" s="279" t="s">
        <v>69</v>
      </c>
      <c r="EU85" s="279" t="s">
        <v>70</v>
      </c>
      <c r="EV85" s="110"/>
      <c r="EW85" s="278"/>
      <c r="EX85" s="278"/>
      <c r="EY85" s="278"/>
      <c r="EZ85" s="107"/>
      <c r="FA85" s="108"/>
      <c r="FB85" s="94"/>
      <c r="FC85" s="94"/>
      <c r="FD85" s="94"/>
      <c r="FE85" s="94"/>
      <c r="FF85" s="279" t="s">
        <v>69</v>
      </c>
      <c r="FG85" s="279" t="s">
        <v>70</v>
      </c>
      <c r="FH85" s="110"/>
      <c r="FI85" s="278"/>
      <c r="FJ85" s="278"/>
      <c r="FK85" s="278"/>
      <c r="FL85" s="107"/>
      <c r="FM85" s="108"/>
      <c r="FN85" s="94"/>
      <c r="FO85" s="94"/>
      <c r="FP85" s="94"/>
      <c r="FQ85" s="94"/>
      <c r="FR85" s="279" t="s">
        <v>69</v>
      </c>
      <c r="FS85" s="279" t="s">
        <v>70</v>
      </c>
      <c r="FT85" s="110"/>
      <c r="FU85" s="278"/>
      <c r="FV85" s="278"/>
      <c r="FW85" s="278"/>
      <c r="FX85" s="107"/>
      <c r="FY85" s="108"/>
      <c r="FZ85" s="94"/>
      <c r="GA85" s="94"/>
      <c r="GB85" s="94"/>
      <c r="GC85" s="94"/>
      <c r="GD85" s="279" t="s">
        <v>69</v>
      </c>
      <c r="GE85" s="279" t="s">
        <v>70</v>
      </c>
      <c r="GF85" s="110"/>
      <c r="GG85" s="278"/>
      <c r="GH85" s="278"/>
      <c r="GI85" s="278"/>
      <c r="GJ85" s="107"/>
      <c r="GK85" s="108"/>
      <c r="GL85" s="94"/>
      <c r="GM85" s="94"/>
      <c r="GN85" s="94"/>
      <c r="GO85" s="94"/>
      <c r="GP85" s="279" t="s">
        <v>69</v>
      </c>
      <c r="GQ85" s="279" t="s">
        <v>70</v>
      </c>
      <c r="GR85" s="110"/>
      <c r="GS85" s="278"/>
      <c r="GT85" s="278"/>
      <c r="GU85" s="278"/>
      <c r="GV85" s="107"/>
      <c r="GW85" s="108"/>
      <c r="GX85" s="94"/>
      <c r="GY85" s="94"/>
      <c r="GZ85" s="94"/>
      <c r="HA85" s="94"/>
      <c r="HB85" s="279" t="s">
        <v>69</v>
      </c>
      <c r="HC85" s="279" t="s">
        <v>70</v>
      </c>
      <c r="HD85" s="110"/>
      <c r="HE85" s="278"/>
      <c r="HF85" s="278"/>
      <c r="HG85" s="278"/>
      <c r="HH85" s="107"/>
      <c r="HI85" s="106"/>
    </row>
    <row r="86" ht="15.75" customHeight="1">
      <c r="A86" s="280">
        <v>-1.0</v>
      </c>
      <c r="B86" s="281">
        <v>-2.0</v>
      </c>
      <c r="C86" s="281">
        <v>-3.0</v>
      </c>
      <c r="D86" s="281">
        <v>-4.0</v>
      </c>
      <c r="E86" s="281">
        <v>-5.0</v>
      </c>
      <c r="F86" s="281">
        <v>-6.0</v>
      </c>
      <c r="G86" s="281">
        <v>-7.0</v>
      </c>
      <c r="H86" s="282">
        <v>-8.0</v>
      </c>
      <c r="I86" s="283"/>
      <c r="J86" s="283"/>
      <c r="K86" s="283"/>
      <c r="L86" s="115"/>
      <c r="M86" s="280">
        <v>-1.0</v>
      </c>
      <c r="N86" s="281">
        <v>-2.0</v>
      </c>
      <c r="O86" s="281">
        <v>-3.0</v>
      </c>
      <c r="P86" s="281">
        <v>-4.0</v>
      </c>
      <c r="Q86" s="281">
        <v>-5.0</v>
      </c>
      <c r="R86" s="281">
        <v>-6.0</v>
      </c>
      <c r="S86" s="281">
        <v>-7.0</v>
      </c>
      <c r="T86" s="282">
        <v>-8.0</v>
      </c>
      <c r="U86" s="283"/>
      <c r="V86" s="283"/>
      <c r="W86" s="283"/>
      <c r="X86" s="115"/>
      <c r="Y86" s="280">
        <v>-1.0</v>
      </c>
      <c r="Z86" s="281">
        <v>-2.0</v>
      </c>
      <c r="AA86" s="281">
        <v>-3.0</v>
      </c>
      <c r="AB86" s="281">
        <v>-4.0</v>
      </c>
      <c r="AC86" s="281">
        <v>-5.0</v>
      </c>
      <c r="AD86" s="281">
        <v>-6.0</v>
      </c>
      <c r="AE86" s="281">
        <v>-7.0</v>
      </c>
      <c r="AF86" s="282">
        <v>-8.0</v>
      </c>
      <c r="AG86" s="283"/>
      <c r="AH86" s="283"/>
      <c r="AI86" s="283"/>
      <c r="AJ86" s="115"/>
      <c r="AK86" s="280">
        <v>-1.0</v>
      </c>
      <c r="AL86" s="281">
        <v>-2.0</v>
      </c>
      <c r="AM86" s="281">
        <v>-3.0</v>
      </c>
      <c r="AN86" s="281">
        <v>-4.0</v>
      </c>
      <c r="AO86" s="281">
        <v>-5.0</v>
      </c>
      <c r="AP86" s="281">
        <v>-6.0</v>
      </c>
      <c r="AQ86" s="281">
        <v>-7.0</v>
      </c>
      <c r="AR86" s="282">
        <v>-8.0</v>
      </c>
      <c r="AS86" s="283"/>
      <c r="AT86" s="283"/>
      <c r="AU86" s="283"/>
      <c r="AV86" s="115"/>
      <c r="AW86" s="280">
        <v>-1.0</v>
      </c>
      <c r="AX86" s="281">
        <v>-2.0</v>
      </c>
      <c r="AY86" s="281">
        <v>-3.0</v>
      </c>
      <c r="AZ86" s="281">
        <v>-4.0</v>
      </c>
      <c r="BA86" s="281">
        <v>-5.0</v>
      </c>
      <c r="BB86" s="281">
        <v>-6.0</v>
      </c>
      <c r="BC86" s="281">
        <v>-7.0</v>
      </c>
      <c r="BD86" s="282">
        <v>-8.0</v>
      </c>
      <c r="BE86" s="283"/>
      <c r="BF86" s="283"/>
      <c r="BG86" s="283"/>
      <c r="BH86" s="115"/>
      <c r="BI86" s="280">
        <v>-1.0</v>
      </c>
      <c r="BJ86" s="281">
        <v>-2.0</v>
      </c>
      <c r="BK86" s="281">
        <v>-3.0</v>
      </c>
      <c r="BL86" s="281">
        <v>-4.0</v>
      </c>
      <c r="BM86" s="281">
        <v>-5.0</v>
      </c>
      <c r="BN86" s="281">
        <v>-6.0</v>
      </c>
      <c r="BO86" s="281">
        <v>-7.0</v>
      </c>
      <c r="BP86" s="282">
        <v>-8.0</v>
      </c>
      <c r="BQ86" s="283"/>
      <c r="BR86" s="283"/>
      <c r="BS86" s="283"/>
      <c r="BT86" s="115"/>
      <c r="BU86" s="280">
        <v>-1.0</v>
      </c>
      <c r="BV86" s="281">
        <v>-2.0</v>
      </c>
      <c r="BW86" s="281">
        <v>-3.0</v>
      </c>
      <c r="BX86" s="281">
        <v>-4.0</v>
      </c>
      <c r="BY86" s="281">
        <v>-5.0</v>
      </c>
      <c r="BZ86" s="281">
        <v>-6.0</v>
      </c>
      <c r="CA86" s="281">
        <v>-7.0</v>
      </c>
      <c r="CB86" s="282">
        <v>-8.0</v>
      </c>
      <c r="CC86" s="283"/>
      <c r="CD86" s="283"/>
      <c r="CE86" s="283"/>
      <c r="CF86" s="115"/>
      <c r="CG86" s="280">
        <v>-1.0</v>
      </c>
      <c r="CH86" s="281">
        <v>-2.0</v>
      </c>
      <c r="CI86" s="281">
        <v>-3.0</v>
      </c>
      <c r="CJ86" s="281">
        <v>-4.0</v>
      </c>
      <c r="CK86" s="281">
        <v>-5.0</v>
      </c>
      <c r="CL86" s="281">
        <v>-6.0</v>
      </c>
      <c r="CM86" s="281">
        <v>-7.0</v>
      </c>
      <c r="CN86" s="282">
        <v>-8.0</v>
      </c>
      <c r="CO86" s="283"/>
      <c r="CP86" s="283"/>
      <c r="CQ86" s="283"/>
      <c r="CR86" s="115"/>
      <c r="CS86" s="280">
        <v>-1.0</v>
      </c>
      <c r="CT86" s="281">
        <v>-2.0</v>
      </c>
      <c r="CU86" s="281">
        <v>-3.0</v>
      </c>
      <c r="CV86" s="281">
        <v>-4.0</v>
      </c>
      <c r="CW86" s="281">
        <v>-5.0</v>
      </c>
      <c r="CX86" s="281">
        <v>-6.0</v>
      </c>
      <c r="CY86" s="281">
        <v>-7.0</v>
      </c>
      <c r="CZ86" s="282">
        <v>-8.0</v>
      </c>
      <c r="DA86" s="283"/>
      <c r="DB86" s="283"/>
      <c r="DC86" s="283"/>
      <c r="DD86" s="115"/>
      <c r="DE86" s="280">
        <v>-1.0</v>
      </c>
      <c r="DF86" s="281">
        <v>-2.0</v>
      </c>
      <c r="DG86" s="281">
        <v>-3.0</v>
      </c>
      <c r="DH86" s="281">
        <v>-4.0</v>
      </c>
      <c r="DI86" s="281">
        <v>-5.0</v>
      </c>
      <c r="DJ86" s="281">
        <v>-6.0</v>
      </c>
      <c r="DK86" s="281">
        <v>-7.0</v>
      </c>
      <c r="DL86" s="282">
        <v>-8.0</v>
      </c>
      <c r="DM86" s="283"/>
      <c r="DN86" s="283"/>
      <c r="DO86" s="283"/>
      <c r="DP86" s="115"/>
      <c r="DQ86" s="280">
        <v>-1.0</v>
      </c>
      <c r="DR86" s="281">
        <v>-2.0</v>
      </c>
      <c r="DS86" s="281">
        <v>-3.0</v>
      </c>
      <c r="DT86" s="281">
        <v>-4.0</v>
      </c>
      <c r="DU86" s="281">
        <v>-5.0</v>
      </c>
      <c r="DV86" s="281">
        <v>-6.0</v>
      </c>
      <c r="DW86" s="281">
        <v>-7.0</v>
      </c>
      <c r="DX86" s="282">
        <v>-8.0</v>
      </c>
      <c r="DY86" s="283"/>
      <c r="DZ86" s="283"/>
      <c r="EA86" s="283"/>
      <c r="EB86" s="115"/>
      <c r="EC86" s="280">
        <v>-1.0</v>
      </c>
      <c r="ED86" s="281">
        <v>-2.0</v>
      </c>
      <c r="EE86" s="281">
        <v>-3.0</v>
      </c>
      <c r="EF86" s="281">
        <v>-4.0</v>
      </c>
      <c r="EG86" s="281">
        <v>-5.0</v>
      </c>
      <c r="EH86" s="281">
        <v>-6.0</v>
      </c>
      <c r="EI86" s="281">
        <v>-7.0</v>
      </c>
      <c r="EJ86" s="282">
        <v>-8.0</v>
      </c>
      <c r="EK86" s="283"/>
      <c r="EL86" s="283"/>
      <c r="EM86" s="283"/>
      <c r="EN86" s="115"/>
      <c r="EO86" s="280">
        <v>-1.0</v>
      </c>
      <c r="EP86" s="281">
        <v>-2.0</v>
      </c>
      <c r="EQ86" s="281">
        <v>-3.0</v>
      </c>
      <c r="ER86" s="281">
        <v>-4.0</v>
      </c>
      <c r="ES86" s="281">
        <v>-5.0</v>
      </c>
      <c r="ET86" s="281">
        <v>-6.0</v>
      </c>
      <c r="EU86" s="281">
        <v>-7.0</v>
      </c>
      <c r="EV86" s="282">
        <v>-8.0</v>
      </c>
      <c r="EW86" s="283"/>
      <c r="EX86" s="283"/>
      <c r="EY86" s="283"/>
      <c r="EZ86" s="115"/>
      <c r="FA86" s="280">
        <v>-1.0</v>
      </c>
      <c r="FB86" s="281">
        <v>-2.0</v>
      </c>
      <c r="FC86" s="281">
        <v>-3.0</v>
      </c>
      <c r="FD86" s="281">
        <v>-4.0</v>
      </c>
      <c r="FE86" s="281">
        <v>-5.0</v>
      </c>
      <c r="FF86" s="281">
        <v>-6.0</v>
      </c>
      <c r="FG86" s="281">
        <v>-7.0</v>
      </c>
      <c r="FH86" s="282">
        <v>-8.0</v>
      </c>
      <c r="FI86" s="283"/>
      <c r="FJ86" s="283"/>
      <c r="FK86" s="283"/>
      <c r="FL86" s="115"/>
      <c r="FM86" s="280">
        <v>-1.0</v>
      </c>
      <c r="FN86" s="281">
        <v>-2.0</v>
      </c>
      <c r="FO86" s="281">
        <v>-3.0</v>
      </c>
      <c r="FP86" s="281">
        <v>-4.0</v>
      </c>
      <c r="FQ86" s="281">
        <v>-5.0</v>
      </c>
      <c r="FR86" s="281">
        <v>-6.0</v>
      </c>
      <c r="FS86" s="281">
        <v>-7.0</v>
      </c>
      <c r="FT86" s="282">
        <v>-8.0</v>
      </c>
      <c r="FU86" s="283"/>
      <c r="FV86" s="283"/>
      <c r="FW86" s="283"/>
      <c r="FX86" s="115"/>
      <c r="FY86" s="280">
        <v>-1.0</v>
      </c>
      <c r="FZ86" s="281">
        <v>-2.0</v>
      </c>
      <c r="GA86" s="281">
        <v>-3.0</v>
      </c>
      <c r="GB86" s="281">
        <v>-4.0</v>
      </c>
      <c r="GC86" s="281">
        <v>-5.0</v>
      </c>
      <c r="GD86" s="281">
        <v>-6.0</v>
      </c>
      <c r="GE86" s="281">
        <v>-7.0</v>
      </c>
      <c r="GF86" s="282">
        <v>-8.0</v>
      </c>
      <c r="GG86" s="283"/>
      <c r="GH86" s="283"/>
      <c r="GI86" s="283"/>
      <c r="GJ86" s="115"/>
      <c r="GK86" s="280">
        <v>-1.0</v>
      </c>
      <c r="GL86" s="281">
        <v>-2.0</v>
      </c>
      <c r="GM86" s="281">
        <v>-3.0</v>
      </c>
      <c r="GN86" s="281">
        <v>-4.0</v>
      </c>
      <c r="GO86" s="281">
        <v>-5.0</v>
      </c>
      <c r="GP86" s="281">
        <v>-6.0</v>
      </c>
      <c r="GQ86" s="281">
        <v>-7.0</v>
      </c>
      <c r="GR86" s="282">
        <v>-8.0</v>
      </c>
      <c r="GS86" s="283"/>
      <c r="GT86" s="283"/>
      <c r="GU86" s="283"/>
      <c r="GV86" s="115"/>
      <c r="GW86" s="280">
        <v>-1.0</v>
      </c>
      <c r="GX86" s="281">
        <v>-2.0</v>
      </c>
      <c r="GY86" s="281">
        <v>-3.0</v>
      </c>
      <c r="GZ86" s="281">
        <v>-4.0</v>
      </c>
      <c r="HA86" s="281">
        <v>-5.0</v>
      </c>
      <c r="HB86" s="281">
        <v>-6.0</v>
      </c>
      <c r="HC86" s="281">
        <v>-7.0</v>
      </c>
      <c r="HD86" s="282">
        <v>-8.0</v>
      </c>
      <c r="HE86" s="283"/>
      <c r="HF86" s="283"/>
      <c r="HG86" s="283"/>
      <c r="HH86" s="115"/>
      <c r="HI86" s="114"/>
    </row>
    <row r="87" ht="15.75" customHeight="1">
      <c r="A87" s="284"/>
      <c r="B87" s="285"/>
      <c r="C87" s="286"/>
      <c r="D87" s="286"/>
      <c r="E87" s="286"/>
      <c r="F87" s="286"/>
      <c r="G87" s="286"/>
      <c r="H87" s="287"/>
      <c r="I87" s="288"/>
      <c r="J87" s="288"/>
      <c r="K87" s="288"/>
      <c r="L87" s="81"/>
      <c r="M87" s="284"/>
      <c r="N87" s="285"/>
      <c r="O87" s="286"/>
      <c r="P87" s="286"/>
      <c r="Q87" s="286"/>
      <c r="R87" s="286"/>
      <c r="S87" s="286"/>
      <c r="T87" s="287"/>
      <c r="U87" s="288"/>
      <c r="V87" s="288"/>
      <c r="W87" s="288"/>
      <c r="X87" s="81"/>
      <c r="Y87" s="284"/>
      <c r="Z87" s="285"/>
      <c r="AA87" s="286"/>
      <c r="AB87" s="286"/>
      <c r="AC87" s="286"/>
      <c r="AD87" s="286"/>
      <c r="AE87" s="286"/>
      <c r="AF87" s="287"/>
      <c r="AG87" s="288"/>
      <c r="AH87" s="288"/>
      <c r="AI87" s="288"/>
      <c r="AJ87" s="81"/>
      <c r="AK87" s="284"/>
      <c r="AL87" s="285"/>
      <c r="AM87" s="286"/>
      <c r="AN87" s="286"/>
      <c r="AO87" s="286"/>
      <c r="AP87" s="286"/>
      <c r="AQ87" s="286"/>
      <c r="AR87" s="287"/>
      <c r="AS87" s="288"/>
      <c r="AT87" s="288"/>
      <c r="AU87" s="288"/>
      <c r="AV87" s="81"/>
      <c r="AW87" s="284"/>
      <c r="AX87" s="285"/>
      <c r="AY87" s="286"/>
      <c r="AZ87" s="286"/>
      <c r="BA87" s="286"/>
      <c r="BB87" s="286"/>
      <c r="BC87" s="286"/>
      <c r="BD87" s="287"/>
      <c r="BE87" s="288"/>
      <c r="BF87" s="288"/>
      <c r="BG87" s="288"/>
      <c r="BH87" s="81"/>
      <c r="BI87" s="284"/>
      <c r="BJ87" s="285"/>
      <c r="BK87" s="286"/>
      <c r="BL87" s="286"/>
      <c r="BM87" s="286"/>
      <c r="BN87" s="286"/>
      <c r="BO87" s="286"/>
      <c r="BP87" s="287"/>
      <c r="BQ87" s="288"/>
      <c r="BR87" s="288"/>
      <c r="BS87" s="288"/>
      <c r="BT87" s="81"/>
      <c r="BU87" s="284"/>
      <c r="BV87" s="285"/>
      <c r="BW87" s="286"/>
      <c r="BX87" s="286"/>
      <c r="BY87" s="286"/>
      <c r="BZ87" s="286"/>
      <c r="CA87" s="286"/>
      <c r="CB87" s="287"/>
      <c r="CC87" s="288"/>
      <c r="CD87" s="288"/>
      <c r="CE87" s="288"/>
      <c r="CF87" s="81"/>
      <c r="CG87" s="284"/>
      <c r="CH87" s="285"/>
      <c r="CI87" s="286"/>
      <c r="CJ87" s="286"/>
      <c r="CK87" s="286"/>
      <c r="CL87" s="286"/>
      <c r="CM87" s="286"/>
      <c r="CN87" s="287"/>
      <c r="CO87" s="288"/>
      <c r="CP87" s="288"/>
      <c r="CQ87" s="288"/>
      <c r="CR87" s="81"/>
      <c r="CS87" s="284"/>
      <c r="CT87" s="285"/>
      <c r="CU87" s="286"/>
      <c r="CV87" s="286"/>
      <c r="CW87" s="286"/>
      <c r="CX87" s="286"/>
      <c r="CY87" s="286"/>
      <c r="CZ87" s="287"/>
      <c r="DA87" s="288"/>
      <c r="DB87" s="288"/>
      <c r="DC87" s="288"/>
      <c r="DD87" s="81"/>
      <c r="DE87" s="284"/>
      <c r="DF87" s="285"/>
      <c r="DG87" s="286"/>
      <c r="DH87" s="286"/>
      <c r="DI87" s="286"/>
      <c r="DJ87" s="286"/>
      <c r="DK87" s="286"/>
      <c r="DL87" s="287"/>
      <c r="DM87" s="288"/>
      <c r="DN87" s="288"/>
      <c r="DO87" s="288"/>
      <c r="DP87" s="81"/>
      <c r="DQ87" s="284"/>
      <c r="DR87" s="285"/>
      <c r="DS87" s="286"/>
      <c r="DT87" s="286"/>
      <c r="DU87" s="286"/>
      <c r="DV87" s="286"/>
      <c r="DW87" s="286"/>
      <c r="DX87" s="287"/>
      <c r="DY87" s="288"/>
      <c r="DZ87" s="288"/>
      <c r="EA87" s="288"/>
      <c r="EB87" s="81"/>
      <c r="EC87" s="284"/>
      <c r="ED87" s="285"/>
      <c r="EE87" s="286"/>
      <c r="EF87" s="286"/>
      <c r="EG87" s="286"/>
      <c r="EH87" s="286"/>
      <c r="EI87" s="286"/>
      <c r="EJ87" s="287"/>
      <c r="EK87" s="288"/>
      <c r="EL87" s="288"/>
      <c r="EM87" s="288"/>
      <c r="EN87" s="81"/>
      <c r="EO87" s="284"/>
      <c r="EP87" s="285"/>
      <c r="EQ87" s="286"/>
      <c r="ER87" s="286"/>
      <c r="ES87" s="286"/>
      <c r="ET87" s="286"/>
      <c r="EU87" s="286"/>
      <c r="EV87" s="287"/>
      <c r="EW87" s="288"/>
      <c r="EX87" s="288"/>
      <c r="EY87" s="288"/>
      <c r="EZ87" s="81"/>
      <c r="FA87" s="284"/>
      <c r="FB87" s="285"/>
      <c r="FC87" s="286"/>
      <c r="FD87" s="286"/>
      <c r="FE87" s="286"/>
      <c r="FF87" s="286"/>
      <c r="FG87" s="286"/>
      <c r="FH87" s="287"/>
      <c r="FI87" s="288"/>
      <c r="FJ87" s="288"/>
      <c r="FK87" s="288"/>
      <c r="FL87" s="81"/>
      <c r="FM87" s="284"/>
      <c r="FN87" s="285"/>
      <c r="FO87" s="286"/>
      <c r="FP87" s="286"/>
      <c r="FQ87" s="286"/>
      <c r="FR87" s="286"/>
      <c r="FS87" s="286"/>
      <c r="FT87" s="287"/>
      <c r="FU87" s="288"/>
      <c r="FV87" s="288"/>
      <c r="FW87" s="288"/>
      <c r="FX87" s="81"/>
      <c r="FY87" s="284"/>
      <c r="FZ87" s="285"/>
      <c r="GA87" s="286"/>
      <c r="GB87" s="286"/>
      <c r="GC87" s="286"/>
      <c r="GD87" s="286"/>
      <c r="GE87" s="286"/>
      <c r="GF87" s="287"/>
      <c r="GG87" s="288"/>
      <c r="GH87" s="288"/>
      <c r="GI87" s="288"/>
      <c r="GJ87" s="81"/>
      <c r="GK87" s="284"/>
      <c r="GL87" s="285"/>
      <c r="GM87" s="286"/>
      <c r="GN87" s="286"/>
      <c r="GO87" s="286"/>
      <c r="GP87" s="286"/>
      <c r="GQ87" s="286"/>
      <c r="GR87" s="287"/>
      <c r="GS87" s="288"/>
      <c r="GT87" s="288"/>
      <c r="GU87" s="288"/>
      <c r="GV87" s="81"/>
      <c r="GW87" s="284"/>
      <c r="GX87" s="285"/>
      <c r="GY87" s="286"/>
      <c r="GZ87" s="286"/>
      <c r="HA87" s="286"/>
      <c r="HB87" s="286"/>
      <c r="HC87" s="286"/>
      <c r="HD87" s="287"/>
      <c r="HE87" s="288"/>
      <c r="HF87" s="288"/>
      <c r="HG87" s="288"/>
      <c r="HH87" s="81"/>
      <c r="HI87" s="75"/>
    </row>
    <row r="88" ht="15.75" customHeight="1">
      <c r="A88" s="289">
        <v>1.0</v>
      </c>
      <c r="B88" s="290" t="s">
        <v>71</v>
      </c>
      <c r="C88" s="291"/>
      <c r="D88" s="292">
        <f t="shared" ref="D88:D93" si="379">1.16180660667508/100</f>
        <v>0.01161806607</v>
      </c>
      <c r="E88" s="291">
        <f t="shared" ref="E88:E93" si="380">IFERROR(+D88*C88,"0")</f>
        <v>0</v>
      </c>
      <c r="F88" s="292">
        <v>0.16716266605705102</v>
      </c>
      <c r="G88" s="291">
        <f t="shared" ref="G88:G93" si="381">IFERROR(+E88*F88,"")</f>
        <v>0</v>
      </c>
      <c r="H88" s="293">
        <f t="shared" ref="H88:H93" si="382">IFERROR(+(IF(E88="","0",E88))-(IF(G88="","0",G88)),"")</f>
        <v>0</v>
      </c>
      <c r="I88" s="288"/>
      <c r="J88" s="288"/>
      <c r="K88" s="288"/>
      <c r="L88" s="81"/>
      <c r="M88" s="289">
        <v>1.0</v>
      </c>
      <c r="N88" s="290" t="s">
        <v>71</v>
      </c>
      <c r="O88" s="291"/>
      <c r="P88" s="292">
        <f t="shared" ref="P88:P93" si="383">1.16180660667508/100</f>
        <v>0.01161806607</v>
      </c>
      <c r="Q88" s="291">
        <f t="shared" ref="Q88:Q93" si="384">IFERROR(+P88*O88,"0")</f>
        <v>0</v>
      </c>
      <c r="R88" s="292">
        <v>0.16716266605705102</v>
      </c>
      <c r="S88" s="291">
        <f t="shared" ref="S88:S93" si="385">IFERROR(+Q88*R88,"")</f>
        <v>0</v>
      </c>
      <c r="T88" s="293">
        <f t="shared" ref="T88:T93" si="386">IFERROR(+(IF(Q88="","0",Q88))-(IF(S88="","0",S88)),"")</f>
        <v>0</v>
      </c>
      <c r="U88" s="288"/>
      <c r="V88" s="288"/>
      <c r="W88" s="288"/>
      <c r="X88" s="81"/>
      <c r="Y88" s="289">
        <v>1.0</v>
      </c>
      <c r="Z88" s="290" t="s">
        <v>71</v>
      </c>
      <c r="AA88" s="291"/>
      <c r="AB88" s="292">
        <f t="shared" ref="AB88:AB93" si="387">1.16180660667508/100</f>
        <v>0.01161806607</v>
      </c>
      <c r="AC88" s="291">
        <f t="shared" ref="AC88:AC93" si="388">IFERROR(+AB88*AA88,"0")</f>
        <v>0</v>
      </c>
      <c r="AD88" s="292">
        <v>0.16716266605705102</v>
      </c>
      <c r="AE88" s="291">
        <f t="shared" ref="AE88:AE93" si="389">IFERROR(+AC88*AD88,"")</f>
        <v>0</v>
      </c>
      <c r="AF88" s="293">
        <f t="shared" ref="AF88:AF93" si="390">IFERROR(+(IF(AC88="","0",AC88))-(IF(AE88="","0",AE88)),"")</f>
        <v>0</v>
      </c>
      <c r="AG88" s="288"/>
      <c r="AH88" s="288"/>
      <c r="AI88" s="288"/>
      <c r="AJ88" s="81"/>
      <c r="AK88" s="289">
        <v>1.0</v>
      </c>
      <c r="AL88" s="290" t="s">
        <v>71</v>
      </c>
      <c r="AM88" s="291"/>
      <c r="AN88" s="292">
        <f t="shared" ref="AN88:AN93" si="391">1.16180660667508/100</f>
        <v>0.01161806607</v>
      </c>
      <c r="AO88" s="291">
        <f t="shared" ref="AO88:AO93" si="392">IFERROR(+AN88*AM88,"0")</f>
        <v>0</v>
      </c>
      <c r="AP88" s="292">
        <v>0.16716266605705102</v>
      </c>
      <c r="AQ88" s="291">
        <f t="shared" ref="AQ88:AQ93" si="393">IFERROR(+AO88*AP88,"")</f>
        <v>0</v>
      </c>
      <c r="AR88" s="293">
        <f t="shared" ref="AR88:AR93" si="394">IFERROR(+(IF(AO88="","0",AO88))-(IF(AQ88="","0",AQ88)),"")</f>
        <v>0</v>
      </c>
      <c r="AS88" s="288"/>
      <c r="AT88" s="288"/>
      <c r="AU88" s="288"/>
      <c r="AV88" s="81"/>
      <c r="AW88" s="289">
        <v>1.0</v>
      </c>
      <c r="AX88" s="290" t="s">
        <v>71</v>
      </c>
      <c r="AY88" s="291"/>
      <c r="AZ88" s="292">
        <f t="shared" ref="AZ88:AZ93" si="395">1.16180660667508/100</f>
        <v>0.01161806607</v>
      </c>
      <c r="BA88" s="291">
        <f t="shared" ref="BA88:BA93" si="396">IFERROR(+AZ88*AY88,"0")</f>
        <v>0</v>
      </c>
      <c r="BB88" s="292">
        <v>0.16716266605705102</v>
      </c>
      <c r="BC88" s="291">
        <f t="shared" ref="BC88:BC93" si="397">IFERROR(+BA88*BB88,"")</f>
        <v>0</v>
      </c>
      <c r="BD88" s="293">
        <f t="shared" ref="BD88:BD93" si="398">IFERROR(+(IF(BA88="","0",BA88))-(IF(BC88="","0",BC88)),"")</f>
        <v>0</v>
      </c>
      <c r="BE88" s="288"/>
      <c r="BF88" s="288"/>
      <c r="BG88" s="288"/>
      <c r="BH88" s="81"/>
      <c r="BI88" s="289">
        <v>1.0</v>
      </c>
      <c r="BJ88" s="290" t="s">
        <v>71</v>
      </c>
      <c r="BK88" s="291"/>
      <c r="BL88" s="292">
        <f t="shared" ref="BL88:BL93" si="399">1.16180660667508/100</f>
        <v>0.01161806607</v>
      </c>
      <c r="BM88" s="291">
        <f t="shared" ref="BM88:BM93" si="400">IFERROR(+BL88*BK88,"0")</f>
        <v>0</v>
      </c>
      <c r="BN88" s="292">
        <v>0.16716266605705102</v>
      </c>
      <c r="BO88" s="291">
        <f t="shared" ref="BO88:BO93" si="401">IFERROR(+BM88*BN88,"")</f>
        <v>0</v>
      </c>
      <c r="BP88" s="293">
        <f t="shared" ref="BP88:BP93" si="402">IFERROR(+(IF(BM88="","0",BM88))-(IF(BO88="","0",BO88)),"")</f>
        <v>0</v>
      </c>
      <c r="BQ88" s="288"/>
      <c r="BR88" s="288"/>
      <c r="BS88" s="288"/>
      <c r="BT88" s="81"/>
      <c r="BU88" s="289">
        <v>1.0</v>
      </c>
      <c r="BV88" s="290" t="s">
        <v>71</v>
      </c>
      <c r="BW88" s="291"/>
      <c r="BX88" s="292">
        <f t="shared" ref="BX88:BX93" si="403">1.16180660667508/100</f>
        <v>0.01161806607</v>
      </c>
      <c r="BY88" s="291">
        <f t="shared" ref="BY88:BY93" si="404">IFERROR(+BX88*BW88,"0")</f>
        <v>0</v>
      </c>
      <c r="BZ88" s="292">
        <v>0.16716266605705102</v>
      </c>
      <c r="CA88" s="291">
        <f t="shared" ref="CA88:CA93" si="405">IFERROR(+BY88*BZ88,"")</f>
        <v>0</v>
      </c>
      <c r="CB88" s="293">
        <f t="shared" ref="CB88:CB93" si="406">IFERROR(+(IF(BY88="","0",BY88))-(IF(CA88="","0",CA88)),"")</f>
        <v>0</v>
      </c>
      <c r="CC88" s="288"/>
      <c r="CD88" s="288"/>
      <c r="CE88" s="288"/>
      <c r="CF88" s="81"/>
      <c r="CG88" s="289">
        <v>1.0</v>
      </c>
      <c r="CH88" s="290" t="s">
        <v>71</v>
      </c>
      <c r="CI88" s="291"/>
      <c r="CJ88" s="292">
        <f t="shared" ref="CJ88:CJ93" si="407">1.16180660667508/100</f>
        <v>0.01161806607</v>
      </c>
      <c r="CK88" s="291">
        <f t="shared" ref="CK88:CK93" si="408">IFERROR(+CJ88*CI88,"0")</f>
        <v>0</v>
      </c>
      <c r="CL88" s="292">
        <v>0.16716266605705102</v>
      </c>
      <c r="CM88" s="291">
        <f t="shared" ref="CM88:CM93" si="409">IFERROR(+CK88*CL88,"")</f>
        <v>0</v>
      </c>
      <c r="CN88" s="293">
        <f t="shared" ref="CN88:CN93" si="410">IFERROR(+(IF(CK88="","0",CK88))-(IF(CM88="","0",CM88)),"")</f>
        <v>0</v>
      </c>
      <c r="CO88" s="288"/>
      <c r="CP88" s="288"/>
      <c r="CQ88" s="288"/>
      <c r="CR88" s="81"/>
      <c r="CS88" s="289">
        <v>1.0</v>
      </c>
      <c r="CT88" s="290" t="s">
        <v>71</v>
      </c>
      <c r="CU88" s="291"/>
      <c r="CV88" s="292">
        <f t="shared" ref="CV88:CV93" si="411">1.16180660667508/100</f>
        <v>0.01161806607</v>
      </c>
      <c r="CW88" s="291">
        <f t="shared" ref="CW88:CW93" si="412">IFERROR(+CV88*CU88,"0")</f>
        <v>0</v>
      </c>
      <c r="CX88" s="292">
        <v>0.16716266605705102</v>
      </c>
      <c r="CY88" s="291">
        <f t="shared" ref="CY88:CY93" si="413">IFERROR(+CW88*CX88,"")</f>
        <v>0</v>
      </c>
      <c r="CZ88" s="293">
        <f t="shared" ref="CZ88:CZ93" si="414">IFERROR(+(IF(CW88="","0",CW88))-(IF(CY88="","0",CY88)),"")</f>
        <v>0</v>
      </c>
      <c r="DA88" s="288"/>
      <c r="DB88" s="288"/>
      <c r="DC88" s="288"/>
      <c r="DD88" s="81"/>
      <c r="DE88" s="289">
        <v>1.0</v>
      </c>
      <c r="DF88" s="290" t="s">
        <v>71</v>
      </c>
      <c r="DG88" s="291">
        <f>'Hitung Output'!BI29</f>
        <v>643859.5769</v>
      </c>
      <c r="DH88" s="292">
        <f t="shared" ref="DH88:DH93" si="415">1.16180660667508/100</f>
        <v>0.01161806607</v>
      </c>
      <c r="DI88" s="297">
        <f t="shared" ref="DI88:DI93" si="416">IFERROR(+DH88*DG88,"0")</f>
        <v>7480.403102</v>
      </c>
      <c r="DJ88" s="292">
        <v>0.16716266605705102</v>
      </c>
      <c r="DK88" s="291">
        <f t="shared" ref="DK88:DK93" si="417">IFERROR(+DI88*DJ88,"")</f>
        <v>1250.444126</v>
      </c>
      <c r="DL88" s="293">
        <f t="shared" ref="DL88:DL93" si="418">IFERROR(+(IF(DI88="","0",DI88))-(IF(DK88="","0",DK88)),"")</f>
        <v>6229.958976</v>
      </c>
      <c r="DM88" s="288"/>
      <c r="DN88" s="288"/>
      <c r="DO88" s="288"/>
      <c r="DP88" s="81"/>
      <c r="DQ88" s="289">
        <v>1.0</v>
      </c>
      <c r="DR88" s="290" t="s">
        <v>71</v>
      </c>
      <c r="DS88" s="292">
        <f>'Hitung Output'!BN29</f>
        <v>682790.4673</v>
      </c>
      <c r="DT88" s="292">
        <f t="shared" ref="DT88:DT93" si="419">1.16180660667508/100</f>
        <v>0.01161806607</v>
      </c>
      <c r="DU88" s="399">
        <f t="shared" ref="DU88:DU93" si="420">IFERROR(+DT88*DS88,"0")</f>
        <v>7932.704759</v>
      </c>
      <c r="DV88" s="292">
        <v>0.16716266605705102</v>
      </c>
      <c r="DW88" s="291">
        <f t="shared" ref="DW88:DW93" si="421">IFERROR(+DU88*DV88,"")</f>
        <v>1326.052076</v>
      </c>
      <c r="DX88" s="293">
        <f t="shared" ref="DX88:DX93" si="422">IFERROR(+(IF(DU88="","0",DU88))-(IF(DW88="","0",DW88)),"")</f>
        <v>6606.652682</v>
      </c>
      <c r="DY88" s="288"/>
      <c r="DZ88" s="288"/>
      <c r="EA88" s="288"/>
      <c r="EB88" s="81"/>
      <c r="EC88" s="289">
        <v>1.0</v>
      </c>
      <c r="ED88" s="290" t="s">
        <v>71</v>
      </c>
      <c r="EE88" s="292">
        <f>'Hitung Output'!BS29</f>
        <v>672054.9878</v>
      </c>
      <c r="EF88" s="292">
        <f t="shared" ref="EF88:EF93" si="423">1.16180660667508/100</f>
        <v>0.01161806607</v>
      </c>
      <c r="EG88" s="400">
        <f t="shared" ref="EG88:EG93" si="424">IFERROR(+EF88*EE88,"0")</f>
        <v>7807.979249</v>
      </c>
      <c r="EH88" s="292">
        <v>0.16716266605705102</v>
      </c>
      <c r="EI88" s="291">
        <f t="shared" ref="EI88:EI93" si="425">IFERROR(+EG88*EH88,"")</f>
        <v>1305.202628</v>
      </c>
      <c r="EJ88" s="293">
        <f t="shared" ref="EJ88:EJ93" si="426">IFERROR(+(IF(EG88="","0",EG88))-(IF(EI88="","0",EI88)),"")</f>
        <v>6502.776621</v>
      </c>
      <c r="EK88" s="288"/>
      <c r="EL88" s="288"/>
      <c r="EM88" s="288"/>
      <c r="EN88" s="81"/>
      <c r="EO88" s="289">
        <v>1.0</v>
      </c>
      <c r="EP88" s="290" t="s">
        <v>71</v>
      </c>
      <c r="EQ88" s="291">
        <f>'Hitung Output'!BX29</f>
        <v>670486.307</v>
      </c>
      <c r="ER88" s="292">
        <f t="shared" ref="ER88:ER93" si="427">1.16180660667508/100</f>
        <v>0.01161806607</v>
      </c>
      <c r="ES88" s="399">
        <f t="shared" ref="ES88:ES93" si="428">IFERROR(+ER88*EQ88,"0")</f>
        <v>7789.754212</v>
      </c>
      <c r="ET88" s="292">
        <v>0.16716266605705102</v>
      </c>
      <c r="EU88" s="291">
        <f t="shared" ref="EU88:EU93" si="429">IFERROR(+ES88*ET88,"")</f>
        <v>1302.156082</v>
      </c>
      <c r="EV88" s="293">
        <f t="shared" ref="EV88:EV93" si="430">IFERROR(+(IF(ES88="","0",ES88))-(IF(EU88="","0",EU88)),"")</f>
        <v>6487.59813</v>
      </c>
      <c r="EW88" s="288"/>
      <c r="EX88" s="288"/>
      <c r="EY88" s="288"/>
      <c r="EZ88" s="81"/>
      <c r="FA88" s="289">
        <v>1.0</v>
      </c>
      <c r="FB88" s="290" t="s">
        <v>71</v>
      </c>
      <c r="FC88" s="291">
        <f>'Hitung Output'!CC29</f>
        <v>766610.3387</v>
      </c>
      <c r="FD88" s="292">
        <f t="shared" ref="FD88:FD93" si="431">1.16180660667508/100</f>
        <v>0.01161806607</v>
      </c>
      <c r="FE88" s="399">
        <f t="shared" ref="FE88:FE93" si="432">IFERROR(+FD88*FC88,"0")</f>
        <v>8906.529562</v>
      </c>
      <c r="FF88" s="292">
        <v>0.16716266605705102</v>
      </c>
      <c r="FG88" s="291">
        <f t="shared" ref="FG88:FG93" si="433">IFERROR(+FE88*FF88,"")</f>
        <v>1488.839227</v>
      </c>
      <c r="FH88" s="293">
        <f t="shared" ref="FH88:FH93" si="434">IFERROR(+(IF(FE88="","0",FE88))-(IF(FG88="","0",FG88)),"")</f>
        <v>7417.690335</v>
      </c>
      <c r="FI88" s="288"/>
      <c r="FJ88" s="288"/>
      <c r="FK88" s="288"/>
      <c r="FL88" s="81"/>
      <c r="FM88" s="289">
        <v>1.0</v>
      </c>
      <c r="FN88" s="290" t="s">
        <v>71</v>
      </c>
      <c r="FO88" s="291">
        <f>'Hitung Output'!CH29</f>
        <v>845526.5092</v>
      </c>
      <c r="FP88" s="292">
        <f t="shared" ref="FP88:FP93" si="435">1.16180660667508/100</f>
        <v>0.01161806607</v>
      </c>
      <c r="FQ88" s="400">
        <f t="shared" ref="FQ88:FQ93" si="436">IFERROR(+FP88*FO88,"0")</f>
        <v>9823.382845</v>
      </c>
      <c r="FR88" s="292">
        <v>0.16716266605705102</v>
      </c>
      <c r="FS88" s="291">
        <f t="shared" ref="FS88:FS93" si="437">IFERROR(+FQ88*FR88,"")</f>
        <v>1642.102866</v>
      </c>
      <c r="FT88" s="293">
        <f t="shared" ref="FT88:FT93" si="438">IFERROR(+(IF(FQ88="","0",FQ88))-(IF(FS88="","0",FS88)),"")</f>
        <v>8181.279979</v>
      </c>
      <c r="FU88" s="288"/>
      <c r="FV88" s="288"/>
      <c r="FW88" s="288"/>
      <c r="FX88" s="81"/>
      <c r="FY88" s="289">
        <v>1.0</v>
      </c>
      <c r="FZ88" s="290" t="s">
        <v>71</v>
      </c>
      <c r="GA88" s="291">
        <f>'Hitung Output'!CM29</f>
        <v>862847.1731</v>
      </c>
      <c r="GB88" s="292">
        <f t="shared" ref="GB88:GB93" si="439">1.16180660667508/100</f>
        <v>0.01161806607</v>
      </c>
      <c r="GC88" s="291">
        <f t="shared" ref="GC88:GC93" si="440">IFERROR(+GB88*GA88,"0")</f>
        <v>10024.61546</v>
      </c>
      <c r="GD88" s="292">
        <v>0.16716266605705102</v>
      </c>
      <c r="GE88" s="291">
        <f t="shared" ref="GE88:GE93" si="441">IFERROR(+GC88*GD88,"")</f>
        <v>1675.741447</v>
      </c>
      <c r="GF88" s="293">
        <f t="shared" ref="GF88:GF93" si="442">IFERROR(+(IF(GC88="","0",GC88))-(IF(GE88="","0",GE88)),"")</f>
        <v>8348.874016</v>
      </c>
      <c r="GG88" s="288"/>
      <c r="GH88" s="288"/>
      <c r="GI88" s="288"/>
      <c r="GJ88" s="81"/>
      <c r="GK88" s="289">
        <v>1.0</v>
      </c>
      <c r="GL88" s="290" t="s">
        <v>71</v>
      </c>
      <c r="GM88" s="291"/>
      <c r="GN88" s="292">
        <f t="shared" ref="GN88:GN93" si="443">1.16180660667508/100</f>
        <v>0.01161806607</v>
      </c>
      <c r="GO88" s="291">
        <f t="shared" ref="GO88:GO93" si="444">IFERROR(+GN88*GM88,"0")</f>
        <v>0</v>
      </c>
      <c r="GP88" s="292">
        <v>0.16716266605705102</v>
      </c>
      <c r="GQ88" s="291">
        <f t="shared" ref="GQ88:GQ93" si="445">IFERROR(+GO88*GP88,"")</f>
        <v>0</v>
      </c>
      <c r="GR88" s="293">
        <f t="shared" ref="GR88:GR93" si="446">IFERROR(+(IF(GO88="","0",GO88))-(IF(GQ88="","0",GQ88)),"")</f>
        <v>0</v>
      </c>
      <c r="GS88" s="288"/>
      <c r="GT88" s="288"/>
      <c r="GU88" s="288"/>
      <c r="GV88" s="81"/>
      <c r="GW88" s="289">
        <v>1.0</v>
      </c>
      <c r="GX88" s="290" t="s">
        <v>71</v>
      </c>
      <c r="GY88" s="291"/>
      <c r="GZ88" s="292">
        <f t="shared" ref="GZ88:GZ93" si="447">1.16180660667508/100</f>
        <v>0.01161806607</v>
      </c>
      <c r="HA88" s="291">
        <f t="shared" ref="HA88:HA93" si="448">IFERROR(+GZ88*GY88,"0")</f>
        <v>0</v>
      </c>
      <c r="HB88" s="292">
        <v>0.16716266605705102</v>
      </c>
      <c r="HC88" s="291">
        <f t="shared" ref="HC88:HC93" si="449">IFERROR(+HA88*HB88,"")</f>
        <v>0</v>
      </c>
      <c r="HD88" s="293">
        <f t="shared" ref="HD88:HD93" si="450">IFERROR(+(IF(HA88="","0",HA88))-(IF(HC88="","0",HC88)),"")</f>
        <v>0</v>
      </c>
      <c r="HE88" s="288"/>
      <c r="HF88" s="288"/>
      <c r="HG88" s="288"/>
      <c r="HH88" s="81"/>
      <c r="HI88" s="75"/>
    </row>
    <row r="89" ht="15.75" customHeight="1">
      <c r="A89" s="289">
        <f t="shared" ref="A89:A93" si="451">A88+1</f>
        <v>2</v>
      </c>
      <c r="B89" s="290" t="s">
        <v>72</v>
      </c>
      <c r="C89" s="291"/>
      <c r="D89" s="292">
        <f t="shared" si="379"/>
        <v>0.01161806607</v>
      </c>
      <c r="E89" s="291">
        <f t="shared" si="380"/>
        <v>0</v>
      </c>
      <c r="F89" s="292">
        <v>0.16716266605705102</v>
      </c>
      <c r="G89" s="291">
        <f t="shared" si="381"/>
        <v>0</v>
      </c>
      <c r="H89" s="293">
        <f t="shared" si="382"/>
        <v>0</v>
      </c>
      <c r="I89" s="288"/>
      <c r="J89" s="288"/>
      <c r="K89" s="288"/>
      <c r="L89" s="81"/>
      <c r="M89" s="289">
        <f t="shared" ref="M89:M93" si="452">M88+1</f>
        <v>2</v>
      </c>
      <c r="N89" s="290" t="s">
        <v>72</v>
      </c>
      <c r="O89" s="291"/>
      <c r="P89" s="292">
        <f t="shared" si="383"/>
        <v>0.01161806607</v>
      </c>
      <c r="Q89" s="291">
        <f t="shared" si="384"/>
        <v>0</v>
      </c>
      <c r="R89" s="292">
        <v>0.16716266605705102</v>
      </c>
      <c r="S89" s="291">
        <f t="shared" si="385"/>
        <v>0</v>
      </c>
      <c r="T89" s="293">
        <f t="shared" si="386"/>
        <v>0</v>
      </c>
      <c r="U89" s="288"/>
      <c r="V89" s="288"/>
      <c r="W89" s="288"/>
      <c r="X89" s="81"/>
      <c r="Y89" s="289">
        <f t="shared" ref="Y89:Y93" si="453">Y88+1</f>
        <v>2</v>
      </c>
      <c r="Z89" s="290" t="s">
        <v>72</v>
      </c>
      <c r="AA89" s="291"/>
      <c r="AB89" s="292">
        <f t="shared" si="387"/>
        <v>0.01161806607</v>
      </c>
      <c r="AC89" s="291">
        <f t="shared" si="388"/>
        <v>0</v>
      </c>
      <c r="AD89" s="292">
        <v>0.16716266605705102</v>
      </c>
      <c r="AE89" s="291">
        <f t="shared" si="389"/>
        <v>0</v>
      </c>
      <c r="AF89" s="293">
        <f t="shared" si="390"/>
        <v>0</v>
      </c>
      <c r="AG89" s="288"/>
      <c r="AH89" s="288"/>
      <c r="AI89" s="288"/>
      <c r="AJ89" s="81"/>
      <c r="AK89" s="289">
        <f t="shared" ref="AK89:AK93" si="454">AK88+1</f>
        <v>2</v>
      </c>
      <c r="AL89" s="290" t="s">
        <v>72</v>
      </c>
      <c r="AM89" s="291"/>
      <c r="AN89" s="292">
        <f t="shared" si="391"/>
        <v>0.01161806607</v>
      </c>
      <c r="AO89" s="291">
        <f t="shared" si="392"/>
        <v>0</v>
      </c>
      <c r="AP89" s="292">
        <v>0.16716266605705102</v>
      </c>
      <c r="AQ89" s="291">
        <f t="shared" si="393"/>
        <v>0</v>
      </c>
      <c r="AR89" s="293">
        <f t="shared" si="394"/>
        <v>0</v>
      </c>
      <c r="AS89" s="288"/>
      <c r="AT89" s="288"/>
      <c r="AU89" s="288"/>
      <c r="AV89" s="81"/>
      <c r="AW89" s="289">
        <f t="shared" ref="AW89:AW93" si="455">AW88+1</f>
        <v>2</v>
      </c>
      <c r="AX89" s="290" t="s">
        <v>72</v>
      </c>
      <c r="AY89" s="291"/>
      <c r="AZ89" s="292">
        <f t="shared" si="395"/>
        <v>0.01161806607</v>
      </c>
      <c r="BA89" s="291">
        <f t="shared" si="396"/>
        <v>0</v>
      </c>
      <c r="BB89" s="292">
        <v>0.16716266605705102</v>
      </c>
      <c r="BC89" s="291">
        <f t="shared" si="397"/>
        <v>0</v>
      </c>
      <c r="BD89" s="293">
        <f t="shared" si="398"/>
        <v>0</v>
      </c>
      <c r="BE89" s="288"/>
      <c r="BF89" s="288"/>
      <c r="BG89" s="288"/>
      <c r="BH89" s="81"/>
      <c r="BI89" s="289">
        <f t="shared" ref="BI89:BI93" si="456">BI88+1</f>
        <v>2</v>
      </c>
      <c r="BJ89" s="290" t="s">
        <v>72</v>
      </c>
      <c r="BK89" s="291"/>
      <c r="BL89" s="292">
        <f t="shared" si="399"/>
        <v>0.01161806607</v>
      </c>
      <c r="BM89" s="291">
        <f t="shared" si="400"/>
        <v>0</v>
      </c>
      <c r="BN89" s="292">
        <v>0.16716266605705102</v>
      </c>
      <c r="BO89" s="291">
        <f t="shared" si="401"/>
        <v>0</v>
      </c>
      <c r="BP89" s="293">
        <f t="shared" si="402"/>
        <v>0</v>
      </c>
      <c r="BQ89" s="288"/>
      <c r="BR89" s="288"/>
      <c r="BS89" s="288"/>
      <c r="BT89" s="81"/>
      <c r="BU89" s="289">
        <f t="shared" ref="BU89:BU93" si="457">BU88+1</f>
        <v>2</v>
      </c>
      <c r="BV89" s="290" t="s">
        <v>72</v>
      </c>
      <c r="BW89" s="291"/>
      <c r="BX89" s="292">
        <f t="shared" si="403"/>
        <v>0.01161806607</v>
      </c>
      <c r="BY89" s="291">
        <f t="shared" si="404"/>
        <v>0</v>
      </c>
      <c r="BZ89" s="292">
        <v>0.16716266605705102</v>
      </c>
      <c r="CA89" s="291">
        <f t="shared" si="405"/>
        <v>0</v>
      </c>
      <c r="CB89" s="293">
        <f t="shared" si="406"/>
        <v>0</v>
      </c>
      <c r="CC89" s="288"/>
      <c r="CD89" s="288"/>
      <c r="CE89" s="288"/>
      <c r="CF89" s="81"/>
      <c r="CG89" s="289">
        <f t="shared" ref="CG89:CG93" si="458">CG88+1</f>
        <v>2</v>
      </c>
      <c r="CH89" s="290" t="s">
        <v>72</v>
      </c>
      <c r="CI89" s="291"/>
      <c r="CJ89" s="292">
        <f t="shared" si="407"/>
        <v>0.01161806607</v>
      </c>
      <c r="CK89" s="291">
        <f t="shared" si="408"/>
        <v>0</v>
      </c>
      <c r="CL89" s="292">
        <v>0.16716266605705102</v>
      </c>
      <c r="CM89" s="291">
        <f t="shared" si="409"/>
        <v>0</v>
      </c>
      <c r="CN89" s="293">
        <f t="shared" si="410"/>
        <v>0</v>
      </c>
      <c r="CO89" s="288"/>
      <c r="CP89" s="288"/>
      <c r="CQ89" s="288"/>
      <c r="CR89" s="81"/>
      <c r="CS89" s="289">
        <f t="shared" ref="CS89:CS93" si="459">CS88+1</f>
        <v>2</v>
      </c>
      <c r="CT89" s="290" t="s">
        <v>72</v>
      </c>
      <c r="CU89" s="291"/>
      <c r="CV89" s="292">
        <f t="shared" si="411"/>
        <v>0.01161806607</v>
      </c>
      <c r="CW89" s="291">
        <f t="shared" si="412"/>
        <v>0</v>
      </c>
      <c r="CX89" s="292">
        <v>0.16716266605705102</v>
      </c>
      <c r="CY89" s="291">
        <f t="shared" si="413"/>
        <v>0</v>
      </c>
      <c r="CZ89" s="293">
        <f t="shared" si="414"/>
        <v>0</v>
      </c>
      <c r="DA89" s="288"/>
      <c r="DB89" s="288"/>
      <c r="DC89" s="288"/>
      <c r="DD89" s="81"/>
      <c r="DE89" s="289">
        <f t="shared" ref="DE89:DE93" si="460">DE88+1</f>
        <v>2</v>
      </c>
      <c r="DF89" s="290" t="s">
        <v>72</v>
      </c>
      <c r="DG89" s="291">
        <f>'Hitung Output'!BI30</f>
        <v>104380.8184</v>
      </c>
      <c r="DH89" s="292">
        <f t="shared" si="415"/>
        <v>0.01161806607</v>
      </c>
      <c r="DI89" s="297">
        <f t="shared" si="416"/>
        <v>1212.703245</v>
      </c>
      <c r="DJ89" s="292">
        <v>0.16716266605705102</v>
      </c>
      <c r="DK89" s="291">
        <f t="shared" si="417"/>
        <v>202.7187075</v>
      </c>
      <c r="DL89" s="293">
        <f t="shared" si="418"/>
        <v>1009.984537</v>
      </c>
      <c r="DM89" s="288"/>
      <c r="DN89" s="288"/>
      <c r="DO89" s="288"/>
      <c r="DP89" s="81"/>
      <c r="DQ89" s="289">
        <f t="shared" ref="DQ89:DQ93" si="461">DQ88+1</f>
        <v>2</v>
      </c>
      <c r="DR89" s="290" t="s">
        <v>72</v>
      </c>
      <c r="DS89" s="292">
        <f>'Hitung Output'!BN30</f>
        <v>102357.2565</v>
      </c>
      <c r="DT89" s="292">
        <f t="shared" si="419"/>
        <v>0.01161806607</v>
      </c>
      <c r="DU89" s="399">
        <f t="shared" si="420"/>
        <v>1189.193368</v>
      </c>
      <c r="DV89" s="292">
        <v>0.16716266605705102</v>
      </c>
      <c r="DW89" s="291">
        <f t="shared" si="421"/>
        <v>198.7887339</v>
      </c>
      <c r="DX89" s="293">
        <f t="shared" si="422"/>
        <v>990.4046345</v>
      </c>
      <c r="DY89" s="288"/>
      <c r="DZ89" s="288"/>
      <c r="EA89" s="288"/>
      <c r="EB89" s="81"/>
      <c r="EC89" s="289">
        <f t="shared" ref="EC89:EC93" si="462">EC88+1</f>
        <v>2</v>
      </c>
      <c r="ED89" s="290" t="s">
        <v>72</v>
      </c>
      <c r="EE89" s="292">
        <f>'Hitung Output'!BS30</f>
        <v>101859.2169</v>
      </c>
      <c r="EF89" s="292">
        <f t="shared" si="423"/>
        <v>0.01161806607</v>
      </c>
      <c r="EG89" s="400">
        <f t="shared" si="424"/>
        <v>1183.407112</v>
      </c>
      <c r="EH89" s="292">
        <v>0.16716266605705102</v>
      </c>
      <c r="EI89" s="291">
        <f t="shared" si="425"/>
        <v>197.8214879</v>
      </c>
      <c r="EJ89" s="293">
        <f t="shared" si="426"/>
        <v>985.5856241</v>
      </c>
      <c r="EK89" s="288"/>
      <c r="EL89" s="288"/>
      <c r="EM89" s="288"/>
      <c r="EN89" s="81"/>
      <c r="EO89" s="289">
        <f t="shared" ref="EO89:EO93" si="463">EO88+1</f>
        <v>2</v>
      </c>
      <c r="EP89" s="290" t="s">
        <v>72</v>
      </c>
      <c r="EQ89" s="291">
        <f>'Hitung Output'!BX30</f>
        <v>121194.6123</v>
      </c>
      <c r="ER89" s="292">
        <f t="shared" si="427"/>
        <v>0.01161806607</v>
      </c>
      <c r="ES89" s="399">
        <f t="shared" si="428"/>
        <v>1408.047013</v>
      </c>
      <c r="ET89" s="292">
        <v>0.16716266605705102</v>
      </c>
      <c r="EU89" s="291">
        <f t="shared" si="429"/>
        <v>235.3728927</v>
      </c>
      <c r="EV89" s="293">
        <f t="shared" si="430"/>
        <v>1172.674121</v>
      </c>
      <c r="EW89" s="288"/>
      <c r="EX89" s="288"/>
      <c r="EY89" s="288"/>
      <c r="EZ89" s="81"/>
      <c r="FA89" s="289">
        <f t="shared" ref="FA89:FA93" si="464">FA88+1</f>
        <v>2</v>
      </c>
      <c r="FB89" s="290" t="s">
        <v>72</v>
      </c>
      <c r="FC89" s="291">
        <f>'Hitung Output'!CC30</f>
        <v>113513.5246</v>
      </c>
      <c r="FD89" s="292">
        <f t="shared" si="431"/>
        <v>0.01161806607</v>
      </c>
      <c r="FE89" s="399">
        <f t="shared" si="432"/>
        <v>1318.807629</v>
      </c>
      <c r="FF89" s="292">
        <v>0.16716266605705102</v>
      </c>
      <c r="FG89" s="291">
        <f t="shared" si="433"/>
        <v>220.4553992</v>
      </c>
      <c r="FH89" s="293">
        <f t="shared" si="434"/>
        <v>1098.352229</v>
      </c>
      <c r="FI89" s="288"/>
      <c r="FJ89" s="288"/>
      <c r="FK89" s="288"/>
      <c r="FL89" s="81"/>
      <c r="FM89" s="289">
        <f t="shared" ref="FM89:FM93" si="465">FM88+1</f>
        <v>2</v>
      </c>
      <c r="FN89" s="290" t="s">
        <v>72</v>
      </c>
      <c r="FO89" s="291">
        <f>'Hitung Output'!CH30</f>
        <v>113917.4185</v>
      </c>
      <c r="FP89" s="292">
        <f t="shared" si="435"/>
        <v>0.01161806607</v>
      </c>
      <c r="FQ89" s="400">
        <f t="shared" si="436"/>
        <v>1323.500094</v>
      </c>
      <c r="FR89" s="292">
        <v>0.16716266605705102</v>
      </c>
      <c r="FS89" s="291">
        <f t="shared" si="437"/>
        <v>221.2398043</v>
      </c>
      <c r="FT89" s="293">
        <f t="shared" si="438"/>
        <v>1102.26029</v>
      </c>
      <c r="FU89" s="288"/>
      <c r="FV89" s="288"/>
      <c r="FW89" s="288"/>
      <c r="FX89" s="81"/>
      <c r="FY89" s="289">
        <f t="shared" ref="FY89:FY93" si="466">FY88+1</f>
        <v>2</v>
      </c>
      <c r="FZ89" s="290" t="s">
        <v>72</v>
      </c>
      <c r="GA89" s="291">
        <f>'Hitung Output'!CM30</f>
        <v>120674.2019</v>
      </c>
      <c r="GB89" s="292">
        <f t="shared" si="439"/>
        <v>0.01161806607</v>
      </c>
      <c r="GC89" s="291">
        <f t="shared" si="440"/>
        <v>1402.000851</v>
      </c>
      <c r="GD89" s="292">
        <v>0.16716266605705102</v>
      </c>
      <c r="GE89" s="291">
        <f t="shared" si="441"/>
        <v>234.3622</v>
      </c>
      <c r="GF89" s="293">
        <f t="shared" si="442"/>
        <v>1167.638651</v>
      </c>
      <c r="GG89" s="288"/>
      <c r="GH89" s="288"/>
      <c r="GI89" s="288"/>
      <c r="GJ89" s="81"/>
      <c r="GK89" s="289">
        <f t="shared" ref="GK89:GK93" si="467">GK88+1</f>
        <v>2</v>
      </c>
      <c r="GL89" s="290" t="s">
        <v>72</v>
      </c>
      <c r="GM89" s="291"/>
      <c r="GN89" s="292">
        <f t="shared" si="443"/>
        <v>0.01161806607</v>
      </c>
      <c r="GO89" s="291">
        <f t="shared" si="444"/>
        <v>0</v>
      </c>
      <c r="GP89" s="292">
        <v>0.16716266605705102</v>
      </c>
      <c r="GQ89" s="291">
        <f t="shared" si="445"/>
        <v>0</v>
      </c>
      <c r="GR89" s="293">
        <f t="shared" si="446"/>
        <v>0</v>
      </c>
      <c r="GS89" s="288"/>
      <c r="GT89" s="288"/>
      <c r="GU89" s="288"/>
      <c r="GV89" s="81"/>
      <c r="GW89" s="289">
        <f t="shared" ref="GW89:GW93" si="468">GW88+1</f>
        <v>2</v>
      </c>
      <c r="GX89" s="290" t="s">
        <v>72</v>
      </c>
      <c r="GY89" s="291"/>
      <c r="GZ89" s="292">
        <f t="shared" si="447"/>
        <v>0.01161806607</v>
      </c>
      <c r="HA89" s="291">
        <f t="shared" si="448"/>
        <v>0</v>
      </c>
      <c r="HB89" s="292">
        <v>0.16716266605705102</v>
      </c>
      <c r="HC89" s="291">
        <f t="shared" si="449"/>
        <v>0</v>
      </c>
      <c r="HD89" s="293">
        <f t="shared" si="450"/>
        <v>0</v>
      </c>
      <c r="HE89" s="288"/>
      <c r="HF89" s="288"/>
      <c r="HG89" s="288"/>
      <c r="HH89" s="81"/>
      <c r="HI89" s="75"/>
    </row>
    <row r="90" ht="15.75" customHeight="1">
      <c r="A90" s="289">
        <f t="shared" si="451"/>
        <v>3</v>
      </c>
      <c r="B90" s="290" t="s">
        <v>73</v>
      </c>
      <c r="C90" s="291"/>
      <c r="D90" s="292">
        <f t="shared" si="379"/>
        <v>0.01161806607</v>
      </c>
      <c r="E90" s="291">
        <f t="shared" si="380"/>
        <v>0</v>
      </c>
      <c r="F90" s="292">
        <v>0.16716266605705102</v>
      </c>
      <c r="G90" s="291">
        <f t="shared" si="381"/>
        <v>0</v>
      </c>
      <c r="H90" s="293">
        <f t="shared" si="382"/>
        <v>0</v>
      </c>
      <c r="I90" s="288"/>
      <c r="J90" s="288"/>
      <c r="K90" s="288"/>
      <c r="L90" s="81"/>
      <c r="M90" s="289">
        <f t="shared" si="452"/>
        <v>3</v>
      </c>
      <c r="N90" s="290" t="s">
        <v>73</v>
      </c>
      <c r="O90" s="291"/>
      <c r="P90" s="292">
        <f t="shared" si="383"/>
        <v>0.01161806607</v>
      </c>
      <c r="Q90" s="291">
        <f t="shared" si="384"/>
        <v>0</v>
      </c>
      <c r="R90" s="292">
        <v>0.16716266605705102</v>
      </c>
      <c r="S90" s="291">
        <f t="shared" si="385"/>
        <v>0</v>
      </c>
      <c r="T90" s="293">
        <f t="shared" si="386"/>
        <v>0</v>
      </c>
      <c r="U90" s="288"/>
      <c r="V90" s="288"/>
      <c r="W90" s="288"/>
      <c r="X90" s="81"/>
      <c r="Y90" s="289">
        <f t="shared" si="453"/>
        <v>3</v>
      </c>
      <c r="Z90" s="290" t="s">
        <v>73</v>
      </c>
      <c r="AA90" s="291"/>
      <c r="AB90" s="292">
        <f t="shared" si="387"/>
        <v>0.01161806607</v>
      </c>
      <c r="AC90" s="291">
        <f t="shared" si="388"/>
        <v>0</v>
      </c>
      <c r="AD90" s="292">
        <v>0.16716266605705102</v>
      </c>
      <c r="AE90" s="291">
        <f t="shared" si="389"/>
        <v>0</v>
      </c>
      <c r="AF90" s="293">
        <f t="shared" si="390"/>
        <v>0</v>
      </c>
      <c r="AG90" s="288"/>
      <c r="AH90" s="288"/>
      <c r="AI90" s="288"/>
      <c r="AJ90" s="81"/>
      <c r="AK90" s="289">
        <f t="shared" si="454"/>
        <v>3</v>
      </c>
      <c r="AL90" s="290" t="s">
        <v>73</v>
      </c>
      <c r="AM90" s="291"/>
      <c r="AN90" s="292">
        <f t="shared" si="391"/>
        <v>0.01161806607</v>
      </c>
      <c r="AO90" s="291">
        <f t="shared" si="392"/>
        <v>0</v>
      </c>
      <c r="AP90" s="292">
        <v>0.16716266605705102</v>
      </c>
      <c r="AQ90" s="291">
        <f t="shared" si="393"/>
        <v>0</v>
      </c>
      <c r="AR90" s="293">
        <f t="shared" si="394"/>
        <v>0</v>
      </c>
      <c r="AS90" s="288"/>
      <c r="AT90" s="288"/>
      <c r="AU90" s="288"/>
      <c r="AV90" s="81"/>
      <c r="AW90" s="289">
        <f t="shared" si="455"/>
        <v>3</v>
      </c>
      <c r="AX90" s="290" t="s">
        <v>73</v>
      </c>
      <c r="AY90" s="291"/>
      <c r="AZ90" s="292">
        <f t="shared" si="395"/>
        <v>0.01161806607</v>
      </c>
      <c r="BA90" s="291">
        <f t="shared" si="396"/>
        <v>0</v>
      </c>
      <c r="BB90" s="292">
        <v>0.16716266605705102</v>
      </c>
      <c r="BC90" s="291">
        <f t="shared" si="397"/>
        <v>0</v>
      </c>
      <c r="BD90" s="293">
        <f t="shared" si="398"/>
        <v>0</v>
      </c>
      <c r="BE90" s="288"/>
      <c r="BF90" s="288"/>
      <c r="BG90" s="288"/>
      <c r="BH90" s="81"/>
      <c r="BI90" s="289">
        <f t="shared" si="456"/>
        <v>3</v>
      </c>
      <c r="BJ90" s="290" t="s">
        <v>73</v>
      </c>
      <c r="BK90" s="291"/>
      <c r="BL90" s="292">
        <f t="shared" si="399"/>
        <v>0.01161806607</v>
      </c>
      <c r="BM90" s="291">
        <f t="shared" si="400"/>
        <v>0</v>
      </c>
      <c r="BN90" s="292">
        <v>0.16716266605705102</v>
      </c>
      <c r="BO90" s="291">
        <f t="shared" si="401"/>
        <v>0</v>
      </c>
      <c r="BP90" s="293">
        <f t="shared" si="402"/>
        <v>0</v>
      </c>
      <c r="BQ90" s="288"/>
      <c r="BR90" s="288"/>
      <c r="BS90" s="288"/>
      <c r="BT90" s="81"/>
      <c r="BU90" s="289">
        <f t="shared" si="457"/>
        <v>3</v>
      </c>
      <c r="BV90" s="290" t="s">
        <v>73</v>
      </c>
      <c r="BW90" s="291"/>
      <c r="BX90" s="292">
        <f t="shared" si="403"/>
        <v>0.01161806607</v>
      </c>
      <c r="BY90" s="291">
        <f t="shared" si="404"/>
        <v>0</v>
      </c>
      <c r="BZ90" s="292">
        <v>0.16716266605705102</v>
      </c>
      <c r="CA90" s="291">
        <f t="shared" si="405"/>
        <v>0</v>
      </c>
      <c r="CB90" s="293">
        <f t="shared" si="406"/>
        <v>0</v>
      </c>
      <c r="CC90" s="288"/>
      <c r="CD90" s="288"/>
      <c r="CE90" s="288"/>
      <c r="CF90" s="81"/>
      <c r="CG90" s="289">
        <f t="shared" si="458"/>
        <v>3</v>
      </c>
      <c r="CH90" s="290" t="s">
        <v>73</v>
      </c>
      <c r="CI90" s="291"/>
      <c r="CJ90" s="292">
        <f t="shared" si="407"/>
        <v>0.01161806607</v>
      </c>
      <c r="CK90" s="291">
        <f t="shared" si="408"/>
        <v>0</v>
      </c>
      <c r="CL90" s="292">
        <v>0.16716266605705102</v>
      </c>
      <c r="CM90" s="291">
        <f t="shared" si="409"/>
        <v>0</v>
      </c>
      <c r="CN90" s="293">
        <f t="shared" si="410"/>
        <v>0</v>
      </c>
      <c r="CO90" s="288"/>
      <c r="CP90" s="288"/>
      <c r="CQ90" s="288"/>
      <c r="CR90" s="81"/>
      <c r="CS90" s="289">
        <f t="shared" si="459"/>
        <v>3</v>
      </c>
      <c r="CT90" s="290" t="s">
        <v>73</v>
      </c>
      <c r="CU90" s="291"/>
      <c r="CV90" s="292">
        <f t="shared" si="411"/>
        <v>0.01161806607</v>
      </c>
      <c r="CW90" s="291">
        <f t="shared" si="412"/>
        <v>0</v>
      </c>
      <c r="CX90" s="292">
        <v>0.16716266605705102</v>
      </c>
      <c r="CY90" s="291">
        <f t="shared" si="413"/>
        <v>0</v>
      </c>
      <c r="CZ90" s="293">
        <f t="shared" si="414"/>
        <v>0</v>
      </c>
      <c r="DA90" s="288"/>
      <c r="DB90" s="288"/>
      <c r="DC90" s="288"/>
      <c r="DD90" s="81"/>
      <c r="DE90" s="289">
        <f t="shared" si="460"/>
        <v>3</v>
      </c>
      <c r="DF90" s="290" t="s">
        <v>73</v>
      </c>
      <c r="DG90" s="291">
        <f>'Hitung Output'!BI31</f>
        <v>28816.18542</v>
      </c>
      <c r="DH90" s="292">
        <f t="shared" si="415"/>
        <v>0.01161806607</v>
      </c>
      <c r="DI90" s="297">
        <f t="shared" si="416"/>
        <v>334.788346</v>
      </c>
      <c r="DJ90" s="292">
        <v>0.16716266605705102</v>
      </c>
      <c r="DK90" s="291">
        <f t="shared" si="417"/>
        <v>55.96411249</v>
      </c>
      <c r="DL90" s="293">
        <f t="shared" si="418"/>
        <v>278.8242335</v>
      </c>
      <c r="DM90" s="288"/>
      <c r="DN90" s="288"/>
      <c r="DO90" s="288"/>
      <c r="DP90" s="81"/>
      <c r="DQ90" s="289">
        <f t="shared" si="461"/>
        <v>3</v>
      </c>
      <c r="DR90" s="290" t="s">
        <v>73</v>
      </c>
      <c r="DS90" s="292">
        <f>'Hitung Output'!BN31</f>
        <v>30043.91831</v>
      </c>
      <c r="DT90" s="292">
        <f t="shared" si="419"/>
        <v>0.01161806607</v>
      </c>
      <c r="DU90" s="399">
        <f t="shared" si="420"/>
        <v>349.0522279</v>
      </c>
      <c r="DV90" s="292">
        <v>0.16716266605705102</v>
      </c>
      <c r="DW90" s="291">
        <f t="shared" si="421"/>
        <v>58.348501</v>
      </c>
      <c r="DX90" s="293">
        <f t="shared" si="422"/>
        <v>290.7037269</v>
      </c>
      <c r="DY90" s="288"/>
      <c r="DZ90" s="288"/>
      <c r="EA90" s="288"/>
      <c r="EB90" s="81"/>
      <c r="EC90" s="289">
        <f t="shared" si="462"/>
        <v>3</v>
      </c>
      <c r="ED90" s="290" t="s">
        <v>73</v>
      </c>
      <c r="EE90" s="292">
        <f>'Hitung Output'!BS31</f>
        <v>48222.82143</v>
      </c>
      <c r="EF90" s="292">
        <f t="shared" si="423"/>
        <v>0.01161806607</v>
      </c>
      <c r="EG90" s="400">
        <f t="shared" si="424"/>
        <v>560.2559253</v>
      </c>
      <c r="EH90" s="292">
        <v>0.16716266605705102</v>
      </c>
      <c r="EI90" s="291">
        <f t="shared" si="425"/>
        <v>93.65387415</v>
      </c>
      <c r="EJ90" s="293">
        <f t="shared" si="426"/>
        <v>466.6020511</v>
      </c>
      <c r="EK90" s="288"/>
      <c r="EL90" s="288"/>
      <c r="EM90" s="288"/>
      <c r="EN90" s="81"/>
      <c r="EO90" s="289">
        <f t="shared" si="463"/>
        <v>3</v>
      </c>
      <c r="EP90" s="290" t="s">
        <v>73</v>
      </c>
      <c r="EQ90" s="291">
        <f>'Hitung Output'!BX31</f>
        <v>52394.75727</v>
      </c>
      <c r="ER90" s="292">
        <f t="shared" si="427"/>
        <v>0.01161806607</v>
      </c>
      <c r="ES90" s="399">
        <f t="shared" si="428"/>
        <v>608.7257515</v>
      </c>
      <c r="ET90" s="292">
        <v>0.16716266605705102</v>
      </c>
      <c r="EU90" s="291">
        <f t="shared" si="429"/>
        <v>101.7562195</v>
      </c>
      <c r="EV90" s="293">
        <f t="shared" si="430"/>
        <v>506.969532</v>
      </c>
      <c r="EW90" s="288"/>
      <c r="EX90" s="288"/>
      <c r="EY90" s="288"/>
      <c r="EZ90" s="81"/>
      <c r="FA90" s="289">
        <f t="shared" si="464"/>
        <v>3</v>
      </c>
      <c r="FB90" s="290" t="s">
        <v>73</v>
      </c>
      <c r="FC90" s="291">
        <f>'Hitung Output'!CC31</f>
        <v>57688.84462</v>
      </c>
      <c r="FD90" s="292">
        <f t="shared" si="431"/>
        <v>0.01161806607</v>
      </c>
      <c r="FE90" s="399">
        <f t="shared" si="432"/>
        <v>670.2328081</v>
      </c>
      <c r="FF90" s="292">
        <v>0.16716266605705102</v>
      </c>
      <c r="FG90" s="291">
        <f t="shared" si="433"/>
        <v>112.0379031</v>
      </c>
      <c r="FH90" s="293">
        <f t="shared" si="434"/>
        <v>558.194905</v>
      </c>
      <c r="FI90" s="288"/>
      <c r="FJ90" s="288"/>
      <c r="FK90" s="288"/>
      <c r="FL90" s="81"/>
      <c r="FM90" s="289">
        <f t="shared" si="465"/>
        <v>3</v>
      </c>
      <c r="FN90" s="290" t="s">
        <v>73</v>
      </c>
      <c r="FO90" s="291">
        <f>'Hitung Output'!CH31</f>
        <v>85976.65637</v>
      </c>
      <c r="FP90" s="292">
        <f t="shared" si="435"/>
        <v>0.01161806607</v>
      </c>
      <c r="FQ90" s="400">
        <f t="shared" si="436"/>
        <v>998.8824739</v>
      </c>
      <c r="FR90" s="292">
        <v>0.16716266605705102</v>
      </c>
      <c r="FS90" s="291">
        <f t="shared" si="437"/>
        <v>166.9758574</v>
      </c>
      <c r="FT90" s="293">
        <f t="shared" si="438"/>
        <v>831.9066165</v>
      </c>
      <c r="FU90" s="288"/>
      <c r="FV90" s="288"/>
      <c r="FW90" s="288"/>
      <c r="FX90" s="81"/>
      <c r="FY90" s="289">
        <f t="shared" si="466"/>
        <v>3</v>
      </c>
      <c r="FZ90" s="290" t="s">
        <v>73</v>
      </c>
      <c r="GA90" s="291">
        <f>'Hitung Output'!CM31</f>
        <v>111710.7358</v>
      </c>
      <c r="GB90" s="292">
        <f t="shared" si="439"/>
        <v>0.01161806607</v>
      </c>
      <c r="GC90" s="291">
        <f t="shared" si="440"/>
        <v>1297.862709</v>
      </c>
      <c r="GD90" s="292">
        <v>0.16716266605705102</v>
      </c>
      <c r="GE90" s="291">
        <f t="shared" si="441"/>
        <v>216.9541907</v>
      </c>
      <c r="GF90" s="293">
        <f t="shared" si="442"/>
        <v>1080.908519</v>
      </c>
      <c r="GG90" s="288"/>
      <c r="GH90" s="288"/>
      <c r="GI90" s="288"/>
      <c r="GJ90" s="81"/>
      <c r="GK90" s="289">
        <f t="shared" si="467"/>
        <v>3</v>
      </c>
      <c r="GL90" s="290" t="s">
        <v>73</v>
      </c>
      <c r="GM90" s="291"/>
      <c r="GN90" s="292">
        <f t="shared" si="443"/>
        <v>0.01161806607</v>
      </c>
      <c r="GO90" s="291">
        <f t="shared" si="444"/>
        <v>0</v>
      </c>
      <c r="GP90" s="292">
        <v>0.16716266605705102</v>
      </c>
      <c r="GQ90" s="291">
        <f t="shared" si="445"/>
        <v>0</v>
      </c>
      <c r="GR90" s="293">
        <f t="shared" si="446"/>
        <v>0</v>
      </c>
      <c r="GS90" s="288"/>
      <c r="GT90" s="288"/>
      <c r="GU90" s="288"/>
      <c r="GV90" s="81"/>
      <c r="GW90" s="289">
        <f t="shared" si="468"/>
        <v>3</v>
      </c>
      <c r="GX90" s="290" t="s">
        <v>73</v>
      </c>
      <c r="GY90" s="291"/>
      <c r="GZ90" s="292">
        <f t="shared" si="447"/>
        <v>0.01161806607</v>
      </c>
      <c r="HA90" s="291">
        <f t="shared" si="448"/>
        <v>0</v>
      </c>
      <c r="HB90" s="292">
        <v>0.16716266605705102</v>
      </c>
      <c r="HC90" s="291">
        <f t="shared" si="449"/>
        <v>0</v>
      </c>
      <c r="HD90" s="293">
        <f t="shared" si="450"/>
        <v>0</v>
      </c>
      <c r="HE90" s="288"/>
      <c r="HF90" s="288"/>
      <c r="HG90" s="288"/>
      <c r="HH90" s="81"/>
      <c r="HI90" s="75"/>
    </row>
    <row r="91" ht="15.75" customHeight="1">
      <c r="A91" s="289">
        <f t="shared" si="451"/>
        <v>4</v>
      </c>
      <c r="B91" s="290" t="s">
        <v>74</v>
      </c>
      <c r="C91" s="291"/>
      <c r="D91" s="292">
        <f t="shared" si="379"/>
        <v>0.01161806607</v>
      </c>
      <c r="E91" s="291">
        <f t="shared" si="380"/>
        <v>0</v>
      </c>
      <c r="F91" s="292">
        <v>0.16716266605705102</v>
      </c>
      <c r="G91" s="291">
        <f t="shared" si="381"/>
        <v>0</v>
      </c>
      <c r="H91" s="293">
        <f t="shared" si="382"/>
        <v>0</v>
      </c>
      <c r="I91" s="288"/>
      <c r="J91" s="288"/>
      <c r="K91" s="288"/>
      <c r="L91" s="81"/>
      <c r="M91" s="289">
        <f t="shared" si="452"/>
        <v>4</v>
      </c>
      <c r="N91" s="290" t="s">
        <v>74</v>
      </c>
      <c r="O91" s="291"/>
      <c r="P91" s="292">
        <f t="shared" si="383"/>
        <v>0.01161806607</v>
      </c>
      <c r="Q91" s="291">
        <f t="shared" si="384"/>
        <v>0</v>
      </c>
      <c r="R91" s="292">
        <v>0.16716266605705102</v>
      </c>
      <c r="S91" s="291">
        <f t="shared" si="385"/>
        <v>0</v>
      </c>
      <c r="T91" s="293">
        <f t="shared" si="386"/>
        <v>0</v>
      </c>
      <c r="U91" s="288"/>
      <c r="V91" s="288"/>
      <c r="W91" s="288"/>
      <c r="X91" s="81"/>
      <c r="Y91" s="289">
        <f t="shared" si="453"/>
        <v>4</v>
      </c>
      <c r="Z91" s="290" t="s">
        <v>74</v>
      </c>
      <c r="AA91" s="291"/>
      <c r="AB91" s="292">
        <f t="shared" si="387"/>
        <v>0.01161806607</v>
      </c>
      <c r="AC91" s="291">
        <f t="shared" si="388"/>
        <v>0</v>
      </c>
      <c r="AD91" s="292">
        <v>0.16716266605705102</v>
      </c>
      <c r="AE91" s="291">
        <f t="shared" si="389"/>
        <v>0</v>
      </c>
      <c r="AF91" s="293">
        <f t="shared" si="390"/>
        <v>0</v>
      </c>
      <c r="AG91" s="288"/>
      <c r="AH91" s="288"/>
      <c r="AI91" s="288"/>
      <c r="AJ91" s="81"/>
      <c r="AK91" s="289">
        <f t="shared" si="454"/>
        <v>4</v>
      </c>
      <c r="AL91" s="290" t="s">
        <v>74</v>
      </c>
      <c r="AM91" s="291"/>
      <c r="AN91" s="292">
        <f t="shared" si="391"/>
        <v>0.01161806607</v>
      </c>
      <c r="AO91" s="291">
        <f t="shared" si="392"/>
        <v>0</v>
      </c>
      <c r="AP91" s="292">
        <v>0.16716266605705102</v>
      </c>
      <c r="AQ91" s="291">
        <f t="shared" si="393"/>
        <v>0</v>
      </c>
      <c r="AR91" s="293">
        <f t="shared" si="394"/>
        <v>0</v>
      </c>
      <c r="AS91" s="288"/>
      <c r="AT91" s="288"/>
      <c r="AU91" s="288"/>
      <c r="AV91" s="81"/>
      <c r="AW91" s="289">
        <f t="shared" si="455"/>
        <v>4</v>
      </c>
      <c r="AX91" s="290" t="s">
        <v>74</v>
      </c>
      <c r="AY91" s="291"/>
      <c r="AZ91" s="292">
        <f t="shared" si="395"/>
        <v>0.01161806607</v>
      </c>
      <c r="BA91" s="291">
        <f t="shared" si="396"/>
        <v>0</v>
      </c>
      <c r="BB91" s="292">
        <v>0.16716266605705102</v>
      </c>
      <c r="BC91" s="291">
        <f t="shared" si="397"/>
        <v>0</v>
      </c>
      <c r="BD91" s="293">
        <f t="shared" si="398"/>
        <v>0</v>
      </c>
      <c r="BE91" s="288"/>
      <c r="BF91" s="288"/>
      <c r="BG91" s="288"/>
      <c r="BH91" s="81"/>
      <c r="BI91" s="289">
        <f t="shared" si="456"/>
        <v>4</v>
      </c>
      <c r="BJ91" s="290" t="s">
        <v>74</v>
      </c>
      <c r="BK91" s="291"/>
      <c r="BL91" s="292">
        <f t="shared" si="399"/>
        <v>0.01161806607</v>
      </c>
      <c r="BM91" s="291">
        <f t="shared" si="400"/>
        <v>0</v>
      </c>
      <c r="BN91" s="292">
        <v>0.16716266605705102</v>
      </c>
      <c r="BO91" s="291">
        <f t="shared" si="401"/>
        <v>0</v>
      </c>
      <c r="BP91" s="293">
        <f t="shared" si="402"/>
        <v>0</v>
      </c>
      <c r="BQ91" s="288"/>
      <c r="BR91" s="288"/>
      <c r="BS91" s="288"/>
      <c r="BT91" s="81"/>
      <c r="BU91" s="289">
        <f t="shared" si="457"/>
        <v>4</v>
      </c>
      <c r="BV91" s="290" t="s">
        <v>74</v>
      </c>
      <c r="BW91" s="291"/>
      <c r="BX91" s="292">
        <f t="shared" si="403"/>
        <v>0.01161806607</v>
      </c>
      <c r="BY91" s="291">
        <f t="shared" si="404"/>
        <v>0</v>
      </c>
      <c r="BZ91" s="292">
        <v>0.16716266605705102</v>
      </c>
      <c r="CA91" s="291">
        <f t="shared" si="405"/>
        <v>0</v>
      </c>
      <c r="CB91" s="293">
        <f t="shared" si="406"/>
        <v>0</v>
      </c>
      <c r="CC91" s="288"/>
      <c r="CD91" s="288"/>
      <c r="CE91" s="288"/>
      <c r="CF91" s="81"/>
      <c r="CG91" s="289">
        <f t="shared" si="458"/>
        <v>4</v>
      </c>
      <c r="CH91" s="290" t="s">
        <v>74</v>
      </c>
      <c r="CI91" s="291"/>
      <c r="CJ91" s="292">
        <f t="shared" si="407"/>
        <v>0.01161806607</v>
      </c>
      <c r="CK91" s="291">
        <f t="shared" si="408"/>
        <v>0</v>
      </c>
      <c r="CL91" s="292">
        <v>0.16716266605705102</v>
      </c>
      <c r="CM91" s="291">
        <f t="shared" si="409"/>
        <v>0</v>
      </c>
      <c r="CN91" s="293">
        <f t="shared" si="410"/>
        <v>0</v>
      </c>
      <c r="CO91" s="288"/>
      <c r="CP91" s="288"/>
      <c r="CQ91" s="288"/>
      <c r="CR91" s="81"/>
      <c r="CS91" s="289">
        <f t="shared" si="459"/>
        <v>4</v>
      </c>
      <c r="CT91" s="290" t="s">
        <v>74</v>
      </c>
      <c r="CU91" s="291"/>
      <c r="CV91" s="292">
        <f t="shared" si="411"/>
        <v>0.01161806607</v>
      </c>
      <c r="CW91" s="291">
        <f t="shared" si="412"/>
        <v>0</v>
      </c>
      <c r="CX91" s="292">
        <v>0.16716266605705102</v>
      </c>
      <c r="CY91" s="291">
        <f t="shared" si="413"/>
        <v>0</v>
      </c>
      <c r="CZ91" s="293">
        <f t="shared" si="414"/>
        <v>0</v>
      </c>
      <c r="DA91" s="288"/>
      <c r="DB91" s="288"/>
      <c r="DC91" s="288"/>
      <c r="DD91" s="81"/>
      <c r="DE91" s="289">
        <f t="shared" si="460"/>
        <v>4</v>
      </c>
      <c r="DF91" s="290" t="s">
        <v>74</v>
      </c>
      <c r="DG91" s="291">
        <f>'Hitung Output'!BI32</f>
        <v>228774.5034</v>
      </c>
      <c r="DH91" s="292">
        <f t="shared" si="415"/>
        <v>0.01161806607</v>
      </c>
      <c r="DI91" s="297">
        <f t="shared" si="416"/>
        <v>2657.917295</v>
      </c>
      <c r="DJ91" s="292">
        <v>0.16716266605705102</v>
      </c>
      <c r="DK91" s="291">
        <f t="shared" si="417"/>
        <v>444.3045412</v>
      </c>
      <c r="DL91" s="293">
        <f t="shared" si="418"/>
        <v>2213.612754</v>
      </c>
      <c r="DM91" s="288"/>
      <c r="DN91" s="288"/>
      <c r="DO91" s="288"/>
      <c r="DP91" s="81"/>
      <c r="DQ91" s="289">
        <f t="shared" si="461"/>
        <v>4</v>
      </c>
      <c r="DR91" s="290" t="s">
        <v>74</v>
      </c>
      <c r="DS91" s="292">
        <f>'Hitung Output'!BN32</f>
        <v>238401.5263</v>
      </c>
      <c r="DT91" s="292">
        <f t="shared" si="419"/>
        <v>0.01161806607</v>
      </c>
      <c r="DU91" s="399">
        <f t="shared" si="420"/>
        <v>2769.764683</v>
      </c>
      <c r="DV91" s="292">
        <v>0.16716266605705102</v>
      </c>
      <c r="DW91" s="291">
        <f t="shared" si="421"/>
        <v>463.0012487</v>
      </c>
      <c r="DX91" s="293">
        <f t="shared" si="422"/>
        <v>2306.763434</v>
      </c>
      <c r="DY91" s="288"/>
      <c r="DZ91" s="288"/>
      <c r="EA91" s="288"/>
      <c r="EB91" s="81"/>
      <c r="EC91" s="289">
        <f t="shared" si="462"/>
        <v>4</v>
      </c>
      <c r="ED91" s="290" t="s">
        <v>74</v>
      </c>
      <c r="EE91" s="292">
        <f>'Hitung Output'!BS32</f>
        <v>240877.6744</v>
      </c>
      <c r="EF91" s="292">
        <f t="shared" si="423"/>
        <v>0.01161806607</v>
      </c>
      <c r="EG91" s="400">
        <f t="shared" si="424"/>
        <v>2798.532735</v>
      </c>
      <c r="EH91" s="292">
        <v>0.16716266605705102</v>
      </c>
      <c r="EI91" s="291">
        <f t="shared" si="425"/>
        <v>467.8101931</v>
      </c>
      <c r="EJ91" s="293">
        <f t="shared" si="426"/>
        <v>2330.722542</v>
      </c>
      <c r="EK91" s="288"/>
      <c r="EL91" s="288"/>
      <c r="EM91" s="288"/>
      <c r="EN91" s="81"/>
      <c r="EO91" s="289">
        <f t="shared" si="463"/>
        <v>4</v>
      </c>
      <c r="EP91" s="290" t="s">
        <v>74</v>
      </c>
      <c r="EQ91" s="291">
        <f>'Hitung Output'!BX32</f>
        <v>258239.6958</v>
      </c>
      <c r="ER91" s="292">
        <f t="shared" si="427"/>
        <v>0.01161806607</v>
      </c>
      <c r="ES91" s="399">
        <f t="shared" si="428"/>
        <v>3000.245847</v>
      </c>
      <c r="ET91" s="292">
        <v>0.16716266605705102</v>
      </c>
      <c r="EU91" s="291">
        <f t="shared" si="429"/>
        <v>501.5290945</v>
      </c>
      <c r="EV91" s="293">
        <f t="shared" si="430"/>
        <v>2498.716752</v>
      </c>
      <c r="EW91" s="288"/>
      <c r="EX91" s="288"/>
      <c r="EY91" s="288"/>
      <c r="EZ91" s="81"/>
      <c r="FA91" s="289">
        <f t="shared" si="464"/>
        <v>4</v>
      </c>
      <c r="FB91" s="290" t="s">
        <v>74</v>
      </c>
      <c r="FC91" s="291">
        <f>'Hitung Output'!CC32</f>
        <v>272574.8847</v>
      </c>
      <c r="FD91" s="292">
        <f t="shared" si="431"/>
        <v>0.01161806607</v>
      </c>
      <c r="FE91" s="399">
        <f t="shared" si="432"/>
        <v>3166.793019</v>
      </c>
      <c r="FF91" s="292">
        <v>0.16716266605705102</v>
      </c>
      <c r="FG91" s="291">
        <f t="shared" si="433"/>
        <v>529.3695639</v>
      </c>
      <c r="FH91" s="293">
        <f t="shared" si="434"/>
        <v>2637.423455</v>
      </c>
      <c r="FI91" s="288"/>
      <c r="FJ91" s="288"/>
      <c r="FK91" s="288"/>
      <c r="FL91" s="81"/>
      <c r="FM91" s="289">
        <f t="shared" si="465"/>
        <v>4</v>
      </c>
      <c r="FN91" s="290" t="s">
        <v>74</v>
      </c>
      <c r="FO91" s="291">
        <f>'Hitung Output'!CH32</f>
        <v>278702.2131</v>
      </c>
      <c r="FP91" s="292">
        <f t="shared" si="435"/>
        <v>0.01161806607</v>
      </c>
      <c r="FQ91" s="400">
        <f t="shared" si="436"/>
        <v>3237.980725</v>
      </c>
      <c r="FR91" s="292">
        <v>0.16716266605705102</v>
      </c>
      <c r="FS91" s="291">
        <f t="shared" si="437"/>
        <v>541.2694906</v>
      </c>
      <c r="FT91" s="293">
        <f t="shared" si="438"/>
        <v>2696.711234</v>
      </c>
      <c r="FU91" s="288"/>
      <c r="FV91" s="288"/>
      <c r="FW91" s="288"/>
      <c r="FX91" s="81"/>
      <c r="FY91" s="289">
        <f t="shared" si="466"/>
        <v>4</v>
      </c>
      <c r="FZ91" s="290" t="s">
        <v>74</v>
      </c>
      <c r="GA91" s="291">
        <f>'Hitung Output'!CM32</f>
        <v>268727.5404</v>
      </c>
      <c r="GB91" s="292">
        <f t="shared" si="439"/>
        <v>0.01161806607</v>
      </c>
      <c r="GC91" s="291">
        <f t="shared" si="440"/>
        <v>3122.094318</v>
      </c>
      <c r="GD91" s="292">
        <v>0.16716266605705102</v>
      </c>
      <c r="GE91" s="291">
        <f t="shared" si="441"/>
        <v>521.8976099</v>
      </c>
      <c r="GF91" s="293">
        <f t="shared" si="442"/>
        <v>2600.196708</v>
      </c>
      <c r="GG91" s="288"/>
      <c r="GH91" s="288"/>
      <c r="GI91" s="288"/>
      <c r="GJ91" s="81"/>
      <c r="GK91" s="289">
        <f t="shared" si="467"/>
        <v>4</v>
      </c>
      <c r="GL91" s="290" t="s">
        <v>74</v>
      </c>
      <c r="GM91" s="291"/>
      <c r="GN91" s="292">
        <f t="shared" si="443"/>
        <v>0.01161806607</v>
      </c>
      <c r="GO91" s="291">
        <f t="shared" si="444"/>
        <v>0</v>
      </c>
      <c r="GP91" s="292">
        <v>0.16716266605705102</v>
      </c>
      <c r="GQ91" s="291">
        <f t="shared" si="445"/>
        <v>0</v>
      </c>
      <c r="GR91" s="293">
        <f t="shared" si="446"/>
        <v>0</v>
      </c>
      <c r="GS91" s="288"/>
      <c r="GT91" s="288"/>
      <c r="GU91" s="288"/>
      <c r="GV91" s="81"/>
      <c r="GW91" s="289">
        <f t="shared" si="468"/>
        <v>4</v>
      </c>
      <c r="GX91" s="290" t="s">
        <v>74</v>
      </c>
      <c r="GY91" s="291"/>
      <c r="GZ91" s="292">
        <f t="shared" si="447"/>
        <v>0.01161806607</v>
      </c>
      <c r="HA91" s="291">
        <f t="shared" si="448"/>
        <v>0</v>
      </c>
      <c r="HB91" s="292">
        <v>0.16716266605705102</v>
      </c>
      <c r="HC91" s="291">
        <f t="shared" si="449"/>
        <v>0</v>
      </c>
      <c r="HD91" s="293">
        <f t="shared" si="450"/>
        <v>0</v>
      </c>
      <c r="HE91" s="288"/>
      <c r="HF91" s="288"/>
      <c r="HG91" s="288"/>
      <c r="HH91" s="81"/>
      <c r="HI91" s="75"/>
    </row>
    <row r="92" ht="15.75" customHeight="1">
      <c r="A92" s="289">
        <f t="shared" si="451"/>
        <v>5</v>
      </c>
      <c r="B92" s="290" t="s">
        <v>75</v>
      </c>
      <c r="C92" s="291"/>
      <c r="D92" s="292">
        <f t="shared" si="379"/>
        <v>0.01161806607</v>
      </c>
      <c r="E92" s="291">
        <f t="shared" si="380"/>
        <v>0</v>
      </c>
      <c r="F92" s="292">
        <v>0.16716266605705102</v>
      </c>
      <c r="G92" s="291">
        <f t="shared" si="381"/>
        <v>0</v>
      </c>
      <c r="H92" s="293">
        <f t="shared" si="382"/>
        <v>0</v>
      </c>
      <c r="I92" s="288"/>
      <c r="J92" s="288"/>
      <c r="K92" s="288"/>
      <c r="L92" s="81"/>
      <c r="M92" s="289">
        <f t="shared" si="452"/>
        <v>5</v>
      </c>
      <c r="N92" s="290" t="s">
        <v>75</v>
      </c>
      <c r="O92" s="291"/>
      <c r="P92" s="292">
        <f t="shared" si="383"/>
        <v>0.01161806607</v>
      </c>
      <c r="Q92" s="291">
        <f t="shared" si="384"/>
        <v>0</v>
      </c>
      <c r="R92" s="292">
        <v>0.16716266605705102</v>
      </c>
      <c r="S92" s="291">
        <f t="shared" si="385"/>
        <v>0</v>
      </c>
      <c r="T92" s="293">
        <f t="shared" si="386"/>
        <v>0</v>
      </c>
      <c r="U92" s="288"/>
      <c r="V92" s="288"/>
      <c r="W92" s="288"/>
      <c r="X92" s="81"/>
      <c r="Y92" s="289">
        <f t="shared" si="453"/>
        <v>5</v>
      </c>
      <c r="Z92" s="290" t="s">
        <v>75</v>
      </c>
      <c r="AA92" s="291"/>
      <c r="AB92" s="292">
        <f t="shared" si="387"/>
        <v>0.01161806607</v>
      </c>
      <c r="AC92" s="291">
        <f t="shared" si="388"/>
        <v>0</v>
      </c>
      <c r="AD92" s="292">
        <v>0.16716266605705102</v>
      </c>
      <c r="AE92" s="291">
        <f t="shared" si="389"/>
        <v>0</v>
      </c>
      <c r="AF92" s="293">
        <f t="shared" si="390"/>
        <v>0</v>
      </c>
      <c r="AG92" s="288"/>
      <c r="AH92" s="288"/>
      <c r="AI92" s="288"/>
      <c r="AJ92" s="81"/>
      <c r="AK92" s="289">
        <f t="shared" si="454"/>
        <v>5</v>
      </c>
      <c r="AL92" s="290" t="s">
        <v>75</v>
      </c>
      <c r="AM92" s="291"/>
      <c r="AN92" s="292">
        <f t="shared" si="391"/>
        <v>0.01161806607</v>
      </c>
      <c r="AO92" s="291">
        <f t="shared" si="392"/>
        <v>0</v>
      </c>
      <c r="AP92" s="292">
        <v>0.16716266605705102</v>
      </c>
      <c r="AQ92" s="291">
        <f t="shared" si="393"/>
        <v>0</v>
      </c>
      <c r="AR92" s="293">
        <f t="shared" si="394"/>
        <v>0</v>
      </c>
      <c r="AS92" s="288"/>
      <c r="AT92" s="288"/>
      <c r="AU92" s="288"/>
      <c r="AV92" s="81"/>
      <c r="AW92" s="289">
        <f t="shared" si="455"/>
        <v>5</v>
      </c>
      <c r="AX92" s="290" t="s">
        <v>75</v>
      </c>
      <c r="AY92" s="291"/>
      <c r="AZ92" s="292">
        <f t="shared" si="395"/>
        <v>0.01161806607</v>
      </c>
      <c r="BA92" s="291">
        <f t="shared" si="396"/>
        <v>0</v>
      </c>
      <c r="BB92" s="292">
        <v>0.16716266605705102</v>
      </c>
      <c r="BC92" s="291">
        <f t="shared" si="397"/>
        <v>0</v>
      </c>
      <c r="BD92" s="293">
        <f t="shared" si="398"/>
        <v>0</v>
      </c>
      <c r="BE92" s="288"/>
      <c r="BF92" s="288"/>
      <c r="BG92" s="288"/>
      <c r="BH92" s="81"/>
      <c r="BI92" s="289">
        <f t="shared" si="456"/>
        <v>5</v>
      </c>
      <c r="BJ92" s="290" t="s">
        <v>75</v>
      </c>
      <c r="BK92" s="291"/>
      <c r="BL92" s="292">
        <f t="shared" si="399"/>
        <v>0.01161806607</v>
      </c>
      <c r="BM92" s="291">
        <f t="shared" si="400"/>
        <v>0</v>
      </c>
      <c r="BN92" s="292">
        <v>0.16716266605705102</v>
      </c>
      <c r="BO92" s="291">
        <f t="shared" si="401"/>
        <v>0</v>
      </c>
      <c r="BP92" s="293">
        <f t="shared" si="402"/>
        <v>0</v>
      </c>
      <c r="BQ92" s="288"/>
      <c r="BR92" s="288"/>
      <c r="BS92" s="288"/>
      <c r="BT92" s="81"/>
      <c r="BU92" s="289">
        <f t="shared" si="457"/>
        <v>5</v>
      </c>
      <c r="BV92" s="290" t="s">
        <v>75</v>
      </c>
      <c r="BW92" s="291"/>
      <c r="BX92" s="292">
        <f t="shared" si="403"/>
        <v>0.01161806607</v>
      </c>
      <c r="BY92" s="291">
        <f t="shared" si="404"/>
        <v>0</v>
      </c>
      <c r="BZ92" s="292">
        <v>0.16716266605705102</v>
      </c>
      <c r="CA92" s="291">
        <f t="shared" si="405"/>
        <v>0</v>
      </c>
      <c r="CB92" s="293">
        <f t="shared" si="406"/>
        <v>0</v>
      </c>
      <c r="CC92" s="288"/>
      <c r="CD92" s="288"/>
      <c r="CE92" s="288"/>
      <c r="CF92" s="81"/>
      <c r="CG92" s="289">
        <f t="shared" si="458"/>
        <v>5</v>
      </c>
      <c r="CH92" s="290" t="s">
        <v>75</v>
      </c>
      <c r="CI92" s="291"/>
      <c r="CJ92" s="292">
        <f t="shared" si="407"/>
        <v>0.01161806607</v>
      </c>
      <c r="CK92" s="291">
        <f t="shared" si="408"/>
        <v>0</v>
      </c>
      <c r="CL92" s="292">
        <v>0.16716266605705102</v>
      </c>
      <c r="CM92" s="291">
        <f t="shared" si="409"/>
        <v>0</v>
      </c>
      <c r="CN92" s="293">
        <f t="shared" si="410"/>
        <v>0</v>
      </c>
      <c r="CO92" s="288"/>
      <c r="CP92" s="288"/>
      <c r="CQ92" s="288"/>
      <c r="CR92" s="81"/>
      <c r="CS92" s="289">
        <f t="shared" si="459"/>
        <v>5</v>
      </c>
      <c r="CT92" s="290" t="s">
        <v>75</v>
      </c>
      <c r="CU92" s="291"/>
      <c r="CV92" s="292">
        <f t="shared" si="411"/>
        <v>0.01161806607</v>
      </c>
      <c r="CW92" s="291">
        <f t="shared" si="412"/>
        <v>0</v>
      </c>
      <c r="CX92" s="292">
        <v>0.16716266605705102</v>
      </c>
      <c r="CY92" s="291">
        <f t="shared" si="413"/>
        <v>0</v>
      </c>
      <c r="CZ92" s="293">
        <f t="shared" si="414"/>
        <v>0</v>
      </c>
      <c r="DA92" s="288"/>
      <c r="DB92" s="288"/>
      <c r="DC92" s="288"/>
      <c r="DD92" s="81"/>
      <c r="DE92" s="289">
        <f t="shared" si="460"/>
        <v>5</v>
      </c>
      <c r="DF92" s="290" t="s">
        <v>75</v>
      </c>
      <c r="DG92" s="291">
        <f>'Hitung Output'!BI33</f>
        <v>2500249.887</v>
      </c>
      <c r="DH92" s="292">
        <f t="shared" si="415"/>
        <v>0.01161806607</v>
      </c>
      <c r="DI92" s="297">
        <f t="shared" si="416"/>
        <v>29048.06837</v>
      </c>
      <c r="DJ92" s="292">
        <v>0.16716266605705102</v>
      </c>
      <c r="DK92" s="291">
        <f t="shared" si="417"/>
        <v>4855.752552</v>
      </c>
      <c r="DL92" s="293">
        <f t="shared" si="418"/>
        <v>24192.31581</v>
      </c>
      <c r="DM92" s="288"/>
      <c r="DN92" s="288"/>
      <c r="DO92" s="288"/>
      <c r="DP92" s="81"/>
      <c r="DQ92" s="289">
        <f t="shared" si="461"/>
        <v>5</v>
      </c>
      <c r="DR92" s="290" t="s">
        <v>75</v>
      </c>
      <c r="DS92" s="292">
        <f>'Hitung Output'!BN33</f>
        <v>2437424.488</v>
      </c>
      <c r="DT92" s="292">
        <f t="shared" si="419"/>
        <v>0.01161806607</v>
      </c>
      <c r="DU92" s="399">
        <f t="shared" si="420"/>
        <v>28318.15874</v>
      </c>
      <c r="DV92" s="292">
        <v>0.16716266605705102</v>
      </c>
      <c r="DW92" s="291">
        <f t="shared" si="421"/>
        <v>4733.738912</v>
      </c>
      <c r="DX92" s="293">
        <f t="shared" si="422"/>
        <v>23584.41982</v>
      </c>
      <c r="DY92" s="288"/>
      <c r="DZ92" s="288"/>
      <c r="EA92" s="288"/>
      <c r="EB92" s="81"/>
      <c r="EC92" s="289">
        <f t="shared" si="462"/>
        <v>5</v>
      </c>
      <c r="ED92" s="290" t="s">
        <v>75</v>
      </c>
      <c r="EE92" s="292">
        <f>'Hitung Output'!BS33</f>
        <v>2611001.95</v>
      </c>
      <c r="EF92" s="292">
        <f t="shared" si="423"/>
        <v>0.01161806607</v>
      </c>
      <c r="EG92" s="400">
        <f t="shared" si="424"/>
        <v>30334.79315</v>
      </c>
      <c r="EH92" s="292">
        <v>0.16716266605705102</v>
      </c>
      <c r="EI92" s="291">
        <f t="shared" si="425"/>
        <v>5070.844898</v>
      </c>
      <c r="EJ92" s="293">
        <f t="shared" si="426"/>
        <v>25263.94825</v>
      </c>
      <c r="EK92" s="288"/>
      <c r="EL92" s="288"/>
      <c r="EM92" s="288"/>
      <c r="EN92" s="81"/>
      <c r="EO92" s="289">
        <f t="shared" si="463"/>
        <v>5</v>
      </c>
      <c r="EP92" s="290" t="s">
        <v>75</v>
      </c>
      <c r="EQ92" s="291">
        <f>'Hitung Output'!BX33</f>
        <v>2771318.85</v>
      </c>
      <c r="ER92" s="292">
        <f t="shared" si="427"/>
        <v>0.01161806607</v>
      </c>
      <c r="ES92" s="399">
        <f t="shared" si="428"/>
        <v>32197.36549</v>
      </c>
      <c r="ET92" s="292">
        <v>0.16716266605705102</v>
      </c>
      <c r="EU92" s="291">
        <f t="shared" si="429"/>
        <v>5382.197456</v>
      </c>
      <c r="EV92" s="293">
        <f t="shared" si="430"/>
        <v>26815.16804</v>
      </c>
      <c r="EW92" s="288"/>
      <c r="EX92" s="288"/>
      <c r="EY92" s="288"/>
      <c r="EZ92" s="81"/>
      <c r="FA92" s="289">
        <f t="shared" si="464"/>
        <v>5</v>
      </c>
      <c r="FB92" s="290" t="s">
        <v>75</v>
      </c>
      <c r="FC92" s="291">
        <f>'Hitung Output'!CC33</f>
        <v>3289263.756</v>
      </c>
      <c r="FD92" s="292">
        <f t="shared" si="431"/>
        <v>0.01161806607</v>
      </c>
      <c r="FE92" s="399">
        <f t="shared" si="432"/>
        <v>38214.88363</v>
      </c>
      <c r="FF92" s="292">
        <v>0.16716266605705102</v>
      </c>
      <c r="FG92" s="291">
        <f t="shared" si="433"/>
        <v>6388.101831</v>
      </c>
      <c r="FH92" s="293">
        <f t="shared" si="434"/>
        <v>31826.7818</v>
      </c>
      <c r="FI92" s="288"/>
      <c r="FJ92" s="288"/>
      <c r="FK92" s="288"/>
      <c r="FL92" s="81"/>
      <c r="FM92" s="289">
        <f t="shared" si="465"/>
        <v>5</v>
      </c>
      <c r="FN92" s="290" t="s">
        <v>75</v>
      </c>
      <c r="FO92" s="291">
        <f>'Hitung Output'!CH33</f>
        <v>4357727.878</v>
      </c>
      <c r="FP92" s="292">
        <f t="shared" si="435"/>
        <v>0.01161806607</v>
      </c>
      <c r="FQ92" s="400">
        <f t="shared" si="436"/>
        <v>50628.37039</v>
      </c>
      <c r="FR92" s="292">
        <v>0.16716266605705102</v>
      </c>
      <c r="FS92" s="291">
        <f t="shared" si="437"/>
        <v>8463.173372</v>
      </c>
      <c r="FT92" s="293">
        <f t="shared" si="438"/>
        <v>42165.19701</v>
      </c>
      <c r="FU92" s="288"/>
      <c r="FV92" s="288"/>
      <c r="FW92" s="288"/>
      <c r="FX92" s="81"/>
      <c r="FY92" s="289">
        <f t="shared" si="466"/>
        <v>5</v>
      </c>
      <c r="FZ92" s="290" t="s">
        <v>75</v>
      </c>
      <c r="GA92" s="291">
        <f>'Hitung Output'!CM33</f>
        <v>5239993.225</v>
      </c>
      <c r="GB92" s="292">
        <f t="shared" si="439"/>
        <v>0.01161806607</v>
      </c>
      <c r="GC92" s="291">
        <f t="shared" si="440"/>
        <v>60878.58748</v>
      </c>
      <c r="GD92" s="292">
        <v>0.16716266605705102</v>
      </c>
      <c r="GE92" s="291">
        <f t="shared" si="441"/>
        <v>10176.62699</v>
      </c>
      <c r="GF92" s="293">
        <f t="shared" si="442"/>
        <v>50701.96049</v>
      </c>
      <c r="GG92" s="288"/>
      <c r="GH92" s="288"/>
      <c r="GI92" s="288"/>
      <c r="GJ92" s="81"/>
      <c r="GK92" s="289">
        <f t="shared" si="467"/>
        <v>5</v>
      </c>
      <c r="GL92" s="290" t="s">
        <v>75</v>
      </c>
      <c r="GM92" s="291"/>
      <c r="GN92" s="292">
        <f t="shared" si="443"/>
        <v>0.01161806607</v>
      </c>
      <c r="GO92" s="291">
        <f t="shared" si="444"/>
        <v>0</v>
      </c>
      <c r="GP92" s="292">
        <v>0.16716266605705102</v>
      </c>
      <c r="GQ92" s="291">
        <f t="shared" si="445"/>
        <v>0</v>
      </c>
      <c r="GR92" s="293">
        <f t="shared" si="446"/>
        <v>0</v>
      </c>
      <c r="GS92" s="288"/>
      <c r="GT92" s="288"/>
      <c r="GU92" s="288"/>
      <c r="GV92" s="81"/>
      <c r="GW92" s="289">
        <f t="shared" si="468"/>
        <v>5</v>
      </c>
      <c r="GX92" s="290" t="s">
        <v>75</v>
      </c>
      <c r="GY92" s="291"/>
      <c r="GZ92" s="292">
        <f t="shared" si="447"/>
        <v>0.01161806607</v>
      </c>
      <c r="HA92" s="291">
        <f t="shared" si="448"/>
        <v>0</v>
      </c>
      <c r="HB92" s="292">
        <v>0.16716266605705102</v>
      </c>
      <c r="HC92" s="291">
        <f t="shared" si="449"/>
        <v>0</v>
      </c>
      <c r="HD92" s="293">
        <f t="shared" si="450"/>
        <v>0</v>
      </c>
      <c r="HE92" s="288"/>
      <c r="HF92" s="288"/>
      <c r="HG92" s="288"/>
      <c r="HH92" s="81"/>
      <c r="HI92" s="75"/>
    </row>
    <row r="93" ht="15.75" customHeight="1">
      <c r="A93" s="289">
        <f t="shared" si="451"/>
        <v>6</v>
      </c>
      <c r="B93" s="290" t="s">
        <v>76</v>
      </c>
      <c r="C93" s="291"/>
      <c r="D93" s="292">
        <f t="shared" si="379"/>
        <v>0.01161806607</v>
      </c>
      <c r="E93" s="291">
        <f t="shared" si="380"/>
        <v>0</v>
      </c>
      <c r="F93" s="292">
        <v>0.16716266605705102</v>
      </c>
      <c r="G93" s="291">
        <f t="shared" si="381"/>
        <v>0</v>
      </c>
      <c r="H93" s="293">
        <f t="shared" si="382"/>
        <v>0</v>
      </c>
      <c r="I93" s="288"/>
      <c r="J93" s="288"/>
      <c r="K93" s="288"/>
      <c r="L93" s="81"/>
      <c r="M93" s="289">
        <f t="shared" si="452"/>
        <v>6</v>
      </c>
      <c r="N93" s="290" t="s">
        <v>76</v>
      </c>
      <c r="O93" s="291"/>
      <c r="P93" s="292">
        <f t="shared" si="383"/>
        <v>0.01161806607</v>
      </c>
      <c r="Q93" s="291">
        <f t="shared" si="384"/>
        <v>0</v>
      </c>
      <c r="R93" s="292">
        <v>0.16716266605705102</v>
      </c>
      <c r="S93" s="291">
        <f t="shared" si="385"/>
        <v>0</v>
      </c>
      <c r="T93" s="293">
        <f t="shared" si="386"/>
        <v>0</v>
      </c>
      <c r="U93" s="288"/>
      <c r="V93" s="288"/>
      <c r="W93" s="288"/>
      <c r="X93" s="81"/>
      <c r="Y93" s="289">
        <f t="shared" si="453"/>
        <v>6</v>
      </c>
      <c r="Z93" s="290" t="s">
        <v>76</v>
      </c>
      <c r="AA93" s="291"/>
      <c r="AB93" s="292">
        <f t="shared" si="387"/>
        <v>0.01161806607</v>
      </c>
      <c r="AC93" s="291">
        <f t="shared" si="388"/>
        <v>0</v>
      </c>
      <c r="AD93" s="292">
        <v>0.16716266605705102</v>
      </c>
      <c r="AE93" s="291">
        <f t="shared" si="389"/>
        <v>0</v>
      </c>
      <c r="AF93" s="293">
        <f t="shared" si="390"/>
        <v>0</v>
      </c>
      <c r="AG93" s="288"/>
      <c r="AH93" s="288"/>
      <c r="AI93" s="288"/>
      <c r="AJ93" s="81"/>
      <c r="AK93" s="289">
        <f t="shared" si="454"/>
        <v>6</v>
      </c>
      <c r="AL93" s="290" t="s">
        <v>76</v>
      </c>
      <c r="AM93" s="291"/>
      <c r="AN93" s="292">
        <f t="shared" si="391"/>
        <v>0.01161806607</v>
      </c>
      <c r="AO93" s="291">
        <f t="shared" si="392"/>
        <v>0</v>
      </c>
      <c r="AP93" s="292">
        <v>0.16716266605705102</v>
      </c>
      <c r="AQ93" s="291">
        <f t="shared" si="393"/>
        <v>0</v>
      </c>
      <c r="AR93" s="293">
        <f t="shared" si="394"/>
        <v>0</v>
      </c>
      <c r="AS93" s="288"/>
      <c r="AT93" s="288"/>
      <c r="AU93" s="288"/>
      <c r="AV93" s="81"/>
      <c r="AW93" s="289">
        <f t="shared" si="455"/>
        <v>6</v>
      </c>
      <c r="AX93" s="290" t="s">
        <v>76</v>
      </c>
      <c r="AY93" s="291"/>
      <c r="AZ93" s="292">
        <f t="shared" si="395"/>
        <v>0.01161806607</v>
      </c>
      <c r="BA93" s="291">
        <f t="shared" si="396"/>
        <v>0</v>
      </c>
      <c r="BB93" s="292">
        <v>0.16716266605705102</v>
      </c>
      <c r="BC93" s="291">
        <f t="shared" si="397"/>
        <v>0</v>
      </c>
      <c r="BD93" s="293">
        <f t="shared" si="398"/>
        <v>0</v>
      </c>
      <c r="BE93" s="288"/>
      <c r="BF93" s="288"/>
      <c r="BG93" s="288"/>
      <c r="BH93" s="81"/>
      <c r="BI93" s="289">
        <f t="shared" si="456"/>
        <v>6</v>
      </c>
      <c r="BJ93" s="290" t="s">
        <v>76</v>
      </c>
      <c r="BK93" s="291"/>
      <c r="BL93" s="292">
        <f t="shared" si="399"/>
        <v>0.01161806607</v>
      </c>
      <c r="BM93" s="291">
        <f t="shared" si="400"/>
        <v>0</v>
      </c>
      <c r="BN93" s="292">
        <v>0.16716266605705102</v>
      </c>
      <c r="BO93" s="291">
        <f t="shared" si="401"/>
        <v>0</v>
      </c>
      <c r="BP93" s="293">
        <f t="shared" si="402"/>
        <v>0</v>
      </c>
      <c r="BQ93" s="288"/>
      <c r="BR93" s="288"/>
      <c r="BS93" s="288"/>
      <c r="BT93" s="81"/>
      <c r="BU93" s="289">
        <f t="shared" si="457"/>
        <v>6</v>
      </c>
      <c r="BV93" s="290" t="s">
        <v>76</v>
      </c>
      <c r="BW93" s="291"/>
      <c r="BX93" s="292">
        <f t="shared" si="403"/>
        <v>0.01161806607</v>
      </c>
      <c r="BY93" s="291">
        <f t="shared" si="404"/>
        <v>0</v>
      </c>
      <c r="BZ93" s="292">
        <v>0.16716266605705102</v>
      </c>
      <c r="CA93" s="291">
        <f t="shared" si="405"/>
        <v>0</v>
      </c>
      <c r="CB93" s="293">
        <f t="shared" si="406"/>
        <v>0</v>
      </c>
      <c r="CC93" s="288"/>
      <c r="CD93" s="288"/>
      <c r="CE93" s="288"/>
      <c r="CF93" s="81"/>
      <c r="CG93" s="289">
        <f t="shared" si="458"/>
        <v>6</v>
      </c>
      <c r="CH93" s="290" t="s">
        <v>76</v>
      </c>
      <c r="CI93" s="291"/>
      <c r="CJ93" s="292">
        <f t="shared" si="407"/>
        <v>0.01161806607</v>
      </c>
      <c r="CK93" s="291">
        <f t="shared" si="408"/>
        <v>0</v>
      </c>
      <c r="CL93" s="292">
        <v>0.16716266605705102</v>
      </c>
      <c r="CM93" s="291">
        <f t="shared" si="409"/>
        <v>0</v>
      </c>
      <c r="CN93" s="293">
        <f t="shared" si="410"/>
        <v>0</v>
      </c>
      <c r="CO93" s="288"/>
      <c r="CP93" s="288"/>
      <c r="CQ93" s="288"/>
      <c r="CR93" s="81"/>
      <c r="CS93" s="289">
        <f t="shared" si="459"/>
        <v>6</v>
      </c>
      <c r="CT93" s="290" t="s">
        <v>76</v>
      </c>
      <c r="CU93" s="291"/>
      <c r="CV93" s="292">
        <f t="shared" si="411"/>
        <v>0.01161806607</v>
      </c>
      <c r="CW93" s="291">
        <f t="shared" si="412"/>
        <v>0</v>
      </c>
      <c r="CX93" s="292">
        <v>0.16716266605705102</v>
      </c>
      <c r="CY93" s="291">
        <f t="shared" si="413"/>
        <v>0</v>
      </c>
      <c r="CZ93" s="293">
        <f t="shared" si="414"/>
        <v>0</v>
      </c>
      <c r="DA93" s="288"/>
      <c r="DB93" s="288"/>
      <c r="DC93" s="288"/>
      <c r="DD93" s="81"/>
      <c r="DE93" s="289">
        <f t="shared" si="460"/>
        <v>6</v>
      </c>
      <c r="DF93" s="290" t="s">
        <v>76</v>
      </c>
      <c r="DG93" s="291">
        <f>'Hitung Output'!BI34</f>
        <v>1181151.233</v>
      </c>
      <c r="DH93" s="292">
        <f t="shared" si="415"/>
        <v>0.01161806607</v>
      </c>
      <c r="DI93" s="297">
        <f t="shared" si="416"/>
        <v>13722.69306</v>
      </c>
      <c r="DJ93" s="292">
        <v>0.16716266605705102</v>
      </c>
      <c r="DK93" s="291">
        <f t="shared" si="417"/>
        <v>2293.921958</v>
      </c>
      <c r="DL93" s="293">
        <f t="shared" si="418"/>
        <v>11428.77111</v>
      </c>
      <c r="DM93" s="288"/>
      <c r="DN93" s="288"/>
      <c r="DO93" s="288"/>
      <c r="DP93" s="81"/>
      <c r="DQ93" s="289">
        <f t="shared" si="461"/>
        <v>6</v>
      </c>
      <c r="DR93" s="290" t="s">
        <v>76</v>
      </c>
      <c r="DS93" s="292">
        <f>'Hitung Output'!BN34</f>
        <v>1199484.649</v>
      </c>
      <c r="DT93" s="292">
        <f t="shared" si="419"/>
        <v>0.01161806607</v>
      </c>
      <c r="DU93" s="399">
        <f t="shared" si="420"/>
        <v>13935.6919</v>
      </c>
      <c r="DV93" s="292">
        <v>0.16716266605705102</v>
      </c>
      <c r="DW93" s="291">
        <f t="shared" si="421"/>
        <v>2329.527411</v>
      </c>
      <c r="DX93" s="293">
        <f t="shared" si="422"/>
        <v>11606.16449</v>
      </c>
      <c r="DY93" s="288"/>
      <c r="DZ93" s="288"/>
      <c r="EA93" s="288"/>
      <c r="EB93" s="81"/>
      <c r="EC93" s="289">
        <f t="shared" si="462"/>
        <v>6</v>
      </c>
      <c r="ED93" s="290" t="s">
        <v>76</v>
      </c>
      <c r="EE93" s="292">
        <f>'Hitung Output'!BS34</f>
        <v>1210336.284</v>
      </c>
      <c r="EF93" s="292">
        <f t="shared" si="423"/>
        <v>0.01161806607</v>
      </c>
      <c r="EG93" s="400">
        <f t="shared" si="424"/>
        <v>14061.76691</v>
      </c>
      <c r="EH93" s="292">
        <v>0.16716266605705102</v>
      </c>
      <c r="EI93" s="291">
        <f t="shared" si="425"/>
        <v>2350.602446</v>
      </c>
      <c r="EJ93" s="293">
        <f t="shared" si="426"/>
        <v>11711.16446</v>
      </c>
      <c r="EK93" s="288"/>
      <c r="EL93" s="288"/>
      <c r="EM93" s="288"/>
      <c r="EN93" s="81"/>
      <c r="EO93" s="289">
        <f t="shared" si="463"/>
        <v>6</v>
      </c>
      <c r="EP93" s="290" t="s">
        <v>76</v>
      </c>
      <c r="EQ93" s="291">
        <f>'Hitung Output'!BX34</f>
        <v>1324318.128</v>
      </c>
      <c r="ER93" s="292">
        <f t="shared" si="427"/>
        <v>0.01161806607</v>
      </c>
      <c r="ES93" s="399">
        <f t="shared" si="428"/>
        <v>15386.01551</v>
      </c>
      <c r="ET93" s="292">
        <v>0.16716266605705102</v>
      </c>
      <c r="EU93" s="291">
        <f t="shared" si="429"/>
        <v>2571.967372</v>
      </c>
      <c r="EV93" s="293">
        <f t="shared" si="430"/>
        <v>12814.04813</v>
      </c>
      <c r="EW93" s="288"/>
      <c r="EX93" s="288"/>
      <c r="EY93" s="288"/>
      <c r="EZ93" s="81"/>
      <c r="FA93" s="289">
        <f t="shared" si="464"/>
        <v>6</v>
      </c>
      <c r="FB93" s="290" t="s">
        <v>76</v>
      </c>
      <c r="FC93" s="291">
        <f>'Hitung Output'!CC34</f>
        <v>1416653.706</v>
      </c>
      <c r="FD93" s="292">
        <f t="shared" si="431"/>
        <v>0.01161806607</v>
      </c>
      <c r="FE93" s="399">
        <f t="shared" si="432"/>
        <v>16458.77635</v>
      </c>
      <c r="FF93" s="292">
        <v>0.16716266605705102</v>
      </c>
      <c r="FG93" s="291">
        <f t="shared" si="433"/>
        <v>2751.292934</v>
      </c>
      <c r="FH93" s="293">
        <f t="shared" si="434"/>
        <v>13707.48341</v>
      </c>
      <c r="FI93" s="288"/>
      <c r="FJ93" s="288"/>
      <c r="FK93" s="288"/>
      <c r="FL93" s="81"/>
      <c r="FM93" s="289">
        <f t="shared" si="465"/>
        <v>6</v>
      </c>
      <c r="FN93" s="290" t="s">
        <v>76</v>
      </c>
      <c r="FO93" s="291">
        <f>'Hitung Output'!CH34</f>
        <v>1425962.647</v>
      </c>
      <c r="FP93" s="292">
        <f t="shared" si="435"/>
        <v>0.01161806607</v>
      </c>
      <c r="FQ93" s="400">
        <f t="shared" si="436"/>
        <v>16566.92824</v>
      </c>
      <c r="FR93" s="292">
        <v>0.16716266605705102</v>
      </c>
      <c r="FS93" s="291">
        <f t="shared" si="437"/>
        <v>2769.371893</v>
      </c>
      <c r="FT93" s="293">
        <f t="shared" si="438"/>
        <v>13797.55635</v>
      </c>
      <c r="FU93" s="288"/>
      <c r="FV93" s="288"/>
      <c r="FW93" s="288"/>
      <c r="FX93" s="81"/>
      <c r="FY93" s="289">
        <f t="shared" si="466"/>
        <v>6</v>
      </c>
      <c r="FZ93" s="290" t="s">
        <v>76</v>
      </c>
      <c r="GA93" s="291">
        <f>'Hitung Output'!CM34</f>
        <v>1576691.004</v>
      </c>
      <c r="GB93" s="292">
        <f t="shared" si="439"/>
        <v>0.01161806607</v>
      </c>
      <c r="GC93" s="291">
        <f t="shared" si="440"/>
        <v>18318.10025</v>
      </c>
      <c r="GD93" s="292">
        <v>0.16716266605705102</v>
      </c>
      <c r="GE93" s="291">
        <f t="shared" si="441"/>
        <v>3062.102475</v>
      </c>
      <c r="GF93" s="293">
        <f t="shared" si="442"/>
        <v>15255.99777</v>
      </c>
      <c r="GG93" s="288"/>
      <c r="GH93" s="288"/>
      <c r="GI93" s="288"/>
      <c r="GJ93" s="81"/>
      <c r="GK93" s="289">
        <f t="shared" si="467"/>
        <v>6</v>
      </c>
      <c r="GL93" s="290" t="s">
        <v>76</v>
      </c>
      <c r="GM93" s="291"/>
      <c r="GN93" s="292">
        <f t="shared" si="443"/>
        <v>0.01161806607</v>
      </c>
      <c r="GO93" s="291">
        <f t="shared" si="444"/>
        <v>0</v>
      </c>
      <c r="GP93" s="292">
        <v>0.16716266605705102</v>
      </c>
      <c r="GQ93" s="291">
        <f t="shared" si="445"/>
        <v>0</v>
      </c>
      <c r="GR93" s="293">
        <f t="shared" si="446"/>
        <v>0</v>
      </c>
      <c r="GS93" s="288"/>
      <c r="GT93" s="288"/>
      <c r="GU93" s="288"/>
      <c r="GV93" s="81"/>
      <c r="GW93" s="289">
        <f t="shared" si="468"/>
        <v>6</v>
      </c>
      <c r="GX93" s="290" t="s">
        <v>76</v>
      </c>
      <c r="GY93" s="291"/>
      <c r="GZ93" s="292">
        <f t="shared" si="447"/>
        <v>0.01161806607</v>
      </c>
      <c r="HA93" s="291">
        <f t="shared" si="448"/>
        <v>0</v>
      </c>
      <c r="HB93" s="292">
        <v>0.16716266605705102</v>
      </c>
      <c r="HC93" s="291">
        <f t="shared" si="449"/>
        <v>0</v>
      </c>
      <c r="HD93" s="293">
        <f t="shared" si="450"/>
        <v>0</v>
      </c>
      <c r="HE93" s="288"/>
      <c r="HF93" s="288"/>
      <c r="HG93" s="288"/>
      <c r="HH93" s="81"/>
      <c r="HI93" s="75"/>
    </row>
    <row r="94" ht="15.75" customHeight="1">
      <c r="A94" s="289"/>
      <c r="B94" s="298"/>
      <c r="C94" s="291"/>
      <c r="D94" s="291"/>
      <c r="E94" s="291"/>
      <c r="F94" s="291"/>
      <c r="G94" s="291"/>
      <c r="H94" s="293"/>
      <c r="I94" s="288"/>
      <c r="J94" s="288"/>
      <c r="K94" s="288"/>
      <c r="L94" s="81"/>
      <c r="M94" s="289"/>
      <c r="N94" s="298"/>
      <c r="O94" s="291"/>
      <c r="P94" s="291"/>
      <c r="Q94" s="291"/>
      <c r="R94" s="291"/>
      <c r="S94" s="291"/>
      <c r="T94" s="293"/>
      <c r="U94" s="288"/>
      <c r="V94" s="288"/>
      <c r="W94" s="288"/>
      <c r="X94" s="81"/>
      <c r="Y94" s="289"/>
      <c r="Z94" s="298"/>
      <c r="AA94" s="291"/>
      <c r="AB94" s="291"/>
      <c r="AC94" s="291"/>
      <c r="AD94" s="291"/>
      <c r="AE94" s="291"/>
      <c r="AF94" s="293"/>
      <c r="AG94" s="288"/>
      <c r="AH94" s="288"/>
      <c r="AI94" s="288"/>
      <c r="AJ94" s="81"/>
      <c r="AK94" s="289"/>
      <c r="AL94" s="298"/>
      <c r="AM94" s="291"/>
      <c r="AN94" s="291"/>
      <c r="AO94" s="291"/>
      <c r="AP94" s="291"/>
      <c r="AQ94" s="291"/>
      <c r="AR94" s="293"/>
      <c r="AS94" s="288"/>
      <c r="AT94" s="288"/>
      <c r="AU94" s="288"/>
      <c r="AV94" s="81"/>
      <c r="AW94" s="289"/>
      <c r="AX94" s="298"/>
      <c r="AY94" s="291"/>
      <c r="AZ94" s="291"/>
      <c r="BA94" s="291"/>
      <c r="BB94" s="291"/>
      <c r="BC94" s="291"/>
      <c r="BD94" s="293"/>
      <c r="BE94" s="288"/>
      <c r="BF94" s="288"/>
      <c r="BG94" s="288"/>
      <c r="BH94" s="81"/>
      <c r="BI94" s="289"/>
      <c r="BJ94" s="298"/>
      <c r="BK94" s="291"/>
      <c r="BL94" s="291"/>
      <c r="BM94" s="291"/>
      <c r="BN94" s="291"/>
      <c r="BO94" s="291"/>
      <c r="BP94" s="293"/>
      <c r="BQ94" s="288"/>
      <c r="BR94" s="288"/>
      <c r="BS94" s="288"/>
      <c r="BT94" s="81"/>
      <c r="BU94" s="289"/>
      <c r="BV94" s="298"/>
      <c r="BW94" s="291"/>
      <c r="BX94" s="291"/>
      <c r="BY94" s="291"/>
      <c r="BZ94" s="291"/>
      <c r="CA94" s="291"/>
      <c r="CB94" s="293"/>
      <c r="CC94" s="288"/>
      <c r="CD94" s="288"/>
      <c r="CE94" s="288"/>
      <c r="CF94" s="81"/>
      <c r="CG94" s="289"/>
      <c r="CH94" s="298"/>
      <c r="CI94" s="291"/>
      <c r="CJ94" s="291"/>
      <c r="CK94" s="291"/>
      <c r="CL94" s="291"/>
      <c r="CM94" s="291"/>
      <c r="CN94" s="293"/>
      <c r="CO94" s="288"/>
      <c r="CP94" s="288"/>
      <c r="CQ94" s="288"/>
      <c r="CR94" s="81"/>
      <c r="CS94" s="289"/>
      <c r="CT94" s="298"/>
      <c r="CU94" s="291"/>
      <c r="CV94" s="291"/>
      <c r="CW94" s="291"/>
      <c r="CX94" s="291"/>
      <c r="CY94" s="291"/>
      <c r="CZ94" s="293"/>
      <c r="DA94" s="288"/>
      <c r="DB94" s="288"/>
      <c r="DC94" s="288"/>
      <c r="DD94" s="81"/>
      <c r="DE94" s="289"/>
      <c r="DF94" s="298"/>
      <c r="DG94" s="291"/>
      <c r="DH94" s="291"/>
      <c r="DI94" s="291"/>
      <c r="DJ94" s="291"/>
      <c r="DK94" s="291"/>
      <c r="DL94" s="293"/>
      <c r="DM94" s="288"/>
      <c r="DN94" s="288"/>
      <c r="DO94" s="288"/>
      <c r="DP94" s="81"/>
      <c r="DQ94" s="289"/>
      <c r="DR94" s="298"/>
      <c r="DS94" s="291"/>
      <c r="DT94" s="291"/>
      <c r="DU94" s="291"/>
      <c r="DV94" s="291"/>
      <c r="DW94" s="291"/>
      <c r="DX94" s="293"/>
      <c r="DY94" s="288"/>
      <c r="DZ94" s="288"/>
      <c r="EA94" s="288"/>
      <c r="EB94" s="81"/>
      <c r="EC94" s="289"/>
      <c r="ED94" s="298"/>
      <c r="EE94" s="291"/>
      <c r="EF94" s="291"/>
      <c r="EG94" s="291"/>
      <c r="EH94" s="291"/>
      <c r="EI94" s="291"/>
      <c r="EJ94" s="293"/>
      <c r="EK94" s="288"/>
      <c r="EL94" s="288"/>
      <c r="EM94" s="288"/>
      <c r="EN94" s="81"/>
      <c r="EO94" s="289"/>
      <c r="EP94" s="298"/>
      <c r="EQ94" s="291"/>
      <c r="ER94" s="291"/>
      <c r="ES94" s="291"/>
      <c r="ET94" s="291"/>
      <c r="EU94" s="291"/>
      <c r="EV94" s="293"/>
      <c r="EW94" s="288"/>
      <c r="EX94" s="288"/>
      <c r="EY94" s="288"/>
      <c r="EZ94" s="81"/>
      <c r="FA94" s="289"/>
      <c r="FB94" s="298"/>
      <c r="FC94" s="291"/>
      <c r="FD94" s="291"/>
      <c r="FE94" s="291"/>
      <c r="FF94" s="291"/>
      <c r="FG94" s="291"/>
      <c r="FH94" s="293"/>
      <c r="FI94" s="288"/>
      <c r="FJ94" s="288"/>
      <c r="FK94" s="288"/>
      <c r="FL94" s="81"/>
      <c r="FM94" s="289"/>
      <c r="FN94" s="298"/>
      <c r="FO94" s="291"/>
      <c r="FP94" s="291"/>
      <c r="FQ94" s="291"/>
      <c r="FR94" s="291"/>
      <c r="FS94" s="291"/>
      <c r="FT94" s="293"/>
      <c r="FU94" s="288"/>
      <c r="FV94" s="288"/>
      <c r="FW94" s="288"/>
      <c r="FX94" s="81"/>
      <c r="FY94" s="289"/>
      <c r="FZ94" s="298"/>
      <c r="GA94" s="291"/>
      <c r="GB94" s="291"/>
      <c r="GC94" s="291"/>
      <c r="GD94" s="291"/>
      <c r="GE94" s="291"/>
      <c r="GF94" s="293"/>
      <c r="GG94" s="288"/>
      <c r="GH94" s="288"/>
      <c r="GI94" s="288"/>
      <c r="GJ94" s="81"/>
      <c r="GK94" s="289"/>
      <c r="GL94" s="298"/>
      <c r="GM94" s="291"/>
      <c r="GN94" s="291"/>
      <c r="GO94" s="291"/>
      <c r="GP94" s="291"/>
      <c r="GQ94" s="291"/>
      <c r="GR94" s="293"/>
      <c r="GS94" s="288"/>
      <c r="GT94" s="288"/>
      <c r="GU94" s="288"/>
      <c r="GV94" s="81"/>
      <c r="GW94" s="289"/>
      <c r="GX94" s="298"/>
      <c r="GY94" s="291"/>
      <c r="GZ94" s="291"/>
      <c r="HA94" s="291"/>
      <c r="HB94" s="291"/>
      <c r="HC94" s="291"/>
      <c r="HD94" s="293"/>
      <c r="HE94" s="288"/>
      <c r="HF94" s="288"/>
      <c r="HG94" s="288"/>
      <c r="HH94" s="81"/>
      <c r="HI94" s="75"/>
    </row>
    <row r="95" ht="15.75" customHeight="1">
      <c r="A95" s="299" t="s">
        <v>77</v>
      </c>
      <c r="B95" s="127"/>
      <c r="C95" s="300">
        <f>SUM(C88:C94)</f>
        <v>0</v>
      </c>
      <c r="D95" s="301"/>
      <c r="E95" s="300">
        <f>SUM(E88:E94)</f>
        <v>0</v>
      </c>
      <c r="F95" s="302"/>
      <c r="G95" s="300">
        <f t="shared" ref="G95:H95" si="469">SUM(G88:G94)</f>
        <v>0</v>
      </c>
      <c r="H95" s="303">
        <f t="shared" si="469"/>
        <v>0</v>
      </c>
      <c r="I95" s="304"/>
      <c r="J95" s="304"/>
      <c r="K95" s="304"/>
      <c r="L95" s="133"/>
      <c r="M95" s="299" t="s">
        <v>77</v>
      </c>
      <c r="N95" s="127"/>
      <c r="O95" s="300">
        <f>SUM(O88:O94)</f>
        <v>0</v>
      </c>
      <c r="P95" s="301"/>
      <c r="Q95" s="300">
        <f>SUM(Q88:Q94)</f>
        <v>0</v>
      </c>
      <c r="R95" s="302"/>
      <c r="S95" s="300">
        <f t="shared" ref="S95:T95" si="470">SUM(S88:S94)</f>
        <v>0</v>
      </c>
      <c r="T95" s="303">
        <f t="shared" si="470"/>
        <v>0</v>
      </c>
      <c r="U95" s="304"/>
      <c r="V95" s="304"/>
      <c r="W95" s="304"/>
      <c r="X95" s="133"/>
      <c r="Y95" s="299" t="s">
        <v>77</v>
      </c>
      <c r="Z95" s="127"/>
      <c r="AA95" s="300">
        <f>SUM(AA88:AA94)</f>
        <v>0</v>
      </c>
      <c r="AB95" s="301"/>
      <c r="AC95" s="300">
        <f>SUM(AC88:AC94)</f>
        <v>0</v>
      </c>
      <c r="AD95" s="302"/>
      <c r="AE95" s="300">
        <f t="shared" ref="AE95:AF95" si="471">SUM(AE88:AE94)</f>
        <v>0</v>
      </c>
      <c r="AF95" s="303">
        <f t="shared" si="471"/>
        <v>0</v>
      </c>
      <c r="AG95" s="304"/>
      <c r="AH95" s="304"/>
      <c r="AI95" s="304"/>
      <c r="AJ95" s="133"/>
      <c r="AK95" s="299" t="s">
        <v>77</v>
      </c>
      <c r="AL95" s="127"/>
      <c r="AM95" s="300">
        <f>SUM(AM88:AM94)</f>
        <v>0</v>
      </c>
      <c r="AN95" s="301"/>
      <c r="AO95" s="300">
        <f>SUM(AO88:AO94)</f>
        <v>0</v>
      </c>
      <c r="AP95" s="302"/>
      <c r="AQ95" s="300">
        <f t="shared" ref="AQ95:AR95" si="472">SUM(AQ88:AQ94)</f>
        <v>0</v>
      </c>
      <c r="AR95" s="303">
        <f t="shared" si="472"/>
        <v>0</v>
      </c>
      <c r="AS95" s="304"/>
      <c r="AT95" s="304"/>
      <c r="AU95" s="304"/>
      <c r="AV95" s="133"/>
      <c r="AW95" s="299" t="s">
        <v>77</v>
      </c>
      <c r="AX95" s="127"/>
      <c r="AY95" s="300">
        <f>SUM(AY88:AY94)</f>
        <v>0</v>
      </c>
      <c r="AZ95" s="301"/>
      <c r="BA95" s="300">
        <f>SUM(BA88:BA94)</f>
        <v>0</v>
      </c>
      <c r="BB95" s="302"/>
      <c r="BC95" s="300">
        <f t="shared" ref="BC95:BD95" si="473">SUM(BC88:BC94)</f>
        <v>0</v>
      </c>
      <c r="BD95" s="303">
        <f t="shared" si="473"/>
        <v>0</v>
      </c>
      <c r="BE95" s="304"/>
      <c r="BF95" s="304"/>
      <c r="BG95" s="304"/>
      <c r="BH95" s="133"/>
      <c r="BI95" s="299" t="s">
        <v>77</v>
      </c>
      <c r="BJ95" s="127"/>
      <c r="BK95" s="300">
        <f>SUM(BK88:BK94)</f>
        <v>0</v>
      </c>
      <c r="BL95" s="301"/>
      <c r="BM95" s="300">
        <f>SUM(BM88:BM94)</f>
        <v>0</v>
      </c>
      <c r="BN95" s="302"/>
      <c r="BO95" s="300">
        <f t="shared" ref="BO95:BP95" si="474">SUM(BO88:BO94)</f>
        <v>0</v>
      </c>
      <c r="BP95" s="303">
        <f t="shared" si="474"/>
        <v>0</v>
      </c>
      <c r="BQ95" s="304"/>
      <c r="BR95" s="304"/>
      <c r="BS95" s="304"/>
      <c r="BT95" s="133"/>
      <c r="BU95" s="299" t="s">
        <v>77</v>
      </c>
      <c r="BV95" s="127"/>
      <c r="BW95" s="300">
        <f>SUM(BW88:BW94)</f>
        <v>0</v>
      </c>
      <c r="BX95" s="301"/>
      <c r="BY95" s="300">
        <f>SUM(BY88:BY94)</f>
        <v>0</v>
      </c>
      <c r="BZ95" s="302"/>
      <c r="CA95" s="300">
        <f t="shared" ref="CA95:CB95" si="475">SUM(CA88:CA94)</f>
        <v>0</v>
      </c>
      <c r="CB95" s="303">
        <f t="shared" si="475"/>
        <v>0</v>
      </c>
      <c r="CC95" s="304"/>
      <c r="CD95" s="304"/>
      <c r="CE95" s="304"/>
      <c r="CF95" s="133"/>
      <c r="CG95" s="299" t="s">
        <v>77</v>
      </c>
      <c r="CH95" s="127"/>
      <c r="CI95" s="300">
        <f>SUM(CI88:CI94)</f>
        <v>0</v>
      </c>
      <c r="CJ95" s="301"/>
      <c r="CK95" s="300">
        <f>SUM(CK88:CK94)</f>
        <v>0</v>
      </c>
      <c r="CL95" s="302"/>
      <c r="CM95" s="300">
        <f t="shared" ref="CM95:CN95" si="476">SUM(CM88:CM94)</f>
        <v>0</v>
      </c>
      <c r="CN95" s="303">
        <f t="shared" si="476"/>
        <v>0</v>
      </c>
      <c r="CO95" s="304"/>
      <c r="CP95" s="304"/>
      <c r="CQ95" s="304"/>
      <c r="CR95" s="133"/>
      <c r="CS95" s="299" t="s">
        <v>77</v>
      </c>
      <c r="CT95" s="127"/>
      <c r="CU95" s="300">
        <f>SUM(CU88:CU94)</f>
        <v>0</v>
      </c>
      <c r="CV95" s="301"/>
      <c r="CW95" s="300">
        <f>SUM(CW88:CW94)</f>
        <v>0</v>
      </c>
      <c r="CX95" s="302"/>
      <c r="CY95" s="300">
        <f t="shared" ref="CY95:CZ95" si="477">SUM(CY88:CY94)</f>
        <v>0</v>
      </c>
      <c r="CZ95" s="303">
        <f t="shared" si="477"/>
        <v>0</v>
      </c>
      <c r="DA95" s="304"/>
      <c r="DB95" s="304"/>
      <c r="DC95" s="304"/>
      <c r="DD95" s="133"/>
      <c r="DE95" s="299" t="s">
        <v>77</v>
      </c>
      <c r="DF95" s="127"/>
      <c r="DG95" s="300">
        <f>SUM(DG88:DG94)</f>
        <v>4687232.204</v>
      </c>
      <c r="DH95" s="301"/>
      <c r="DI95" s="300">
        <f>SUM(DI88:DI94)</f>
        <v>54456.57342</v>
      </c>
      <c r="DJ95" s="302"/>
      <c r="DK95" s="300">
        <f t="shared" ref="DK95:DL95" si="478">SUM(DK88:DK94)</f>
        <v>9103.105997</v>
      </c>
      <c r="DL95" s="303">
        <f t="shared" si="478"/>
        <v>45353.46742</v>
      </c>
      <c r="DM95" s="304"/>
      <c r="DN95" s="304"/>
      <c r="DO95" s="304"/>
      <c r="DP95" s="133"/>
      <c r="DQ95" s="299" t="s">
        <v>77</v>
      </c>
      <c r="DR95" s="127"/>
      <c r="DS95" s="300">
        <f>SUM(DS88:DS94)</f>
        <v>4690502.306</v>
      </c>
      <c r="DT95" s="301"/>
      <c r="DU95" s="300">
        <f>SUM(DU88:DU94)</f>
        <v>54494.56567</v>
      </c>
      <c r="DV95" s="302"/>
      <c r="DW95" s="300">
        <f t="shared" ref="DW95:DX95" si="479">SUM(DW88:DW94)</f>
        <v>9109.456884</v>
      </c>
      <c r="DX95" s="303">
        <f t="shared" si="479"/>
        <v>45385.10879</v>
      </c>
      <c r="DY95" s="304"/>
      <c r="DZ95" s="304"/>
      <c r="EA95" s="304"/>
      <c r="EB95" s="133"/>
      <c r="EC95" s="299" t="s">
        <v>77</v>
      </c>
      <c r="ED95" s="127"/>
      <c r="EE95" s="300">
        <f>SUM(EE88:EE94)</f>
        <v>4884352.934</v>
      </c>
      <c r="EF95" s="301"/>
      <c r="EG95" s="300">
        <f>SUM(EG88:EG94)</f>
        <v>56746.73508</v>
      </c>
      <c r="EH95" s="302"/>
      <c r="EI95" s="300">
        <f t="shared" ref="EI95:EJ95" si="480">SUM(EI88:EI94)</f>
        <v>9485.935527</v>
      </c>
      <c r="EJ95" s="303">
        <f t="shared" si="480"/>
        <v>47260.79956</v>
      </c>
      <c r="EK95" s="304"/>
      <c r="EL95" s="304"/>
      <c r="EM95" s="304"/>
      <c r="EN95" s="133"/>
      <c r="EO95" s="299" t="s">
        <v>77</v>
      </c>
      <c r="EP95" s="127"/>
      <c r="EQ95" s="300">
        <f>SUM(EQ88:EQ94)</f>
        <v>5197952.351</v>
      </c>
      <c r="ER95" s="301"/>
      <c r="ES95" s="300">
        <f>SUM(ES88:ES94)</f>
        <v>60390.15382</v>
      </c>
      <c r="ET95" s="302"/>
      <c r="EU95" s="300">
        <f t="shared" ref="EU95:EV95" si="481">SUM(EU88:EU94)</f>
        <v>10094.97912</v>
      </c>
      <c r="EV95" s="303">
        <f t="shared" si="481"/>
        <v>50295.17471</v>
      </c>
      <c r="EW95" s="304"/>
      <c r="EX95" s="304"/>
      <c r="EY95" s="304"/>
      <c r="EZ95" s="133"/>
      <c r="FA95" s="299" t="s">
        <v>77</v>
      </c>
      <c r="FB95" s="127"/>
      <c r="FC95" s="300">
        <f>SUM(FC88:FC94)</f>
        <v>5916305.055</v>
      </c>
      <c r="FD95" s="301"/>
      <c r="FE95" s="300">
        <f>SUM(FE88:FE94)</f>
        <v>68736.023</v>
      </c>
      <c r="FF95" s="302"/>
      <c r="FG95" s="300">
        <f t="shared" ref="FG95:FH95" si="482">SUM(FG88:FG94)</f>
        <v>11490.09686</v>
      </c>
      <c r="FH95" s="303">
        <f t="shared" si="482"/>
        <v>57245.92614</v>
      </c>
      <c r="FI95" s="304"/>
      <c r="FJ95" s="304"/>
      <c r="FK95" s="304"/>
      <c r="FL95" s="133"/>
      <c r="FM95" s="299" t="s">
        <v>77</v>
      </c>
      <c r="FN95" s="127"/>
      <c r="FO95" s="300">
        <f>SUM(FO88:FO94)</f>
        <v>7107813.322</v>
      </c>
      <c r="FP95" s="301"/>
      <c r="FQ95" s="300">
        <f>SUM(FQ88:FQ94)</f>
        <v>82579.04477</v>
      </c>
      <c r="FR95" s="302"/>
      <c r="FS95" s="300">
        <f t="shared" ref="FS95:FT95" si="483">SUM(FS88:FS94)</f>
        <v>13804.13328</v>
      </c>
      <c r="FT95" s="303">
        <f t="shared" si="483"/>
        <v>68774.91148</v>
      </c>
      <c r="FU95" s="304"/>
      <c r="FV95" s="304"/>
      <c r="FW95" s="304"/>
      <c r="FX95" s="133"/>
      <c r="FY95" s="299" t="s">
        <v>77</v>
      </c>
      <c r="FZ95" s="127"/>
      <c r="GA95" s="300">
        <f>SUM(GA88:GA94)</f>
        <v>8180643.881</v>
      </c>
      <c r="GB95" s="301"/>
      <c r="GC95" s="300">
        <f>SUM(GC88:GC94)</f>
        <v>95043.26107</v>
      </c>
      <c r="GD95" s="302"/>
      <c r="GE95" s="300">
        <f t="shared" ref="GE95:GF95" si="484">SUM(GE88:GE94)</f>
        <v>15887.68491</v>
      </c>
      <c r="GF95" s="303">
        <f t="shared" si="484"/>
        <v>79155.57616</v>
      </c>
      <c r="GG95" s="304"/>
      <c r="GH95" s="304"/>
      <c r="GI95" s="304"/>
      <c r="GJ95" s="133"/>
      <c r="GK95" s="299" t="s">
        <v>77</v>
      </c>
      <c r="GL95" s="127"/>
      <c r="GM95" s="300">
        <f>SUM(GM88:GM94)</f>
        <v>0</v>
      </c>
      <c r="GN95" s="301"/>
      <c r="GO95" s="300">
        <f>SUM(GO88:GO94)</f>
        <v>0</v>
      </c>
      <c r="GP95" s="302"/>
      <c r="GQ95" s="300">
        <f t="shared" ref="GQ95:GR95" si="485">SUM(GQ88:GQ94)</f>
        <v>0</v>
      </c>
      <c r="GR95" s="303">
        <f t="shared" si="485"/>
        <v>0</v>
      </c>
      <c r="GS95" s="304"/>
      <c r="GT95" s="304"/>
      <c r="GU95" s="304"/>
      <c r="GV95" s="133"/>
      <c r="GW95" s="299" t="s">
        <v>77</v>
      </c>
      <c r="GX95" s="127"/>
      <c r="GY95" s="300">
        <f>SUM(GY88:GY94)</f>
        <v>0</v>
      </c>
      <c r="GZ95" s="301"/>
      <c r="HA95" s="300">
        <f>SUM(HA88:HA94)</f>
        <v>0</v>
      </c>
      <c r="HB95" s="302"/>
      <c r="HC95" s="300">
        <f t="shared" ref="HC95:HD95" si="486">SUM(HC88:HC94)</f>
        <v>0</v>
      </c>
      <c r="HD95" s="303">
        <f t="shared" si="486"/>
        <v>0</v>
      </c>
      <c r="HE95" s="304"/>
      <c r="HF95" s="304"/>
      <c r="HG95" s="304"/>
      <c r="HH95" s="133"/>
      <c r="HI95" s="132"/>
    </row>
    <row r="96" ht="15.75" customHeight="1">
      <c r="A96" s="289"/>
      <c r="B96" s="290"/>
      <c r="C96" s="290"/>
      <c r="D96" s="290"/>
      <c r="E96" s="291"/>
      <c r="F96" s="291"/>
      <c r="G96" s="291"/>
      <c r="H96" s="305"/>
      <c r="I96" s="306"/>
      <c r="J96" s="306"/>
      <c r="K96" s="306"/>
      <c r="L96" s="136"/>
      <c r="M96" s="289"/>
      <c r="N96" s="290"/>
      <c r="O96" s="290"/>
      <c r="P96" s="290"/>
      <c r="Q96" s="291"/>
      <c r="R96" s="291"/>
      <c r="S96" s="291"/>
      <c r="T96" s="305"/>
      <c r="U96" s="306"/>
      <c r="V96" s="306"/>
      <c r="W96" s="306"/>
      <c r="X96" s="136"/>
      <c r="Y96" s="289"/>
      <c r="Z96" s="290"/>
      <c r="AA96" s="290"/>
      <c r="AB96" s="290"/>
      <c r="AC96" s="291"/>
      <c r="AD96" s="291"/>
      <c r="AE96" s="291"/>
      <c r="AF96" s="305"/>
      <c r="AG96" s="306"/>
      <c r="AH96" s="306"/>
      <c r="AI96" s="306"/>
      <c r="AJ96" s="136"/>
      <c r="AK96" s="289"/>
      <c r="AL96" s="290"/>
      <c r="AM96" s="290"/>
      <c r="AN96" s="290"/>
      <c r="AO96" s="291"/>
      <c r="AP96" s="291"/>
      <c r="AQ96" s="291"/>
      <c r="AR96" s="305"/>
      <c r="AS96" s="306"/>
      <c r="AT96" s="306"/>
      <c r="AU96" s="306"/>
      <c r="AV96" s="136"/>
      <c r="AW96" s="289"/>
      <c r="AX96" s="290"/>
      <c r="AY96" s="290"/>
      <c r="AZ96" s="290"/>
      <c r="BA96" s="291"/>
      <c r="BB96" s="291"/>
      <c r="BC96" s="291"/>
      <c r="BD96" s="305"/>
      <c r="BE96" s="306"/>
      <c r="BF96" s="306"/>
      <c r="BG96" s="306"/>
      <c r="BH96" s="136"/>
      <c r="BI96" s="289"/>
      <c r="BJ96" s="290"/>
      <c r="BK96" s="290"/>
      <c r="BL96" s="290"/>
      <c r="BM96" s="291"/>
      <c r="BN96" s="291"/>
      <c r="BO96" s="291"/>
      <c r="BP96" s="305"/>
      <c r="BQ96" s="306"/>
      <c r="BR96" s="306"/>
      <c r="BS96" s="306"/>
      <c r="BT96" s="136"/>
      <c r="BU96" s="289"/>
      <c r="BV96" s="290"/>
      <c r="BW96" s="290"/>
      <c r="BX96" s="290"/>
      <c r="BY96" s="291"/>
      <c r="BZ96" s="291"/>
      <c r="CA96" s="291"/>
      <c r="CB96" s="305"/>
      <c r="CC96" s="306"/>
      <c r="CD96" s="306"/>
      <c r="CE96" s="306"/>
      <c r="CF96" s="136"/>
      <c r="CG96" s="289"/>
      <c r="CH96" s="290"/>
      <c r="CI96" s="290"/>
      <c r="CJ96" s="290"/>
      <c r="CK96" s="291"/>
      <c r="CL96" s="291"/>
      <c r="CM96" s="291"/>
      <c r="CN96" s="305"/>
      <c r="CO96" s="306"/>
      <c r="CP96" s="306"/>
      <c r="CQ96" s="306"/>
      <c r="CR96" s="136"/>
      <c r="CS96" s="289"/>
      <c r="CT96" s="290"/>
      <c r="CU96" s="290"/>
      <c r="CV96" s="290"/>
      <c r="CW96" s="291"/>
      <c r="CX96" s="291"/>
      <c r="CY96" s="291"/>
      <c r="CZ96" s="305"/>
      <c r="DA96" s="306"/>
      <c r="DB96" s="306"/>
      <c r="DC96" s="306"/>
      <c r="DD96" s="136"/>
      <c r="DE96" s="289"/>
      <c r="DF96" s="290"/>
      <c r="DG96" s="290"/>
      <c r="DH96" s="290"/>
      <c r="DI96" s="291"/>
      <c r="DJ96" s="291"/>
      <c r="DK96" s="291"/>
      <c r="DL96" s="305"/>
      <c r="DM96" s="306"/>
      <c r="DN96" s="306"/>
      <c r="DO96" s="306"/>
      <c r="DP96" s="136"/>
      <c r="DQ96" s="289"/>
      <c r="DR96" s="290"/>
      <c r="DS96" s="290"/>
      <c r="DT96" s="290"/>
      <c r="DU96" s="291"/>
      <c r="DV96" s="291"/>
      <c r="DW96" s="291"/>
      <c r="DX96" s="305"/>
      <c r="DY96" s="306"/>
      <c r="DZ96" s="306"/>
      <c r="EA96" s="306"/>
      <c r="EB96" s="136"/>
      <c r="EC96" s="289"/>
      <c r="ED96" s="290"/>
      <c r="EE96" s="290"/>
      <c r="EF96" s="290"/>
      <c r="EG96" s="291"/>
      <c r="EH96" s="291"/>
      <c r="EI96" s="291"/>
      <c r="EJ96" s="305"/>
      <c r="EK96" s="306"/>
      <c r="EL96" s="306"/>
      <c r="EM96" s="306"/>
      <c r="EN96" s="136"/>
      <c r="EO96" s="289"/>
      <c r="EP96" s="290"/>
      <c r="EQ96" s="290"/>
      <c r="ER96" s="290"/>
      <c r="ES96" s="291"/>
      <c r="ET96" s="291"/>
      <c r="EU96" s="291"/>
      <c r="EV96" s="305"/>
      <c r="EW96" s="306"/>
      <c r="EX96" s="306"/>
      <c r="EY96" s="306"/>
      <c r="EZ96" s="136"/>
      <c r="FA96" s="289"/>
      <c r="FB96" s="290"/>
      <c r="FC96" s="290"/>
      <c r="FD96" s="290"/>
      <c r="FE96" s="291"/>
      <c r="FF96" s="291"/>
      <c r="FG96" s="291"/>
      <c r="FH96" s="305"/>
      <c r="FI96" s="306"/>
      <c r="FJ96" s="306"/>
      <c r="FK96" s="306"/>
      <c r="FL96" s="136"/>
      <c r="FM96" s="289"/>
      <c r="FN96" s="290"/>
      <c r="FO96" s="290"/>
      <c r="FP96" s="290"/>
      <c r="FQ96" s="291"/>
      <c r="FR96" s="291"/>
      <c r="FS96" s="291"/>
      <c r="FT96" s="305"/>
      <c r="FU96" s="306"/>
      <c r="FV96" s="306"/>
      <c r="FW96" s="306"/>
      <c r="FX96" s="136"/>
      <c r="FY96" s="289"/>
      <c r="FZ96" s="290"/>
      <c r="GA96" s="290"/>
      <c r="GB96" s="290"/>
      <c r="GC96" s="291"/>
      <c r="GD96" s="291"/>
      <c r="GE96" s="291"/>
      <c r="GF96" s="305"/>
      <c r="GG96" s="306"/>
      <c r="GH96" s="306"/>
      <c r="GI96" s="306"/>
      <c r="GJ96" s="136"/>
      <c r="GK96" s="289"/>
      <c r="GL96" s="290"/>
      <c r="GM96" s="290"/>
      <c r="GN96" s="290"/>
      <c r="GO96" s="291"/>
      <c r="GP96" s="291"/>
      <c r="GQ96" s="291"/>
      <c r="GR96" s="305"/>
      <c r="GS96" s="306"/>
      <c r="GT96" s="306"/>
      <c r="GU96" s="306"/>
      <c r="GV96" s="136"/>
      <c r="GW96" s="289"/>
      <c r="GX96" s="290"/>
      <c r="GY96" s="290"/>
      <c r="GZ96" s="290"/>
      <c r="HA96" s="291"/>
      <c r="HB96" s="291"/>
      <c r="HC96" s="291"/>
      <c r="HD96" s="305"/>
      <c r="HE96" s="306"/>
      <c r="HF96" s="306"/>
      <c r="HG96" s="306"/>
      <c r="HH96" s="136"/>
      <c r="HI96" s="135"/>
    </row>
    <row r="97" ht="15.75" customHeight="1">
      <c r="A97" s="289"/>
      <c r="B97" s="307" t="str">
        <f>"Adjusment "&amp;" %"</f>
        <v>Adjusment  %</v>
      </c>
      <c r="C97" s="308"/>
      <c r="D97" s="309"/>
      <c r="E97" s="310">
        <f>C97/100*E95</f>
        <v>0</v>
      </c>
      <c r="F97" s="311"/>
      <c r="G97" s="291">
        <f>IFERROR(+E97-H97,"")</f>
        <v>0</v>
      </c>
      <c r="H97" s="312">
        <f>C97/100*H95</f>
        <v>0</v>
      </c>
      <c r="I97" s="288"/>
      <c r="J97" s="288"/>
      <c r="K97" s="288"/>
      <c r="L97" s="81"/>
      <c r="M97" s="289"/>
      <c r="N97" s="307" t="str">
        <f>"Adjusment "&amp;" %"</f>
        <v>Adjusment  %</v>
      </c>
      <c r="O97" s="308"/>
      <c r="P97" s="309"/>
      <c r="Q97" s="310">
        <f>O97/100*Q95</f>
        <v>0</v>
      </c>
      <c r="R97" s="311"/>
      <c r="S97" s="291">
        <f>IFERROR(+Q97-T97,"")</f>
        <v>0</v>
      </c>
      <c r="T97" s="312">
        <f>O97/100*T95</f>
        <v>0</v>
      </c>
      <c r="U97" s="288"/>
      <c r="V97" s="288"/>
      <c r="W97" s="288"/>
      <c r="X97" s="81"/>
      <c r="Y97" s="289"/>
      <c r="Z97" s="307" t="str">
        <f>"Adjusment "&amp;" %"</f>
        <v>Adjusment  %</v>
      </c>
      <c r="AA97" s="308"/>
      <c r="AB97" s="309"/>
      <c r="AC97" s="310">
        <f>AA97/100*AC95</f>
        <v>0</v>
      </c>
      <c r="AD97" s="311"/>
      <c r="AE97" s="291">
        <f>IFERROR(+AC97-AF97,"")</f>
        <v>0</v>
      </c>
      <c r="AF97" s="312">
        <f>AA97/100*AF95</f>
        <v>0</v>
      </c>
      <c r="AG97" s="288"/>
      <c r="AH97" s="288"/>
      <c r="AI97" s="288"/>
      <c r="AJ97" s="81"/>
      <c r="AK97" s="289"/>
      <c r="AL97" s="307" t="str">
        <f>"Adjusment "&amp;" %"</f>
        <v>Adjusment  %</v>
      </c>
      <c r="AM97" s="308"/>
      <c r="AN97" s="309"/>
      <c r="AO97" s="310">
        <f>AM97/100*AO95</f>
        <v>0</v>
      </c>
      <c r="AP97" s="311"/>
      <c r="AQ97" s="291">
        <f>IFERROR(+AO97-AR97,"")</f>
        <v>0</v>
      </c>
      <c r="AR97" s="312">
        <f>AM97/100*AR95</f>
        <v>0</v>
      </c>
      <c r="AS97" s="288"/>
      <c r="AT97" s="288"/>
      <c r="AU97" s="288"/>
      <c r="AV97" s="81"/>
      <c r="AW97" s="289"/>
      <c r="AX97" s="307" t="str">
        <f>"Adjusment "&amp;" %"</f>
        <v>Adjusment  %</v>
      </c>
      <c r="AY97" s="308"/>
      <c r="AZ97" s="309"/>
      <c r="BA97" s="310">
        <f>AY97/100*BA95</f>
        <v>0</v>
      </c>
      <c r="BB97" s="311"/>
      <c r="BC97" s="291">
        <f>IFERROR(+BA97-BD97,"")</f>
        <v>0</v>
      </c>
      <c r="BD97" s="312">
        <f>AY97/100*BD95</f>
        <v>0</v>
      </c>
      <c r="BE97" s="288"/>
      <c r="BF97" s="288"/>
      <c r="BG97" s="288"/>
      <c r="BH97" s="81"/>
      <c r="BI97" s="289"/>
      <c r="BJ97" s="307" t="str">
        <f>"Adjusment "&amp;" %"</f>
        <v>Adjusment  %</v>
      </c>
      <c r="BK97" s="308"/>
      <c r="BL97" s="309"/>
      <c r="BM97" s="310">
        <f>BK97/100*BM95</f>
        <v>0</v>
      </c>
      <c r="BN97" s="311"/>
      <c r="BO97" s="291">
        <f>IFERROR(+BM97-BP97,"")</f>
        <v>0</v>
      </c>
      <c r="BP97" s="312">
        <f>BK97/100*BP95</f>
        <v>0</v>
      </c>
      <c r="BQ97" s="288"/>
      <c r="BR97" s="288"/>
      <c r="BS97" s="288"/>
      <c r="BT97" s="81"/>
      <c r="BU97" s="289"/>
      <c r="BV97" s="307" t="str">
        <f>"Adjusment "&amp;" %"</f>
        <v>Adjusment  %</v>
      </c>
      <c r="BW97" s="308"/>
      <c r="BX97" s="309"/>
      <c r="BY97" s="310">
        <f>BW97/100*BY95</f>
        <v>0</v>
      </c>
      <c r="BZ97" s="311"/>
      <c r="CA97" s="291">
        <f>IFERROR(+BY97-CB97,"")</f>
        <v>0</v>
      </c>
      <c r="CB97" s="312">
        <f>BW97/100*CB95</f>
        <v>0</v>
      </c>
      <c r="CC97" s="288"/>
      <c r="CD97" s="288"/>
      <c r="CE97" s="288"/>
      <c r="CF97" s="81"/>
      <c r="CG97" s="289"/>
      <c r="CH97" s="307" t="str">
        <f>"Adjusment "&amp;" %"</f>
        <v>Adjusment  %</v>
      </c>
      <c r="CI97" s="308"/>
      <c r="CJ97" s="309"/>
      <c r="CK97" s="310">
        <f>CI97/100*CK95</f>
        <v>0</v>
      </c>
      <c r="CL97" s="311"/>
      <c r="CM97" s="291">
        <f>IFERROR(+CK97-CN97,"")</f>
        <v>0</v>
      </c>
      <c r="CN97" s="312">
        <f>CI97/100*CN95</f>
        <v>0</v>
      </c>
      <c r="CO97" s="288"/>
      <c r="CP97" s="288"/>
      <c r="CQ97" s="288"/>
      <c r="CR97" s="81"/>
      <c r="CS97" s="289"/>
      <c r="CT97" s="307" t="str">
        <f>"Adjusment "&amp;" %"</f>
        <v>Adjusment  %</v>
      </c>
      <c r="CU97" s="308"/>
      <c r="CV97" s="309"/>
      <c r="CW97" s="310">
        <f>CU97/100*CW95</f>
        <v>0</v>
      </c>
      <c r="CX97" s="311"/>
      <c r="CY97" s="291">
        <f>IFERROR(+CW97-CZ97,"")</f>
        <v>0</v>
      </c>
      <c r="CZ97" s="312">
        <f>CU97/100*CZ95</f>
        <v>0</v>
      </c>
      <c r="DA97" s="288"/>
      <c r="DB97" s="288"/>
      <c r="DC97" s="288"/>
      <c r="DD97" s="81"/>
      <c r="DE97" s="289"/>
      <c r="DF97" s="307" t="str">
        <f>"Adjusment "&amp;" %"</f>
        <v>Adjusment  %</v>
      </c>
      <c r="DG97" s="308"/>
      <c r="DH97" s="309"/>
      <c r="DI97" s="310">
        <f>DG97/100*DI95</f>
        <v>0</v>
      </c>
      <c r="DJ97" s="311"/>
      <c r="DK97" s="291">
        <f>IFERROR(+DI97-DL97,"")</f>
        <v>0</v>
      </c>
      <c r="DL97" s="312">
        <f>DG97/100*DL95</f>
        <v>0</v>
      </c>
      <c r="DM97" s="288"/>
      <c r="DN97" s="288"/>
      <c r="DO97" s="288"/>
      <c r="DP97" s="81"/>
      <c r="DQ97" s="289"/>
      <c r="DR97" s="307" t="str">
        <f>"Adjusment "&amp;" %"</f>
        <v>Adjusment  %</v>
      </c>
      <c r="DS97" s="308"/>
      <c r="DT97" s="309"/>
      <c r="DU97" s="310">
        <f>DS97/100*DU95</f>
        <v>0</v>
      </c>
      <c r="DV97" s="311"/>
      <c r="DW97" s="291">
        <f>IFERROR(+DU97-DX97,"")</f>
        <v>0</v>
      </c>
      <c r="DX97" s="312">
        <f>DS97/100*DX95</f>
        <v>0</v>
      </c>
      <c r="DY97" s="288"/>
      <c r="DZ97" s="288"/>
      <c r="EA97" s="288"/>
      <c r="EB97" s="81"/>
      <c r="EC97" s="289"/>
      <c r="ED97" s="307" t="str">
        <f>"Adjusment "&amp;" %"</f>
        <v>Adjusment  %</v>
      </c>
      <c r="EE97" s="308"/>
      <c r="EF97" s="309"/>
      <c r="EG97" s="310">
        <f>EE97/100*EG95</f>
        <v>0</v>
      </c>
      <c r="EH97" s="311"/>
      <c r="EI97" s="291">
        <f>IFERROR(+EG97-EJ97,"")</f>
        <v>0</v>
      </c>
      <c r="EJ97" s="312">
        <f>EE97/100*EJ95</f>
        <v>0</v>
      </c>
      <c r="EK97" s="288"/>
      <c r="EL97" s="288"/>
      <c r="EM97" s="288"/>
      <c r="EN97" s="81"/>
      <c r="EO97" s="289"/>
      <c r="EP97" s="307" t="str">
        <f>"Adjusment "&amp;" %"</f>
        <v>Adjusment  %</v>
      </c>
      <c r="EQ97" s="308"/>
      <c r="ER97" s="309"/>
      <c r="ES97" s="310">
        <f>EQ97/100*ES95</f>
        <v>0</v>
      </c>
      <c r="ET97" s="311"/>
      <c r="EU97" s="291">
        <f>IFERROR(+ES97-EV97,"")</f>
        <v>0</v>
      </c>
      <c r="EV97" s="312">
        <f>EQ97/100*EV95</f>
        <v>0</v>
      </c>
      <c r="EW97" s="288"/>
      <c r="EX97" s="288"/>
      <c r="EY97" s="288"/>
      <c r="EZ97" s="81"/>
      <c r="FA97" s="289"/>
      <c r="FB97" s="307" t="str">
        <f>"Adjusment "&amp;" %"</f>
        <v>Adjusment  %</v>
      </c>
      <c r="FC97" s="308"/>
      <c r="FD97" s="309"/>
      <c r="FE97" s="310">
        <f>FC97/100*FE95</f>
        <v>0</v>
      </c>
      <c r="FF97" s="311"/>
      <c r="FG97" s="291">
        <f>IFERROR(+FE97-FH97,"")</f>
        <v>0</v>
      </c>
      <c r="FH97" s="312">
        <f>FC97/100*FH95</f>
        <v>0</v>
      </c>
      <c r="FI97" s="288"/>
      <c r="FJ97" s="288"/>
      <c r="FK97" s="288"/>
      <c r="FL97" s="81"/>
      <c r="FM97" s="289"/>
      <c r="FN97" s="307" t="str">
        <f>"Adjusment "&amp;" %"</f>
        <v>Adjusment  %</v>
      </c>
      <c r="FO97" s="308"/>
      <c r="FP97" s="309"/>
      <c r="FQ97" s="310">
        <f>FO97/100*FQ95</f>
        <v>0</v>
      </c>
      <c r="FR97" s="311"/>
      <c r="FS97" s="291">
        <f>IFERROR(+FQ97-FT97,"")</f>
        <v>0</v>
      </c>
      <c r="FT97" s="312">
        <f>FO97/100*FT95</f>
        <v>0</v>
      </c>
      <c r="FU97" s="288"/>
      <c r="FV97" s="288"/>
      <c r="FW97" s="288"/>
      <c r="FX97" s="81"/>
      <c r="FY97" s="289"/>
      <c r="FZ97" s="307" t="str">
        <f>"Adjusment "&amp;" %"</f>
        <v>Adjusment  %</v>
      </c>
      <c r="GA97" s="308"/>
      <c r="GB97" s="309"/>
      <c r="GC97" s="310">
        <f>GA97/100*GC95</f>
        <v>0</v>
      </c>
      <c r="GD97" s="311"/>
      <c r="GE97" s="291">
        <f>IFERROR(+GC97-GF97,"")</f>
        <v>0</v>
      </c>
      <c r="GF97" s="312">
        <f>GA97/100*GF95</f>
        <v>0</v>
      </c>
      <c r="GG97" s="288"/>
      <c r="GH97" s="288"/>
      <c r="GI97" s="288"/>
      <c r="GJ97" s="81"/>
      <c r="GK97" s="289"/>
      <c r="GL97" s="307" t="str">
        <f>"Adjusment "&amp;" %"</f>
        <v>Adjusment  %</v>
      </c>
      <c r="GM97" s="308"/>
      <c r="GN97" s="309"/>
      <c r="GO97" s="310">
        <f>GM97/100*GO95</f>
        <v>0</v>
      </c>
      <c r="GP97" s="311"/>
      <c r="GQ97" s="291">
        <f>IFERROR(+GO97-GR97,"")</f>
        <v>0</v>
      </c>
      <c r="GR97" s="312">
        <f>GM97/100*GR95</f>
        <v>0</v>
      </c>
      <c r="GS97" s="288"/>
      <c r="GT97" s="288"/>
      <c r="GU97" s="288"/>
      <c r="GV97" s="81"/>
      <c r="GW97" s="289"/>
      <c r="GX97" s="307" t="str">
        <f>"Adjusment "&amp;" %"</f>
        <v>Adjusment  %</v>
      </c>
      <c r="GY97" s="308"/>
      <c r="GZ97" s="309"/>
      <c r="HA97" s="310">
        <f>GY97/100*HA95</f>
        <v>0</v>
      </c>
      <c r="HB97" s="311"/>
      <c r="HC97" s="291">
        <f>IFERROR(+HA97-HD97,"")</f>
        <v>0</v>
      </c>
      <c r="HD97" s="312">
        <f>GY97/100*HD95</f>
        <v>0</v>
      </c>
      <c r="HE97" s="288"/>
      <c r="HF97" s="288"/>
      <c r="HG97" s="288"/>
      <c r="HH97" s="81"/>
      <c r="HI97" s="75"/>
    </row>
    <row r="98" ht="15.75" customHeight="1">
      <c r="A98" s="289"/>
      <c r="B98" s="298"/>
      <c r="C98" s="291"/>
      <c r="D98" s="291"/>
      <c r="E98" s="291"/>
      <c r="F98" s="291"/>
      <c r="G98" s="291"/>
      <c r="H98" s="293"/>
      <c r="I98" s="288"/>
      <c r="J98" s="288"/>
      <c r="K98" s="288"/>
      <c r="L98" s="81"/>
      <c r="M98" s="289"/>
      <c r="N98" s="298"/>
      <c r="O98" s="291"/>
      <c r="P98" s="291"/>
      <c r="Q98" s="291"/>
      <c r="R98" s="291"/>
      <c r="S98" s="291"/>
      <c r="T98" s="293"/>
      <c r="U98" s="288"/>
      <c r="V98" s="288"/>
      <c r="W98" s="288"/>
      <c r="X98" s="81"/>
      <c r="Y98" s="289"/>
      <c r="Z98" s="298"/>
      <c r="AA98" s="291"/>
      <c r="AB98" s="291"/>
      <c r="AC98" s="291"/>
      <c r="AD98" s="291"/>
      <c r="AE98" s="291"/>
      <c r="AF98" s="293"/>
      <c r="AG98" s="288"/>
      <c r="AH98" s="288"/>
      <c r="AI98" s="288"/>
      <c r="AJ98" s="81"/>
      <c r="AK98" s="289"/>
      <c r="AL98" s="298"/>
      <c r="AM98" s="291"/>
      <c r="AN98" s="291"/>
      <c r="AO98" s="291"/>
      <c r="AP98" s="291"/>
      <c r="AQ98" s="291"/>
      <c r="AR98" s="293"/>
      <c r="AS98" s="288"/>
      <c r="AT98" s="288"/>
      <c r="AU98" s="288"/>
      <c r="AV98" s="81"/>
      <c r="AW98" s="289"/>
      <c r="AX98" s="298"/>
      <c r="AY98" s="291"/>
      <c r="AZ98" s="291"/>
      <c r="BA98" s="291"/>
      <c r="BB98" s="291"/>
      <c r="BC98" s="291"/>
      <c r="BD98" s="293"/>
      <c r="BE98" s="288"/>
      <c r="BF98" s="288"/>
      <c r="BG98" s="288"/>
      <c r="BH98" s="81"/>
      <c r="BI98" s="289"/>
      <c r="BJ98" s="298"/>
      <c r="BK98" s="291"/>
      <c r="BL98" s="291"/>
      <c r="BM98" s="291"/>
      <c r="BN98" s="291"/>
      <c r="BO98" s="291"/>
      <c r="BP98" s="293"/>
      <c r="BQ98" s="288"/>
      <c r="BR98" s="288"/>
      <c r="BS98" s="288"/>
      <c r="BT98" s="81"/>
      <c r="BU98" s="289"/>
      <c r="BV98" s="298"/>
      <c r="BW98" s="291"/>
      <c r="BX98" s="291"/>
      <c r="BY98" s="291"/>
      <c r="BZ98" s="291"/>
      <c r="CA98" s="291"/>
      <c r="CB98" s="293"/>
      <c r="CC98" s="288"/>
      <c r="CD98" s="288"/>
      <c r="CE98" s="288"/>
      <c r="CF98" s="81"/>
      <c r="CG98" s="289"/>
      <c r="CH98" s="298"/>
      <c r="CI98" s="291"/>
      <c r="CJ98" s="291"/>
      <c r="CK98" s="291"/>
      <c r="CL98" s="291"/>
      <c r="CM98" s="291"/>
      <c r="CN98" s="293"/>
      <c r="CO98" s="288"/>
      <c r="CP98" s="288"/>
      <c r="CQ98" s="288"/>
      <c r="CR98" s="81"/>
      <c r="CS98" s="289"/>
      <c r="CT98" s="298"/>
      <c r="CU98" s="291"/>
      <c r="CV98" s="291"/>
      <c r="CW98" s="291"/>
      <c r="CX98" s="291"/>
      <c r="CY98" s="291"/>
      <c r="CZ98" s="293"/>
      <c r="DA98" s="288"/>
      <c r="DB98" s="288"/>
      <c r="DC98" s="288"/>
      <c r="DD98" s="81"/>
      <c r="DE98" s="289"/>
      <c r="DF98" s="298"/>
      <c r="DG98" s="291"/>
      <c r="DH98" s="291"/>
      <c r="DI98" s="291"/>
      <c r="DJ98" s="291"/>
      <c r="DK98" s="291"/>
      <c r="DL98" s="293"/>
      <c r="DM98" s="288"/>
      <c r="DN98" s="288"/>
      <c r="DO98" s="288"/>
      <c r="DP98" s="81"/>
      <c r="DQ98" s="289"/>
      <c r="DR98" s="298"/>
      <c r="DS98" s="291"/>
      <c r="DT98" s="291"/>
      <c r="DU98" s="291"/>
      <c r="DV98" s="291"/>
      <c r="DW98" s="291"/>
      <c r="DX98" s="293"/>
      <c r="DY98" s="288"/>
      <c r="DZ98" s="288"/>
      <c r="EA98" s="288"/>
      <c r="EB98" s="81"/>
      <c r="EC98" s="289"/>
      <c r="ED98" s="298"/>
      <c r="EE98" s="291"/>
      <c r="EF98" s="291"/>
      <c r="EG98" s="291"/>
      <c r="EH98" s="291"/>
      <c r="EI98" s="291"/>
      <c r="EJ98" s="293"/>
      <c r="EK98" s="288"/>
      <c r="EL98" s="288"/>
      <c r="EM98" s="288"/>
      <c r="EN98" s="81"/>
      <c r="EO98" s="289"/>
      <c r="EP98" s="298"/>
      <c r="EQ98" s="291"/>
      <c r="ER98" s="291"/>
      <c r="ES98" s="291"/>
      <c r="ET98" s="291"/>
      <c r="EU98" s="291"/>
      <c r="EV98" s="293"/>
      <c r="EW98" s="288"/>
      <c r="EX98" s="288"/>
      <c r="EY98" s="288"/>
      <c r="EZ98" s="81"/>
      <c r="FA98" s="289"/>
      <c r="FB98" s="298"/>
      <c r="FC98" s="291"/>
      <c r="FD98" s="291"/>
      <c r="FE98" s="291"/>
      <c r="FF98" s="291"/>
      <c r="FG98" s="291"/>
      <c r="FH98" s="293"/>
      <c r="FI98" s="288"/>
      <c r="FJ98" s="288"/>
      <c r="FK98" s="288"/>
      <c r="FL98" s="81"/>
      <c r="FM98" s="289"/>
      <c r="FN98" s="298"/>
      <c r="FO98" s="291"/>
      <c r="FP98" s="291"/>
      <c r="FQ98" s="291"/>
      <c r="FR98" s="291"/>
      <c r="FS98" s="291"/>
      <c r="FT98" s="293"/>
      <c r="FU98" s="288"/>
      <c r="FV98" s="288"/>
      <c r="FW98" s="288"/>
      <c r="FX98" s="81"/>
      <c r="FY98" s="289"/>
      <c r="FZ98" s="298"/>
      <c r="GA98" s="291"/>
      <c r="GB98" s="291"/>
      <c r="GC98" s="291"/>
      <c r="GD98" s="291"/>
      <c r="GE98" s="291"/>
      <c r="GF98" s="293"/>
      <c r="GG98" s="288"/>
      <c r="GH98" s="288"/>
      <c r="GI98" s="288"/>
      <c r="GJ98" s="81"/>
      <c r="GK98" s="289"/>
      <c r="GL98" s="298"/>
      <c r="GM98" s="291"/>
      <c r="GN98" s="291"/>
      <c r="GO98" s="291"/>
      <c r="GP98" s="291"/>
      <c r="GQ98" s="291"/>
      <c r="GR98" s="293"/>
      <c r="GS98" s="288"/>
      <c r="GT98" s="288"/>
      <c r="GU98" s="288"/>
      <c r="GV98" s="81"/>
      <c r="GW98" s="289"/>
      <c r="GX98" s="298"/>
      <c r="GY98" s="291"/>
      <c r="GZ98" s="291"/>
      <c r="HA98" s="291"/>
      <c r="HB98" s="291"/>
      <c r="HC98" s="291"/>
      <c r="HD98" s="293"/>
      <c r="HE98" s="288"/>
      <c r="HF98" s="288"/>
      <c r="HG98" s="288"/>
      <c r="HH98" s="81"/>
      <c r="HI98" s="75"/>
    </row>
    <row r="99" ht="24.0" customHeight="1">
      <c r="A99" s="313" t="s">
        <v>78</v>
      </c>
      <c r="B99" s="144"/>
      <c r="C99" s="314">
        <f>SUM(C95:C98)</f>
        <v>0</v>
      </c>
      <c r="D99" s="315"/>
      <c r="E99" s="314">
        <f>SUM(E95:E98)</f>
        <v>0</v>
      </c>
      <c r="F99" s="315"/>
      <c r="G99" s="314">
        <f t="shared" ref="G99:H99" si="487">SUM(G95:G98)</f>
        <v>0</v>
      </c>
      <c r="H99" s="316">
        <f t="shared" si="487"/>
        <v>0</v>
      </c>
      <c r="I99" s="288"/>
      <c r="J99" s="288"/>
      <c r="K99" s="288"/>
      <c r="L99" s="81"/>
      <c r="M99" s="313" t="s">
        <v>78</v>
      </c>
      <c r="N99" s="144"/>
      <c r="O99" s="314">
        <f>SUM(O95:O98)</f>
        <v>0</v>
      </c>
      <c r="P99" s="315"/>
      <c r="Q99" s="314">
        <f>SUM(Q95:Q98)</f>
        <v>0</v>
      </c>
      <c r="R99" s="315"/>
      <c r="S99" s="314">
        <f t="shared" ref="S99:T99" si="488">SUM(S95:S98)</f>
        <v>0</v>
      </c>
      <c r="T99" s="316">
        <f t="shared" si="488"/>
        <v>0</v>
      </c>
      <c r="U99" s="288"/>
      <c r="V99" s="288"/>
      <c r="W99" s="288"/>
      <c r="X99" s="81"/>
      <c r="Y99" s="313" t="s">
        <v>78</v>
      </c>
      <c r="Z99" s="144"/>
      <c r="AA99" s="314">
        <f>SUM(AA95:AA98)</f>
        <v>0</v>
      </c>
      <c r="AB99" s="315"/>
      <c r="AC99" s="314">
        <f>SUM(AC95:AC98)</f>
        <v>0</v>
      </c>
      <c r="AD99" s="315"/>
      <c r="AE99" s="314">
        <f t="shared" ref="AE99:AF99" si="489">SUM(AE95:AE98)</f>
        <v>0</v>
      </c>
      <c r="AF99" s="316">
        <f t="shared" si="489"/>
        <v>0</v>
      </c>
      <c r="AG99" s="288"/>
      <c r="AH99" s="288"/>
      <c r="AI99" s="288"/>
      <c r="AJ99" s="81"/>
      <c r="AK99" s="313" t="s">
        <v>78</v>
      </c>
      <c r="AL99" s="144"/>
      <c r="AM99" s="314">
        <f>SUM(AM95:AM98)</f>
        <v>0</v>
      </c>
      <c r="AN99" s="315"/>
      <c r="AO99" s="314">
        <f>SUM(AO95:AO98)</f>
        <v>0</v>
      </c>
      <c r="AP99" s="315"/>
      <c r="AQ99" s="314">
        <f t="shared" ref="AQ99:AR99" si="490">SUM(AQ95:AQ98)</f>
        <v>0</v>
      </c>
      <c r="AR99" s="316">
        <f t="shared" si="490"/>
        <v>0</v>
      </c>
      <c r="AS99" s="288"/>
      <c r="AT99" s="288"/>
      <c r="AU99" s="288"/>
      <c r="AV99" s="81"/>
      <c r="AW99" s="313" t="s">
        <v>78</v>
      </c>
      <c r="AX99" s="144"/>
      <c r="AY99" s="314">
        <f>SUM(AY95:AY98)</f>
        <v>0</v>
      </c>
      <c r="AZ99" s="315"/>
      <c r="BA99" s="314">
        <f>SUM(BA95:BA98)</f>
        <v>0</v>
      </c>
      <c r="BB99" s="315"/>
      <c r="BC99" s="314">
        <f t="shared" ref="BC99:BD99" si="491">SUM(BC95:BC98)</f>
        <v>0</v>
      </c>
      <c r="BD99" s="316">
        <f t="shared" si="491"/>
        <v>0</v>
      </c>
      <c r="BE99" s="288"/>
      <c r="BF99" s="288"/>
      <c r="BG99" s="288"/>
      <c r="BH99" s="81"/>
      <c r="BI99" s="313" t="s">
        <v>78</v>
      </c>
      <c r="BJ99" s="144"/>
      <c r="BK99" s="314">
        <f>SUM(BK95:BK98)</f>
        <v>0</v>
      </c>
      <c r="BL99" s="315"/>
      <c r="BM99" s="314">
        <f>SUM(BM95:BM98)</f>
        <v>0</v>
      </c>
      <c r="BN99" s="315"/>
      <c r="BO99" s="314">
        <f t="shared" ref="BO99:BP99" si="492">SUM(BO95:BO98)</f>
        <v>0</v>
      </c>
      <c r="BP99" s="316">
        <f t="shared" si="492"/>
        <v>0</v>
      </c>
      <c r="BQ99" s="288"/>
      <c r="BR99" s="288"/>
      <c r="BS99" s="288"/>
      <c r="BT99" s="81"/>
      <c r="BU99" s="313" t="s">
        <v>78</v>
      </c>
      <c r="BV99" s="144"/>
      <c r="BW99" s="314">
        <f>SUM(BW95:BW98)</f>
        <v>0</v>
      </c>
      <c r="BX99" s="315"/>
      <c r="BY99" s="314">
        <f>SUM(BY95:BY98)</f>
        <v>0</v>
      </c>
      <c r="BZ99" s="315"/>
      <c r="CA99" s="314">
        <f t="shared" ref="CA99:CB99" si="493">SUM(CA95:CA98)</f>
        <v>0</v>
      </c>
      <c r="CB99" s="316">
        <f t="shared" si="493"/>
        <v>0</v>
      </c>
      <c r="CC99" s="288"/>
      <c r="CD99" s="288"/>
      <c r="CE99" s="288"/>
      <c r="CF99" s="81"/>
      <c r="CG99" s="313" t="s">
        <v>78</v>
      </c>
      <c r="CH99" s="144"/>
      <c r="CI99" s="314">
        <f>SUM(CI95:CI98)</f>
        <v>0</v>
      </c>
      <c r="CJ99" s="315"/>
      <c r="CK99" s="314">
        <f>SUM(CK95:CK98)</f>
        <v>0</v>
      </c>
      <c r="CL99" s="315"/>
      <c r="CM99" s="314">
        <f t="shared" ref="CM99:CN99" si="494">SUM(CM95:CM98)</f>
        <v>0</v>
      </c>
      <c r="CN99" s="316">
        <f t="shared" si="494"/>
        <v>0</v>
      </c>
      <c r="CO99" s="288"/>
      <c r="CP99" s="288"/>
      <c r="CQ99" s="288"/>
      <c r="CR99" s="81"/>
      <c r="CS99" s="313" t="s">
        <v>78</v>
      </c>
      <c r="CT99" s="144"/>
      <c r="CU99" s="314">
        <f>SUM(CU95:CU98)</f>
        <v>0</v>
      </c>
      <c r="CV99" s="315"/>
      <c r="CW99" s="314">
        <f>SUM(CW95:CW98)</f>
        <v>0</v>
      </c>
      <c r="CX99" s="315"/>
      <c r="CY99" s="314">
        <f t="shared" ref="CY99:CZ99" si="495">SUM(CY95:CY98)</f>
        <v>0</v>
      </c>
      <c r="CZ99" s="316">
        <f t="shared" si="495"/>
        <v>0</v>
      </c>
      <c r="DA99" s="288"/>
      <c r="DB99" s="288"/>
      <c r="DC99" s="288"/>
      <c r="DD99" s="81"/>
      <c r="DE99" s="313" t="s">
        <v>78</v>
      </c>
      <c r="DF99" s="144"/>
      <c r="DG99" s="314">
        <f>SUM(DG95:DG98)</f>
        <v>4687232.204</v>
      </c>
      <c r="DH99" s="315"/>
      <c r="DI99" s="314">
        <f>SUM(DI95:DI98)</f>
        <v>54456.57342</v>
      </c>
      <c r="DJ99" s="315"/>
      <c r="DK99" s="314">
        <f t="shared" ref="DK99:DL99" si="496">SUM(DK95:DK98)</f>
        <v>9103.105997</v>
      </c>
      <c r="DL99" s="316">
        <f t="shared" si="496"/>
        <v>45353.46742</v>
      </c>
      <c r="DM99" s="288"/>
      <c r="DN99" s="288"/>
      <c r="DO99" s="288"/>
      <c r="DP99" s="81"/>
      <c r="DQ99" s="313" t="s">
        <v>78</v>
      </c>
      <c r="DR99" s="144"/>
      <c r="DS99" s="314">
        <f>SUM(DS95:DS98)</f>
        <v>4690502.306</v>
      </c>
      <c r="DT99" s="315"/>
      <c r="DU99" s="314">
        <f>SUM(DU95:DU98)</f>
        <v>54494.56567</v>
      </c>
      <c r="DV99" s="315"/>
      <c r="DW99" s="314">
        <f t="shared" ref="DW99:DX99" si="497">SUM(DW95:DW98)</f>
        <v>9109.456884</v>
      </c>
      <c r="DX99" s="316">
        <f t="shared" si="497"/>
        <v>45385.10879</v>
      </c>
      <c r="DY99" s="288"/>
      <c r="DZ99" s="288"/>
      <c r="EA99" s="288"/>
      <c r="EB99" s="81"/>
      <c r="EC99" s="313" t="s">
        <v>78</v>
      </c>
      <c r="ED99" s="144"/>
      <c r="EE99" s="314">
        <f>SUM(EE95:EE98)</f>
        <v>4884352.934</v>
      </c>
      <c r="EF99" s="315"/>
      <c r="EG99" s="314">
        <f>SUM(EG95:EG98)</f>
        <v>56746.73508</v>
      </c>
      <c r="EH99" s="315"/>
      <c r="EI99" s="314">
        <f t="shared" ref="EI99:EJ99" si="498">SUM(EI95:EI98)</f>
        <v>9485.935527</v>
      </c>
      <c r="EJ99" s="316">
        <f t="shared" si="498"/>
        <v>47260.79956</v>
      </c>
      <c r="EK99" s="288"/>
      <c r="EL99" s="288"/>
      <c r="EM99" s="288"/>
      <c r="EN99" s="81"/>
      <c r="EO99" s="313" t="s">
        <v>78</v>
      </c>
      <c r="EP99" s="144"/>
      <c r="EQ99" s="314">
        <f>SUM(EQ95:EQ98)</f>
        <v>5197952.351</v>
      </c>
      <c r="ER99" s="315"/>
      <c r="ES99" s="314">
        <f>SUM(ES95:ES98)</f>
        <v>60390.15382</v>
      </c>
      <c r="ET99" s="315"/>
      <c r="EU99" s="314">
        <f t="shared" ref="EU99:EV99" si="499">SUM(EU95:EU98)</f>
        <v>10094.97912</v>
      </c>
      <c r="EV99" s="316">
        <f t="shared" si="499"/>
        <v>50295.17471</v>
      </c>
      <c r="EW99" s="288"/>
      <c r="EX99" s="288"/>
      <c r="EY99" s="288"/>
      <c r="EZ99" s="81"/>
      <c r="FA99" s="313" t="s">
        <v>78</v>
      </c>
      <c r="FB99" s="144"/>
      <c r="FC99" s="314">
        <f>SUM(FC95:FC98)</f>
        <v>5916305.055</v>
      </c>
      <c r="FD99" s="315"/>
      <c r="FE99" s="314">
        <f>SUM(FE95:FE98)</f>
        <v>68736.023</v>
      </c>
      <c r="FF99" s="315"/>
      <c r="FG99" s="314">
        <f t="shared" ref="FG99:FH99" si="500">SUM(FG95:FG98)</f>
        <v>11490.09686</v>
      </c>
      <c r="FH99" s="316">
        <f t="shared" si="500"/>
        <v>57245.92614</v>
      </c>
      <c r="FI99" s="288"/>
      <c r="FJ99" s="288"/>
      <c r="FK99" s="288"/>
      <c r="FL99" s="81"/>
      <c r="FM99" s="313" t="s">
        <v>78</v>
      </c>
      <c r="FN99" s="144"/>
      <c r="FO99" s="314">
        <f>SUM(FO95:FO98)</f>
        <v>7107813.322</v>
      </c>
      <c r="FP99" s="315"/>
      <c r="FQ99" s="314">
        <f>SUM(FQ95:FQ98)</f>
        <v>82579.04477</v>
      </c>
      <c r="FR99" s="315"/>
      <c r="FS99" s="314">
        <f t="shared" ref="FS99:FT99" si="501">SUM(FS95:FS98)</f>
        <v>13804.13328</v>
      </c>
      <c r="FT99" s="316">
        <f t="shared" si="501"/>
        <v>68774.91148</v>
      </c>
      <c r="FU99" s="288"/>
      <c r="FV99" s="288"/>
      <c r="FW99" s="288"/>
      <c r="FX99" s="81"/>
      <c r="FY99" s="313" t="s">
        <v>78</v>
      </c>
      <c r="FZ99" s="144"/>
      <c r="GA99" s="314">
        <f>SUM(GA95:GA98)</f>
        <v>8180643.881</v>
      </c>
      <c r="GB99" s="315"/>
      <c r="GC99" s="314">
        <f>SUM(GC95:GC98)</f>
        <v>95043.26107</v>
      </c>
      <c r="GD99" s="315"/>
      <c r="GE99" s="314">
        <f t="shared" ref="GE99:GF99" si="502">SUM(GE95:GE98)</f>
        <v>15887.68491</v>
      </c>
      <c r="GF99" s="316">
        <f t="shared" si="502"/>
        <v>79155.57616</v>
      </c>
      <c r="GG99" s="288"/>
      <c r="GH99" s="288"/>
      <c r="GI99" s="288"/>
      <c r="GJ99" s="81"/>
      <c r="GK99" s="313" t="s">
        <v>78</v>
      </c>
      <c r="GL99" s="144"/>
      <c r="GM99" s="314">
        <f>SUM(GM95:GM98)</f>
        <v>0</v>
      </c>
      <c r="GN99" s="315"/>
      <c r="GO99" s="314">
        <f>SUM(GO95:GO98)</f>
        <v>0</v>
      </c>
      <c r="GP99" s="315"/>
      <c r="GQ99" s="314">
        <f t="shared" ref="GQ99:GR99" si="503">SUM(GQ95:GQ98)</f>
        <v>0</v>
      </c>
      <c r="GR99" s="316">
        <f t="shared" si="503"/>
        <v>0</v>
      </c>
      <c r="GS99" s="288"/>
      <c r="GT99" s="288"/>
      <c r="GU99" s="288"/>
      <c r="GV99" s="81"/>
      <c r="GW99" s="313" t="s">
        <v>78</v>
      </c>
      <c r="GX99" s="144"/>
      <c r="GY99" s="314">
        <f>SUM(GY95:GY98)</f>
        <v>0</v>
      </c>
      <c r="GZ99" s="315"/>
      <c r="HA99" s="314">
        <f>SUM(HA95:HA98)</f>
        <v>0</v>
      </c>
      <c r="HB99" s="315"/>
      <c r="HC99" s="314">
        <f t="shared" ref="HC99:HD99" si="504">SUM(HC95:HC98)</f>
        <v>0</v>
      </c>
      <c r="HD99" s="316">
        <f t="shared" si="504"/>
        <v>0</v>
      </c>
      <c r="HE99" s="288"/>
      <c r="HF99" s="288"/>
      <c r="HG99" s="288"/>
      <c r="HH99" s="81"/>
      <c r="HI99" s="75"/>
    </row>
    <row r="100" ht="15.0" customHeight="1">
      <c r="A100" s="74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81"/>
      <c r="M100" s="74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81"/>
      <c r="Y100" s="74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81"/>
      <c r="AK100" s="74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81"/>
      <c r="AW100" s="74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81"/>
      <c r="BI100" s="74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81"/>
      <c r="BU100" s="74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81"/>
      <c r="CG100" s="74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81"/>
      <c r="CS100" s="74"/>
      <c r="CT100" s="75"/>
      <c r="CU100" s="75"/>
      <c r="CV100" s="75"/>
      <c r="CW100" s="75"/>
      <c r="CX100" s="75"/>
      <c r="CY100" s="75"/>
      <c r="CZ100" s="75"/>
      <c r="DA100" s="75"/>
      <c r="DB100" s="75"/>
      <c r="DC100" s="75"/>
      <c r="DD100" s="81"/>
      <c r="DE100" s="74"/>
      <c r="DF100" s="75"/>
      <c r="DG100" s="75"/>
      <c r="DH100" s="75"/>
      <c r="DI100" s="75"/>
      <c r="DJ100" s="75"/>
      <c r="DK100" s="75"/>
      <c r="DL100" s="75"/>
      <c r="DM100" s="75"/>
      <c r="DN100" s="75"/>
      <c r="DO100" s="75"/>
      <c r="DP100" s="81"/>
      <c r="DQ100" s="74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81"/>
      <c r="EC100" s="74"/>
      <c r="ED100" s="75"/>
      <c r="EE100" s="75"/>
      <c r="EF100" s="75"/>
      <c r="EG100" s="75"/>
      <c r="EH100" s="75"/>
      <c r="EI100" s="75"/>
      <c r="EJ100" s="75"/>
      <c r="EK100" s="75"/>
      <c r="EL100" s="75"/>
      <c r="EM100" s="75"/>
      <c r="EN100" s="81"/>
      <c r="EO100" s="74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81"/>
      <c r="FA100" s="74"/>
      <c r="FB100" s="75"/>
      <c r="FC100" s="75"/>
      <c r="FD100" s="75"/>
      <c r="FE100" s="75"/>
      <c r="FF100" s="75"/>
      <c r="FG100" s="75"/>
      <c r="FH100" s="75"/>
      <c r="FI100" s="75"/>
      <c r="FJ100" s="75"/>
      <c r="FK100" s="75"/>
      <c r="FL100" s="81"/>
      <c r="FM100" s="74"/>
      <c r="FN100" s="75"/>
      <c r="FO100" s="75"/>
      <c r="FP100" s="75"/>
      <c r="FQ100" s="75"/>
      <c r="FR100" s="75"/>
      <c r="FS100" s="75"/>
      <c r="FT100" s="75"/>
      <c r="FU100" s="75"/>
      <c r="FV100" s="75"/>
      <c r="FW100" s="75"/>
      <c r="FX100" s="81"/>
      <c r="FY100" s="74"/>
      <c r="FZ100" s="75"/>
      <c r="GA100" s="75"/>
      <c r="GB100" s="75"/>
      <c r="GC100" s="75"/>
      <c r="GD100" s="75"/>
      <c r="GE100" s="75"/>
      <c r="GF100" s="75"/>
      <c r="GG100" s="75"/>
      <c r="GH100" s="75"/>
      <c r="GI100" s="75"/>
      <c r="GJ100" s="81"/>
      <c r="GK100" s="74"/>
      <c r="GL100" s="75"/>
      <c r="GM100" s="75"/>
      <c r="GN100" s="75"/>
      <c r="GO100" s="75"/>
      <c r="GP100" s="75"/>
      <c r="GQ100" s="75"/>
      <c r="GR100" s="75"/>
      <c r="GS100" s="75"/>
      <c r="GT100" s="75"/>
      <c r="GU100" s="75"/>
      <c r="GV100" s="81"/>
      <c r="GW100" s="74"/>
      <c r="GX100" s="75"/>
      <c r="GY100" s="75"/>
      <c r="GZ100" s="75"/>
      <c r="HA100" s="75"/>
      <c r="HB100" s="75"/>
      <c r="HC100" s="75"/>
      <c r="HD100" s="75"/>
      <c r="HE100" s="75"/>
      <c r="HF100" s="75"/>
      <c r="HG100" s="75"/>
      <c r="HH100" s="81"/>
      <c r="HI100" s="75"/>
    </row>
    <row r="101" ht="15.0" customHeight="1">
      <c r="A101" s="74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81"/>
      <c r="M101" s="74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81"/>
      <c r="Y101" s="74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81"/>
      <c r="AK101" s="74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81"/>
      <c r="AW101" s="74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81"/>
      <c r="BI101" s="74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81"/>
      <c r="BU101" s="74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81"/>
      <c r="CG101" s="74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81"/>
      <c r="CS101" s="74"/>
      <c r="CT101" s="75"/>
      <c r="CU101" s="75"/>
      <c r="CV101" s="75"/>
      <c r="CW101" s="75"/>
      <c r="CX101" s="75"/>
      <c r="CY101" s="75"/>
      <c r="CZ101" s="75"/>
      <c r="DA101" s="75"/>
      <c r="DB101" s="75"/>
      <c r="DC101" s="75"/>
      <c r="DD101" s="81"/>
      <c r="DE101" s="74"/>
      <c r="DF101" s="75"/>
      <c r="DG101" s="75"/>
      <c r="DH101" s="75"/>
      <c r="DI101" s="75"/>
      <c r="DJ101" s="75"/>
      <c r="DK101" s="75"/>
      <c r="DL101" s="75"/>
      <c r="DM101" s="75"/>
      <c r="DN101" s="75"/>
      <c r="DO101" s="75"/>
      <c r="DP101" s="81"/>
      <c r="DQ101" s="74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81"/>
      <c r="EC101" s="74"/>
      <c r="ED101" s="75"/>
      <c r="EE101" s="75"/>
      <c r="EF101" s="75"/>
      <c r="EG101" s="75"/>
      <c r="EH101" s="75"/>
      <c r="EI101" s="75"/>
      <c r="EJ101" s="75"/>
      <c r="EK101" s="75"/>
      <c r="EL101" s="75"/>
      <c r="EM101" s="75"/>
      <c r="EN101" s="81"/>
      <c r="EO101" s="74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81"/>
      <c r="FA101" s="74"/>
      <c r="FB101" s="75"/>
      <c r="FC101" s="75"/>
      <c r="FD101" s="75"/>
      <c r="FE101" s="75"/>
      <c r="FF101" s="75"/>
      <c r="FG101" s="75"/>
      <c r="FH101" s="75"/>
      <c r="FI101" s="75"/>
      <c r="FJ101" s="75"/>
      <c r="FK101" s="75"/>
      <c r="FL101" s="81"/>
      <c r="FM101" s="74"/>
      <c r="FN101" s="75"/>
      <c r="FO101" s="75"/>
      <c r="FP101" s="75"/>
      <c r="FQ101" s="75"/>
      <c r="FR101" s="75"/>
      <c r="FS101" s="75"/>
      <c r="FT101" s="75"/>
      <c r="FU101" s="75"/>
      <c r="FV101" s="75"/>
      <c r="FW101" s="75"/>
      <c r="FX101" s="81"/>
      <c r="FY101" s="74"/>
      <c r="FZ101" s="75"/>
      <c r="GA101" s="75"/>
      <c r="GB101" s="75"/>
      <c r="GC101" s="75"/>
      <c r="GD101" s="75"/>
      <c r="GE101" s="75"/>
      <c r="GF101" s="75"/>
      <c r="GG101" s="75"/>
      <c r="GH101" s="75"/>
      <c r="GI101" s="75"/>
      <c r="GJ101" s="81"/>
      <c r="GK101" s="74"/>
      <c r="GL101" s="75"/>
      <c r="GM101" s="75"/>
      <c r="GN101" s="75"/>
      <c r="GO101" s="75"/>
      <c r="GP101" s="75"/>
      <c r="GQ101" s="75"/>
      <c r="GR101" s="75"/>
      <c r="GS101" s="75"/>
      <c r="GT101" s="75"/>
      <c r="GU101" s="75"/>
      <c r="GV101" s="81"/>
      <c r="GW101" s="74"/>
      <c r="GX101" s="75"/>
      <c r="GY101" s="75"/>
      <c r="GZ101" s="75"/>
      <c r="HA101" s="75"/>
      <c r="HB101" s="75"/>
      <c r="HC101" s="75"/>
      <c r="HD101" s="75"/>
      <c r="HE101" s="75"/>
      <c r="HF101" s="75"/>
      <c r="HG101" s="75"/>
      <c r="HH101" s="81"/>
      <c r="HI101" s="75"/>
    </row>
    <row r="102" ht="15.0" customHeight="1">
      <c r="A102" s="74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81"/>
      <c r="M102" s="74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81"/>
      <c r="Y102" s="74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81"/>
      <c r="AK102" s="74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81"/>
      <c r="AW102" s="74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81"/>
      <c r="BI102" s="74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81"/>
      <c r="BU102" s="74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81"/>
      <c r="CG102" s="74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81"/>
      <c r="CS102" s="74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81"/>
      <c r="DE102" s="74"/>
      <c r="DF102" s="75"/>
      <c r="DG102" s="75"/>
      <c r="DH102" s="75"/>
      <c r="DI102" s="75"/>
      <c r="DJ102" s="75"/>
      <c r="DK102" s="75"/>
      <c r="DL102" s="75"/>
      <c r="DM102" s="75"/>
      <c r="DN102" s="75"/>
      <c r="DO102" s="75"/>
      <c r="DP102" s="81"/>
      <c r="DQ102" s="74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81"/>
      <c r="EC102" s="74"/>
      <c r="ED102" s="75"/>
      <c r="EE102" s="75"/>
      <c r="EF102" s="75"/>
      <c r="EG102" s="75"/>
      <c r="EH102" s="75"/>
      <c r="EI102" s="75"/>
      <c r="EJ102" s="75"/>
      <c r="EK102" s="75"/>
      <c r="EL102" s="75"/>
      <c r="EM102" s="75"/>
      <c r="EN102" s="81"/>
      <c r="EO102" s="74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81"/>
      <c r="FA102" s="74"/>
      <c r="FB102" s="75"/>
      <c r="FC102" s="75"/>
      <c r="FD102" s="75"/>
      <c r="FE102" s="75"/>
      <c r="FF102" s="75"/>
      <c r="FG102" s="75"/>
      <c r="FH102" s="75"/>
      <c r="FI102" s="75"/>
      <c r="FJ102" s="75"/>
      <c r="FK102" s="75"/>
      <c r="FL102" s="81"/>
      <c r="FM102" s="74"/>
      <c r="FN102" s="75"/>
      <c r="FO102" s="75"/>
      <c r="FP102" s="75"/>
      <c r="FQ102" s="75"/>
      <c r="FR102" s="75"/>
      <c r="FS102" s="75"/>
      <c r="FT102" s="75"/>
      <c r="FU102" s="75"/>
      <c r="FV102" s="75"/>
      <c r="FW102" s="75"/>
      <c r="FX102" s="81"/>
      <c r="FY102" s="74"/>
      <c r="FZ102" s="75"/>
      <c r="GA102" s="75"/>
      <c r="GB102" s="75"/>
      <c r="GC102" s="75"/>
      <c r="GD102" s="75"/>
      <c r="GE102" s="75"/>
      <c r="GF102" s="75"/>
      <c r="GG102" s="75"/>
      <c r="GH102" s="75"/>
      <c r="GI102" s="75"/>
      <c r="GJ102" s="81"/>
      <c r="GK102" s="74"/>
      <c r="GL102" s="75"/>
      <c r="GM102" s="75"/>
      <c r="GN102" s="75"/>
      <c r="GO102" s="75"/>
      <c r="GP102" s="75"/>
      <c r="GQ102" s="75"/>
      <c r="GR102" s="75"/>
      <c r="GS102" s="75"/>
      <c r="GT102" s="75"/>
      <c r="GU102" s="75"/>
      <c r="GV102" s="81"/>
      <c r="GW102" s="74"/>
      <c r="GX102" s="75"/>
      <c r="GY102" s="75"/>
      <c r="GZ102" s="75"/>
      <c r="HA102" s="75"/>
      <c r="HB102" s="75"/>
      <c r="HC102" s="75"/>
      <c r="HD102" s="75"/>
      <c r="HE102" s="75"/>
      <c r="HF102" s="75"/>
      <c r="HG102" s="75"/>
      <c r="HH102" s="81"/>
      <c r="HI102" s="75"/>
    </row>
    <row r="103" ht="15.75" customHeight="1">
      <c r="A103" s="317"/>
      <c r="B103" s="318" t="s">
        <v>49</v>
      </c>
      <c r="C103" s="319" t="s">
        <v>50</v>
      </c>
      <c r="D103" s="320"/>
      <c r="E103" s="320"/>
      <c r="F103" s="320"/>
      <c r="G103" s="318" t="s">
        <v>51</v>
      </c>
      <c r="H103" s="320"/>
      <c r="I103" s="321"/>
      <c r="J103" s="322"/>
      <c r="K103" s="88" t="s">
        <v>83</v>
      </c>
      <c r="L103" s="89"/>
      <c r="M103" s="317"/>
      <c r="N103" s="318" t="s">
        <v>49</v>
      </c>
      <c r="O103" s="319" t="s">
        <v>50</v>
      </c>
      <c r="P103" s="320"/>
      <c r="Q103" s="320"/>
      <c r="R103" s="320"/>
      <c r="S103" s="318" t="s">
        <v>51</v>
      </c>
      <c r="T103" s="320"/>
      <c r="U103" s="321"/>
      <c r="V103" s="322"/>
      <c r="W103" s="88" t="s">
        <v>83</v>
      </c>
      <c r="X103" s="89"/>
      <c r="Y103" s="317"/>
      <c r="Z103" s="318" t="s">
        <v>49</v>
      </c>
      <c r="AA103" s="319" t="s">
        <v>50</v>
      </c>
      <c r="AB103" s="320"/>
      <c r="AC103" s="320"/>
      <c r="AD103" s="320"/>
      <c r="AE103" s="318" t="s">
        <v>51</v>
      </c>
      <c r="AF103" s="320"/>
      <c r="AG103" s="321"/>
      <c r="AH103" s="322"/>
      <c r="AI103" s="88" t="s">
        <v>83</v>
      </c>
      <c r="AJ103" s="89"/>
      <c r="AK103" s="317"/>
      <c r="AL103" s="318" t="s">
        <v>49</v>
      </c>
      <c r="AM103" s="319" t="s">
        <v>50</v>
      </c>
      <c r="AN103" s="320"/>
      <c r="AO103" s="320"/>
      <c r="AP103" s="320"/>
      <c r="AQ103" s="318" t="s">
        <v>51</v>
      </c>
      <c r="AR103" s="320"/>
      <c r="AS103" s="321"/>
      <c r="AT103" s="322"/>
      <c r="AU103" s="88" t="s">
        <v>83</v>
      </c>
      <c r="AV103" s="89"/>
      <c r="AW103" s="317"/>
      <c r="AX103" s="318" t="s">
        <v>49</v>
      </c>
      <c r="AY103" s="319" t="s">
        <v>50</v>
      </c>
      <c r="AZ103" s="320"/>
      <c r="BA103" s="320"/>
      <c r="BB103" s="320"/>
      <c r="BC103" s="318" t="s">
        <v>51</v>
      </c>
      <c r="BD103" s="320"/>
      <c r="BE103" s="321"/>
      <c r="BF103" s="322"/>
      <c r="BG103" s="88" t="s">
        <v>83</v>
      </c>
      <c r="BH103" s="89"/>
      <c r="BI103" s="317"/>
      <c r="BJ103" s="318" t="s">
        <v>49</v>
      </c>
      <c r="BK103" s="319" t="s">
        <v>50</v>
      </c>
      <c r="BL103" s="320"/>
      <c r="BM103" s="320"/>
      <c r="BN103" s="320"/>
      <c r="BO103" s="318" t="s">
        <v>51</v>
      </c>
      <c r="BP103" s="320"/>
      <c r="BQ103" s="321"/>
      <c r="BR103" s="322"/>
      <c r="BS103" s="88" t="s">
        <v>83</v>
      </c>
      <c r="BT103" s="89"/>
      <c r="BU103" s="317"/>
      <c r="BV103" s="318" t="s">
        <v>49</v>
      </c>
      <c r="BW103" s="319" t="s">
        <v>50</v>
      </c>
      <c r="BX103" s="320"/>
      <c r="BY103" s="320"/>
      <c r="BZ103" s="320"/>
      <c r="CA103" s="318" t="s">
        <v>51</v>
      </c>
      <c r="CB103" s="320"/>
      <c r="CC103" s="321"/>
      <c r="CD103" s="322"/>
      <c r="CE103" s="88" t="s">
        <v>83</v>
      </c>
      <c r="CF103" s="89"/>
      <c r="CG103" s="317"/>
      <c r="CH103" s="318" t="s">
        <v>49</v>
      </c>
      <c r="CI103" s="319" t="s">
        <v>50</v>
      </c>
      <c r="CJ103" s="320"/>
      <c r="CK103" s="320"/>
      <c r="CL103" s="320"/>
      <c r="CM103" s="318" t="s">
        <v>51</v>
      </c>
      <c r="CN103" s="320"/>
      <c r="CO103" s="321"/>
      <c r="CP103" s="322"/>
      <c r="CQ103" s="88" t="s">
        <v>83</v>
      </c>
      <c r="CR103" s="89"/>
      <c r="CS103" s="317"/>
      <c r="CT103" s="318" t="s">
        <v>49</v>
      </c>
      <c r="CU103" s="319" t="s">
        <v>50</v>
      </c>
      <c r="CV103" s="320"/>
      <c r="CW103" s="320"/>
      <c r="CX103" s="320"/>
      <c r="CY103" s="318" t="s">
        <v>51</v>
      </c>
      <c r="CZ103" s="320"/>
      <c r="DA103" s="321"/>
      <c r="DB103" s="322"/>
      <c r="DC103" s="88" t="s">
        <v>83</v>
      </c>
      <c r="DD103" s="89"/>
      <c r="DE103" s="317"/>
      <c r="DF103" s="318" t="s">
        <v>49</v>
      </c>
      <c r="DG103" s="319" t="s">
        <v>50</v>
      </c>
      <c r="DH103" s="320"/>
      <c r="DI103" s="320"/>
      <c r="DJ103" s="320"/>
      <c r="DK103" s="318" t="s">
        <v>51</v>
      </c>
      <c r="DL103" s="320"/>
      <c r="DM103" s="321"/>
      <c r="DN103" s="322"/>
      <c r="DO103" s="88" t="s">
        <v>83</v>
      </c>
      <c r="DP103" s="89"/>
      <c r="DQ103" s="317"/>
      <c r="DR103" s="318" t="s">
        <v>49</v>
      </c>
      <c r="DS103" s="319" t="s">
        <v>50</v>
      </c>
      <c r="DT103" s="320"/>
      <c r="DU103" s="320"/>
      <c r="DV103" s="320"/>
      <c r="DW103" s="318" t="s">
        <v>51</v>
      </c>
      <c r="DX103" s="320"/>
      <c r="DY103" s="321"/>
      <c r="DZ103" s="322"/>
      <c r="EA103" s="88" t="s">
        <v>83</v>
      </c>
      <c r="EB103" s="89"/>
      <c r="EC103" s="317"/>
      <c r="ED103" s="318" t="s">
        <v>49</v>
      </c>
      <c r="EE103" s="319" t="s">
        <v>50</v>
      </c>
      <c r="EF103" s="320"/>
      <c r="EG103" s="320"/>
      <c r="EH103" s="320"/>
      <c r="EI103" s="318" t="s">
        <v>51</v>
      </c>
      <c r="EJ103" s="320"/>
      <c r="EK103" s="321"/>
      <c r="EL103" s="322"/>
      <c r="EM103" s="88" t="s">
        <v>83</v>
      </c>
      <c r="EN103" s="89"/>
      <c r="EO103" s="317"/>
      <c r="EP103" s="318" t="s">
        <v>49</v>
      </c>
      <c r="EQ103" s="319" t="s">
        <v>50</v>
      </c>
      <c r="ER103" s="320"/>
      <c r="ES103" s="320"/>
      <c r="ET103" s="320"/>
      <c r="EU103" s="318" t="s">
        <v>51</v>
      </c>
      <c r="EV103" s="320"/>
      <c r="EW103" s="321"/>
      <c r="EX103" s="322"/>
      <c r="EY103" s="88" t="s">
        <v>83</v>
      </c>
      <c r="EZ103" s="89"/>
      <c r="FA103" s="317"/>
      <c r="FB103" s="318" t="s">
        <v>49</v>
      </c>
      <c r="FC103" s="319" t="s">
        <v>50</v>
      </c>
      <c r="FD103" s="320"/>
      <c r="FE103" s="320"/>
      <c r="FF103" s="320"/>
      <c r="FG103" s="318" t="s">
        <v>51</v>
      </c>
      <c r="FH103" s="320"/>
      <c r="FI103" s="321"/>
      <c r="FJ103" s="322"/>
      <c r="FK103" s="88" t="s">
        <v>83</v>
      </c>
      <c r="FL103" s="89"/>
      <c r="FM103" s="317"/>
      <c r="FN103" s="318" t="s">
        <v>49</v>
      </c>
      <c r="FO103" s="319" t="s">
        <v>50</v>
      </c>
      <c r="FP103" s="320"/>
      <c r="FQ103" s="320"/>
      <c r="FR103" s="320"/>
      <c r="FS103" s="318" t="s">
        <v>51</v>
      </c>
      <c r="FT103" s="320"/>
      <c r="FU103" s="321"/>
      <c r="FV103" s="322"/>
      <c r="FW103" s="88" t="s">
        <v>83</v>
      </c>
      <c r="FX103" s="89"/>
      <c r="FY103" s="317"/>
      <c r="FZ103" s="318" t="s">
        <v>49</v>
      </c>
      <c r="GA103" s="319" t="s">
        <v>50</v>
      </c>
      <c r="GB103" s="320"/>
      <c r="GC103" s="320"/>
      <c r="GD103" s="320"/>
      <c r="GE103" s="318" t="s">
        <v>51</v>
      </c>
      <c r="GF103" s="320"/>
      <c r="GG103" s="321"/>
      <c r="GH103" s="322"/>
      <c r="GI103" s="88" t="s">
        <v>83</v>
      </c>
      <c r="GJ103" s="89"/>
      <c r="GK103" s="317"/>
      <c r="GL103" s="318" t="s">
        <v>49</v>
      </c>
      <c r="GM103" s="319" t="s">
        <v>50</v>
      </c>
      <c r="GN103" s="320"/>
      <c r="GO103" s="320"/>
      <c r="GP103" s="320"/>
      <c r="GQ103" s="318" t="s">
        <v>51</v>
      </c>
      <c r="GR103" s="320"/>
      <c r="GS103" s="321"/>
      <c r="GT103" s="322"/>
      <c r="GU103" s="88" t="s">
        <v>83</v>
      </c>
      <c r="GV103" s="89"/>
      <c r="GW103" s="317"/>
      <c r="GX103" s="318" t="s">
        <v>49</v>
      </c>
      <c r="GY103" s="319" t="s">
        <v>50</v>
      </c>
      <c r="GZ103" s="320"/>
      <c r="HA103" s="320"/>
      <c r="HB103" s="320"/>
      <c r="HC103" s="318" t="s">
        <v>51</v>
      </c>
      <c r="HD103" s="320"/>
      <c r="HE103" s="321"/>
      <c r="HF103" s="322"/>
      <c r="HG103" s="88" t="s">
        <v>83</v>
      </c>
      <c r="HH103" s="89"/>
      <c r="HI103" s="87"/>
    </row>
    <row r="104" ht="15.75" customHeight="1">
      <c r="A104" s="323"/>
      <c r="B104" s="324" t="s">
        <v>23</v>
      </c>
      <c r="C104" s="325" t="s">
        <v>53</v>
      </c>
      <c r="D104" s="325"/>
      <c r="E104" s="325"/>
      <c r="F104" s="325"/>
      <c r="G104" s="324" t="s">
        <v>54</v>
      </c>
      <c r="H104" s="325"/>
      <c r="I104" s="326"/>
      <c r="J104" s="322"/>
      <c r="K104" s="94"/>
      <c r="L104" s="89"/>
      <c r="M104" s="323"/>
      <c r="N104" s="324" t="s">
        <v>23</v>
      </c>
      <c r="O104" s="325" t="s">
        <v>53</v>
      </c>
      <c r="P104" s="325"/>
      <c r="Q104" s="325"/>
      <c r="R104" s="325"/>
      <c r="S104" s="324" t="s">
        <v>54</v>
      </c>
      <c r="T104" s="325"/>
      <c r="U104" s="326"/>
      <c r="V104" s="322"/>
      <c r="W104" s="94"/>
      <c r="X104" s="89"/>
      <c r="Y104" s="323"/>
      <c r="Z104" s="324" t="s">
        <v>23</v>
      </c>
      <c r="AA104" s="325" t="s">
        <v>53</v>
      </c>
      <c r="AB104" s="325"/>
      <c r="AC104" s="325"/>
      <c r="AD104" s="325"/>
      <c r="AE104" s="324" t="s">
        <v>54</v>
      </c>
      <c r="AF104" s="325"/>
      <c r="AG104" s="326"/>
      <c r="AH104" s="322"/>
      <c r="AI104" s="94"/>
      <c r="AJ104" s="89"/>
      <c r="AK104" s="323"/>
      <c r="AL104" s="324" t="s">
        <v>23</v>
      </c>
      <c r="AM104" s="325" t="s">
        <v>53</v>
      </c>
      <c r="AN104" s="325"/>
      <c r="AO104" s="325"/>
      <c r="AP104" s="325"/>
      <c r="AQ104" s="324" t="s">
        <v>54</v>
      </c>
      <c r="AR104" s="325"/>
      <c r="AS104" s="326"/>
      <c r="AT104" s="322"/>
      <c r="AU104" s="94"/>
      <c r="AV104" s="89"/>
      <c r="AW104" s="323"/>
      <c r="AX104" s="324" t="s">
        <v>23</v>
      </c>
      <c r="AY104" s="325" t="s">
        <v>53</v>
      </c>
      <c r="AZ104" s="325"/>
      <c r="BA104" s="325"/>
      <c r="BB104" s="325"/>
      <c r="BC104" s="324" t="s">
        <v>54</v>
      </c>
      <c r="BD104" s="325"/>
      <c r="BE104" s="326"/>
      <c r="BF104" s="322"/>
      <c r="BG104" s="94"/>
      <c r="BH104" s="89"/>
      <c r="BI104" s="323"/>
      <c r="BJ104" s="324" t="s">
        <v>23</v>
      </c>
      <c r="BK104" s="325" t="s">
        <v>53</v>
      </c>
      <c r="BL104" s="325"/>
      <c r="BM104" s="325"/>
      <c r="BN104" s="325"/>
      <c r="BO104" s="324" t="s">
        <v>54</v>
      </c>
      <c r="BP104" s="325"/>
      <c r="BQ104" s="326"/>
      <c r="BR104" s="322"/>
      <c r="BS104" s="94"/>
      <c r="BT104" s="89"/>
      <c r="BU104" s="323"/>
      <c r="BV104" s="324" t="s">
        <v>23</v>
      </c>
      <c r="BW104" s="325" t="s">
        <v>53</v>
      </c>
      <c r="BX104" s="325"/>
      <c r="BY104" s="325"/>
      <c r="BZ104" s="325"/>
      <c r="CA104" s="324" t="s">
        <v>54</v>
      </c>
      <c r="CB104" s="325"/>
      <c r="CC104" s="326"/>
      <c r="CD104" s="322"/>
      <c r="CE104" s="94"/>
      <c r="CF104" s="89"/>
      <c r="CG104" s="323"/>
      <c r="CH104" s="324" t="s">
        <v>23</v>
      </c>
      <c r="CI104" s="325" t="s">
        <v>53</v>
      </c>
      <c r="CJ104" s="325"/>
      <c r="CK104" s="325"/>
      <c r="CL104" s="325"/>
      <c r="CM104" s="324" t="s">
        <v>54</v>
      </c>
      <c r="CN104" s="325"/>
      <c r="CO104" s="326"/>
      <c r="CP104" s="322"/>
      <c r="CQ104" s="94"/>
      <c r="CR104" s="89"/>
      <c r="CS104" s="323"/>
      <c r="CT104" s="324" t="s">
        <v>23</v>
      </c>
      <c r="CU104" s="325" t="s">
        <v>53</v>
      </c>
      <c r="CV104" s="325"/>
      <c r="CW104" s="325"/>
      <c r="CX104" s="325"/>
      <c r="CY104" s="324" t="s">
        <v>54</v>
      </c>
      <c r="CZ104" s="325"/>
      <c r="DA104" s="326"/>
      <c r="DB104" s="322"/>
      <c r="DC104" s="94"/>
      <c r="DD104" s="89"/>
      <c r="DE104" s="323"/>
      <c r="DF104" s="324" t="s">
        <v>23</v>
      </c>
      <c r="DG104" s="325" t="s">
        <v>53</v>
      </c>
      <c r="DH104" s="325"/>
      <c r="DI104" s="325"/>
      <c r="DJ104" s="325"/>
      <c r="DK104" s="324" t="s">
        <v>54</v>
      </c>
      <c r="DL104" s="325"/>
      <c r="DM104" s="326"/>
      <c r="DN104" s="322"/>
      <c r="DO104" s="94"/>
      <c r="DP104" s="89"/>
      <c r="DQ104" s="323"/>
      <c r="DR104" s="324" t="s">
        <v>23</v>
      </c>
      <c r="DS104" s="325" t="s">
        <v>53</v>
      </c>
      <c r="DT104" s="325"/>
      <c r="DU104" s="325"/>
      <c r="DV104" s="325"/>
      <c r="DW104" s="324" t="s">
        <v>54</v>
      </c>
      <c r="DX104" s="325"/>
      <c r="DY104" s="326"/>
      <c r="DZ104" s="322"/>
      <c r="EA104" s="94"/>
      <c r="EB104" s="89"/>
      <c r="EC104" s="323"/>
      <c r="ED104" s="324" t="s">
        <v>23</v>
      </c>
      <c r="EE104" s="325" t="s">
        <v>53</v>
      </c>
      <c r="EF104" s="325"/>
      <c r="EG104" s="325"/>
      <c r="EH104" s="325"/>
      <c r="EI104" s="324" t="s">
        <v>54</v>
      </c>
      <c r="EJ104" s="325"/>
      <c r="EK104" s="326"/>
      <c r="EL104" s="322"/>
      <c r="EM104" s="94"/>
      <c r="EN104" s="89"/>
      <c r="EO104" s="323"/>
      <c r="EP104" s="324" t="s">
        <v>23</v>
      </c>
      <c r="EQ104" s="325" t="s">
        <v>53</v>
      </c>
      <c r="ER104" s="325"/>
      <c r="ES104" s="325"/>
      <c r="ET104" s="325"/>
      <c r="EU104" s="324" t="s">
        <v>54</v>
      </c>
      <c r="EV104" s="325"/>
      <c r="EW104" s="326"/>
      <c r="EX104" s="322"/>
      <c r="EY104" s="94"/>
      <c r="EZ104" s="89"/>
      <c r="FA104" s="323"/>
      <c r="FB104" s="324" t="s">
        <v>23</v>
      </c>
      <c r="FC104" s="325" t="s">
        <v>53</v>
      </c>
      <c r="FD104" s="325"/>
      <c r="FE104" s="325"/>
      <c r="FF104" s="325"/>
      <c r="FG104" s="324" t="s">
        <v>54</v>
      </c>
      <c r="FH104" s="325"/>
      <c r="FI104" s="326"/>
      <c r="FJ104" s="322"/>
      <c r="FK104" s="94"/>
      <c r="FL104" s="89"/>
      <c r="FM104" s="323"/>
      <c r="FN104" s="324" t="s">
        <v>23</v>
      </c>
      <c r="FO104" s="325" t="s">
        <v>53</v>
      </c>
      <c r="FP104" s="325"/>
      <c r="FQ104" s="325"/>
      <c r="FR104" s="325"/>
      <c r="FS104" s="324" t="s">
        <v>54</v>
      </c>
      <c r="FT104" s="325"/>
      <c r="FU104" s="326"/>
      <c r="FV104" s="322"/>
      <c r="FW104" s="94"/>
      <c r="FX104" s="89"/>
      <c r="FY104" s="323"/>
      <c r="FZ104" s="324" t="s">
        <v>23</v>
      </c>
      <c r="GA104" s="325" t="s">
        <v>53</v>
      </c>
      <c r="GB104" s="325"/>
      <c r="GC104" s="325"/>
      <c r="GD104" s="325"/>
      <c r="GE104" s="324" t="s">
        <v>54</v>
      </c>
      <c r="GF104" s="325"/>
      <c r="GG104" s="326"/>
      <c r="GH104" s="322"/>
      <c r="GI104" s="94"/>
      <c r="GJ104" s="89"/>
      <c r="GK104" s="323"/>
      <c r="GL104" s="324" t="s">
        <v>23</v>
      </c>
      <c r="GM104" s="325" t="s">
        <v>53</v>
      </c>
      <c r="GN104" s="325"/>
      <c r="GO104" s="325"/>
      <c r="GP104" s="325"/>
      <c r="GQ104" s="324" t="s">
        <v>54</v>
      </c>
      <c r="GR104" s="325"/>
      <c r="GS104" s="326"/>
      <c r="GT104" s="322"/>
      <c r="GU104" s="94"/>
      <c r="GV104" s="89"/>
      <c r="GW104" s="323"/>
      <c r="GX104" s="324" t="s">
        <v>23</v>
      </c>
      <c r="GY104" s="325" t="s">
        <v>53</v>
      </c>
      <c r="GZ104" s="325"/>
      <c r="HA104" s="325"/>
      <c r="HB104" s="325"/>
      <c r="HC104" s="324" t="s">
        <v>54</v>
      </c>
      <c r="HD104" s="325"/>
      <c r="HE104" s="326"/>
      <c r="HF104" s="322"/>
      <c r="HG104" s="94"/>
      <c r="HH104" s="89"/>
      <c r="HI104" s="87"/>
    </row>
    <row r="105" ht="15.0" customHeight="1">
      <c r="A105" s="323"/>
      <c r="B105" s="324" t="s">
        <v>55</v>
      </c>
      <c r="C105" s="325" t="s">
        <v>56</v>
      </c>
      <c r="D105" s="325"/>
      <c r="E105" s="325"/>
      <c r="F105" s="325"/>
      <c r="G105" s="324" t="s">
        <v>84</v>
      </c>
      <c r="H105" s="325"/>
      <c r="I105" s="326"/>
      <c r="J105" s="322"/>
      <c r="K105" s="95" t="str">
        <f>"IV/"&amp;K$6</f>
        <v>IV/2010</v>
      </c>
      <c r="L105" s="89"/>
      <c r="M105" s="323"/>
      <c r="N105" s="324" t="s">
        <v>55</v>
      </c>
      <c r="O105" s="325" t="s">
        <v>56</v>
      </c>
      <c r="P105" s="325"/>
      <c r="Q105" s="325"/>
      <c r="R105" s="325"/>
      <c r="S105" s="324" t="s">
        <v>84</v>
      </c>
      <c r="T105" s="325"/>
      <c r="U105" s="326"/>
      <c r="V105" s="322"/>
      <c r="W105" s="95" t="str">
        <f>"IV/"&amp;W$6</f>
        <v>IV/2011</v>
      </c>
      <c r="X105" s="89"/>
      <c r="Y105" s="323"/>
      <c r="Z105" s="324" t="s">
        <v>55</v>
      </c>
      <c r="AA105" s="325" t="s">
        <v>56</v>
      </c>
      <c r="AB105" s="325"/>
      <c r="AC105" s="325"/>
      <c r="AD105" s="325"/>
      <c r="AE105" s="324" t="s">
        <v>84</v>
      </c>
      <c r="AF105" s="325"/>
      <c r="AG105" s="326"/>
      <c r="AH105" s="322"/>
      <c r="AI105" s="95" t="str">
        <f>"IV/"&amp;AI$6</f>
        <v>IV/2012</v>
      </c>
      <c r="AJ105" s="89"/>
      <c r="AK105" s="323"/>
      <c r="AL105" s="324" t="s">
        <v>55</v>
      </c>
      <c r="AM105" s="325" t="s">
        <v>56</v>
      </c>
      <c r="AN105" s="325"/>
      <c r="AO105" s="325"/>
      <c r="AP105" s="325"/>
      <c r="AQ105" s="324" t="s">
        <v>84</v>
      </c>
      <c r="AR105" s="325"/>
      <c r="AS105" s="326"/>
      <c r="AT105" s="322"/>
      <c r="AU105" s="95" t="str">
        <f>"IV/"&amp;AU$6</f>
        <v>IV/2013</v>
      </c>
      <c r="AV105" s="89"/>
      <c r="AW105" s="323"/>
      <c r="AX105" s="324" t="s">
        <v>55</v>
      </c>
      <c r="AY105" s="325" t="s">
        <v>56</v>
      </c>
      <c r="AZ105" s="325"/>
      <c r="BA105" s="325"/>
      <c r="BB105" s="325"/>
      <c r="BC105" s="324" t="s">
        <v>84</v>
      </c>
      <c r="BD105" s="325"/>
      <c r="BE105" s="326"/>
      <c r="BF105" s="322"/>
      <c r="BG105" s="95" t="str">
        <f>"IV/"&amp;BG$6</f>
        <v>IV/2014</v>
      </c>
      <c r="BH105" s="89"/>
      <c r="BI105" s="323"/>
      <c r="BJ105" s="324" t="s">
        <v>55</v>
      </c>
      <c r="BK105" s="325" t="s">
        <v>56</v>
      </c>
      <c r="BL105" s="325"/>
      <c r="BM105" s="325"/>
      <c r="BN105" s="325"/>
      <c r="BO105" s="324" t="s">
        <v>84</v>
      </c>
      <c r="BP105" s="325"/>
      <c r="BQ105" s="326"/>
      <c r="BR105" s="322"/>
      <c r="BS105" s="95" t="str">
        <f>"IV/"&amp;BS$6</f>
        <v>IV/2015</v>
      </c>
      <c r="BT105" s="89"/>
      <c r="BU105" s="323"/>
      <c r="BV105" s="324" t="s">
        <v>55</v>
      </c>
      <c r="BW105" s="325" t="s">
        <v>56</v>
      </c>
      <c r="BX105" s="325"/>
      <c r="BY105" s="325"/>
      <c r="BZ105" s="325"/>
      <c r="CA105" s="324" t="s">
        <v>84</v>
      </c>
      <c r="CB105" s="325"/>
      <c r="CC105" s="326"/>
      <c r="CD105" s="322"/>
      <c r="CE105" s="95" t="str">
        <f>"IV/"&amp;CE$6</f>
        <v>IV/2016</v>
      </c>
      <c r="CF105" s="89"/>
      <c r="CG105" s="323"/>
      <c r="CH105" s="324" t="s">
        <v>55</v>
      </c>
      <c r="CI105" s="325" t="s">
        <v>56</v>
      </c>
      <c r="CJ105" s="325"/>
      <c r="CK105" s="325"/>
      <c r="CL105" s="325"/>
      <c r="CM105" s="324" t="s">
        <v>84</v>
      </c>
      <c r="CN105" s="325"/>
      <c r="CO105" s="326"/>
      <c r="CP105" s="322"/>
      <c r="CQ105" s="95" t="str">
        <f>"IV/"&amp;CQ$6</f>
        <v>IV/2017</v>
      </c>
      <c r="CR105" s="89"/>
      <c r="CS105" s="323"/>
      <c r="CT105" s="324" t="s">
        <v>55</v>
      </c>
      <c r="CU105" s="325" t="s">
        <v>56</v>
      </c>
      <c r="CV105" s="325"/>
      <c r="CW105" s="325"/>
      <c r="CX105" s="325"/>
      <c r="CY105" s="324" t="s">
        <v>84</v>
      </c>
      <c r="CZ105" s="325"/>
      <c r="DA105" s="326"/>
      <c r="DB105" s="322"/>
      <c r="DC105" s="95" t="str">
        <f>"IV/"&amp;DC$6</f>
        <v>IV/2018</v>
      </c>
      <c r="DD105" s="89"/>
      <c r="DE105" s="323"/>
      <c r="DF105" s="324" t="s">
        <v>55</v>
      </c>
      <c r="DG105" s="325" t="s">
        <v>56</v>
      </c>
      <c r="DH105" s="325"/>
      <c r="DI105" s="325"/>
      <c r="DJ105" s="325"/>
      <c r="DK105" s="324" t="s">
        <v>84</v>
      </c>
      <c r="DL105" s="325"/>
      <c r="DM105" s="326"/>
      <c r="DN105" s="322"/>
      <c r="DO105" s="95" t="str">
        <f>"IV/"&amp;DO$6</f>
        <v>IV/2019</v>
      </c>
      <c r="DP105" s="89"/>
      <c r="DQ105" s="323"/>
      <c r="DR105" s="324" t="s">
        <v>55</v>
      </c>
      <c r="DS105" s="325" t="s">
        <v>56</v>
      </c>
      <c r="DT105" s="325"/>
      <c r="DU105" s="325"/>
      <c r="DV105" s="325"/>
      <c r="DW105" s="324" t="s">
        <v>84</v>
      </c>
      <c r="DX105" s="325"/>
      <c r="DY105" s="326"/>
      <c r="DZ105" s="322"/>
      <c r="EA105" s="95" t="str">
        <f>"IV/"&amp;EA$6</f>
        <v>IV/2020</v>
      </c>
      <c r="EB105" s="89"/>
      <c r="EC105" s="323"/>
      <c r="ED105" s="324" t="s">
        <v>55</v>
      </c>
      <c r="EE105" s="325" t="s">
        <v>56</v>
      </c>
      <c r="EF105" s="325"/>
      <c r="EG105" s="325"/>
      <c r="EH105" s="325"/>
      <c r="EI105" s="324" t="s">
        <v>84</v>
      </c>
      <c r="EJ105" s="325"/>
      <c r="EK105" s="326"/>
      <c r="EL105" s="322"/>
      <c r="EM105" s="95" t="str">
        <f>"IV/"&amp;EM$6</f>
        <v>IV/2021</v>
      </c>
      <c r="EN105" s="89"/>
      <c r="EO105" s="323"/>
      <c r="EP105" s="324" t="s">
        <v>55</v>
      </c>
      <c r="EQ105" s="325" t="s">
        <v>56</v>
      </c>
      <c r="ER105" s="325"/>
      <c r="ES105" s="325"/>
      <c r="ET105" s="325"/>
      <c r="EU105" s="324" t="s">
        <v>84</v>
      </c>
      <c r="EV105" s="325"/>
      <c r="EW105" s="326"/>
      <c r="EX105" s="322"/>
      <c r="EY105" s="95" t="str">
        <f>"IV/"&amp;EY$6</f>
        <v>IV/2022</v>
      </c>
      <c r="EZ105" s="89"/>
      <c r="FA105" s="323"/>
      <c r="FB105" s="324" t="s">
        <v>55</v>
      </c>
      <c r="FC105" s="325" t="s">
        <v>56</v>
      </c>
      <c r="FD105" s="325"/>
      <c r="FE105" s="325"/>
      <c r="FF105" s="325"/>
      <c r="FG105" s="324" t="s">
        <v>84</v>
      </c>
      <c r="FH105" s="325"/>
      <c r="FI105" s="326"/>
      <c r="FJ105" s="322"/>
      <c r="FK105" s="95" t="str">
        <f>"IV/"&amp;FK$6</f>
        <v>IV/2023</v>
      </c>
      <c r="FL105" s="89"/>
      <c r="FM105" s="323"/>
      <c r="FN105" s="324" t="s">
        <v>55</v>
      </c>
      <c r="FO105" s="325" t="s">
        <v>56</v>
      </c>
      <c r="FP105" s="325"/>
      <c r="FQ105" s="325"/>
      <c r="FR105" s="325"/>
      <c r="FS105" s="324" t="s">
        <v>84</v>
      </c>
      <c r="FT105" s="325"/>
      <c r="FU105" s="326"/>
      <c r="FV105" s="322"/>
      <c r="FW105" s="95" t="str">
        <f>"IV/"&amp;FW$6</f>
        <v>IV/2024</v>
      </c>
      <c r="FX105" s="89"/>
      <c r="FY105" s="323"/>
      <c r="FZ105" s="324" t="s">
        <v>55</v>
      </c>
      <c r="GA105" s="325" t="s">
        <v>56</v>
      </c>
      <c r="GB105" s="325"/>
      <c r="GC105" s="325"/>
      <c r="GD105" s="325"/>
      <c r="GE105" s="324" t="s">
        <v>84</v>
      </c>
      <c r="GF105" s="325"/>
      <c r="GG105" s="326"/>
      <c r="GH105" s="322"/>
      <c r="GI105" s="95" t="str">
        <f>"IV/"&amp;GI$6</f>
        <v>IV/2025</v>
      </c>
      <c r="GJ105" s="89"/>
      <c r="GK105" s="323"/>
      <c r="GL105" s="324" t="s">
        <v>55</v>
      </c>
      <c r="GM105" s="325" t="s">
        <v>56</v>
      </c>
      <c r="GN105" s="325"/>
      <c r="GO105" s="325"/>
      <c r="GP105" s="325"/>
      <c r="GQ105" s="324" t="s">
        <v>84</v>
      </c>
      <c r="GR105" s="325"/>
      <c r="GS105" s="326"/>
      <c r="GT105" s="322"/>
      <c r="GU105" s="95" t="str">
        <f>"IV/"&amp;GU$6</f>
        <v>IV/2026</v>
      </c>
      <c r="GV105" s="89"/>
      <c r="GW105" s="323"/>
      <c r="GX105" s="324" t="s">
        <v>55</v>
      </c>
      <c r="GY105" s="325" t="s">
        <v>56</v>
      </c>
      <c r="GZ105" s="325"/>
      <c r="HA105" s="325"/>
      <c r="HB105" s="325"/>
      <c r="HC105" s="324" t="s">
        <v>84</v>
      </c>
      <c r="HD105" s="325"/>
      <c r="HE105" s="326"/>
      <c r="HF105" s="322"/>
      <c r="HG105" s="95" t="str">
        <f>"IV/"&amp;HG$6</f>
        <v>IV/2027</v>
      </c>
      <c r="HH105" s="89"/>
      <c r="HI105" s="87"/>
    </row>
    <row r="106" ht="15.0" customHeight="1">
      <c r="A106" s="323"/>
      <c r="B106" s="324" t="s">
        <v>58</v>
      </c>
      <c r="C106" s="325" t="s">
        <v>59</v>
      </c>
      <c r="D106" s="325"/>
      <c r="E106" s="325"/>
      <c r="F106" s="325"/>
      <c r="G106" s="327" t="s">
        <v>82</v>
      </c>
      <c r="H106" s="325"/>
      <c r="I106" s="326"/>
      <c r="J106" s="322"/>
      <c r="K106" s="94"/>
      <c r="L106" s="89"/>
      <c r="M106" s="323"/>
      <c r="N106" s="324" t="s">
        <v>58</v>
      </c>
      <c r="O106" s="325" t="s">
        <v>59</v>
      </c>
      <c r="P106" s="325"/>
      <c r="Q106" s="325"/>
      <c r="R106" s="325"/>
      <c r="S106" s="327" t="s">
        <v>82</v>
      </c>
      <c r="T106" s="325"/>
      <c r="U106" s="326"/>
      <c r="V106" s="322"/>
      <c r="W106" s="94"/>
      <c r="X106" s="89"/>
      <c r="Y106" s="323"/>
      <c r="Z106" s="324" t="s">
        <v>58</v>
      </c>
      <c r="AA106" s="325" t="s">
        <v>59</v>
      </c>
      <c r="AB106" s="325"/>
      <c r="AC106" s="325"/>
      <c r="AD106" s="325"/>
      <c r="AE106" s="327" t="s">
        <v>82</v>
      </c>
      <c r="AF106" s="325"/>
      <c r="AG106" s="326"/>
      <c r="AH106" s="322"/>
      <c r="AI106" s="94"/>
      <c r="AJ106" s="89"/>
      <c r="AK106" s="323"/>
      <c r="AL106" s="324" t="s">
        <v>58</v>
      </c>
      <c r="AM106" s="325" t="s">
        <v>59</v>
      </c>
      <c r="AN106" s="325"/>
      <c r="AO106" s="325"/>
      <c r="AP106" s="325"/>
      <c r="AQ106" s="327" t="s">
        <v>82</v>
      </c>
      <c r="AR106" s="325"/>
      <c r="AS106" s="326"/>
      <c r="AT106" s="322"/>
      <c r="AU106" s="94"/>
      <c r="AV106" s="89"/>
      <c r="AW106" s="323"/>
      <c r="AX106" s="324" t="s">
        <v>58</v>
      </c>
      <c r="AY106" s="325" t="s">
        <v>59</v>
      </c>
      <c r="AZ106" s="325"/>
      <c r="BA106" s="325"/>
      <c r="BB106" s="325"/>
      <c r="BC106" s="327" t="s">
        <v>82</v>
      </c>
      <c r="BD106" s="325"/>
      <c r="BE106" s="326"/>
      <c r="BF106" s="322"/>
      <c r="BG106" s="94"/>
      <c r="BH106" s="89"/>
      <c r="BI106" s="323"/>
      <c r="BJ106" s="324" t="s">
        <v>58</v>
      </c>
      <c r="BK106" s="325" t="s">
        <v>59</v>
      </c>
      <c r="BL106" s="325"/>
      <c r="BM106" s="325"/>
      <c r="BN106" s="325"/>
      <c r="BO106" s="327" t="s">
        <v>82</v>
      </c>
      <c r="BP106" s="325"/>
      <c r="BQ106" s="326"/>
      <c r="BR106" s="322"/>
      <c r="BS106" s="94"/>
      <c r="BT106" s="89"/>
      <c r="BU106" s="323"/>
      <c r="BV106" s="324" t="s">
        <v>58</v>
      </c>
      <c r="BW106" s="325" t="s">
        <v>59</v>
      </c>
      <c r="BX106" s="325"/>
      <c r="BY106" s="325"/>
      <c r="BZ106" s="325"/>
      <c r="CA106" s="327" t="s">
        <v>82</v>
      </c>
      <c r="CB106" s="325"/>
      <c r="CC106" s="326"/>
      <c r="CD106" s="322"/>
      <c r="CE106" s="94"/>
      <c r="CF106" s="89"/>
      <c r="CG106" s="323"/>
      <c r="CH106" s="324" t="s">
        <v>58</v>
      </c>
      <c r="CI106" s="325" t="s">
        <v>59</v>
      </c>
      <c r="CJ106" s="325"/>
      <c r="CK106" s="325"/>
      <c r="CL106" s="325"/>
      <c r="CM106" s="327" t="s">
        <v>82</v>
      </c>
      <c r="CN106" s="325"/>
      <c r="CO106" s="326"/>
      <c r="CP106" s="322"/>
      <c r="CQ106" s="94"/>
      <c r="CR106" s="89"/>
      <c r="CS106" s="323"/>
      <c r="CT106" s="324" t="s">
        <v>58</v>
      </c>
      <c r="CU106" s="325" t="s">
        <v>59</v>
      </c>
      <c r="CV106" s="325"/>
      <c r="CW106" s="325"/>
      <c r="CX106" s="325"/>
      <c r="CY106" s="327" t="s">
        <v>82</v>
      </c>
      <c r="CZ106" s="325"/>
      <c r="DA106" s="326"/>
      <c r="DB106" s="322"/>
      <c r="DC106" s="94"/>
      <c r="DD106" s="89"/>
      <c r="DE106" s="323"/>
      <c r="DF106" s="324" t="s">
        <v>58</v>
      </c>
      <c r="DG106" s="325" t="s">
        <v>59</v>
      </c>
      <c r="DH106" s="325"/>
      <c r="DI106" s="325"/>
      <c r="DJ106" s="325"/>
      <c r="DK106" s="327" t="s">
        <v>82</v>
      </c>
      <c r="DL106" s="325"/>
      <c r="DM106" s="326"/>
      <c r="DN106" s="322"/>
      <c r="DO106" s="94"/>
      <c r="DP106" s="89"/>
      <c r="DQ106" s="323"/>
      <c r="DR106" s="324" t="s">
        <v>58</v>
      </c>
      <c r="DS106" s="325" t="s">
        <v>59</v>
      </c>
      <c r="DT106" s="325"/>
      <c r="DU106" s="325"/>
      <c r="DV106" s="325"/>
      <c r="DW106" s="327" t="s">
        <v>82</v>
      </c>
      <c r="DX106" s="325"/>
      <c r="DY106" s="326"/>
      <c r="DZ106" s="322"/>
      <c r="EA106" s="94"/>
      <c r="EB106" s="89"/>
      <c r="EC106" s="323"/>
      <c r="ED106" s="324" t="s">
        <v>58</v>
      </c>
      <c r="EE106" s="325" t="s">
        <v>59</v>
      </c>
      <c r="EF106" s="325"/>
      <c r="EG106" s="325"/>
      <c r="EH106" s="325"/>
      <c r="EI106" s="327" t="s">
        <v>82</v>
      </c>
      <c r="EJ106" s="325"/>
      <c r="EK106" s="326"/>
      <c r="EL106" s="322"/>
      <c r="EM106" s="94"/>
      <c r="EN106" s="89"/>
      <c r="EO106" s="323"/>
      <c r="EP106" s="324" t="s">
        <v>58</v>
      </c>
      <c r="EQ106" s="325" t="s">
        <v>59</v>
      </c>
      <c r="ER106" s="325"/>
      <c r="ES106" s="325"/>
      <c r="ET106" s="325"/>
      <c r="EU106" s="327" t="s">
        <v>82</v>
      </c>
      <c r="EV106" s="325"/>
      <c r="EW106" s="326"/>
      <c r="EX106" s="322"/>
      <c r="EY106" s="94"/>
      <c r="EZ106" s="89"/>
      <c r="FA106" s="323"/>
      <c r="FB106" s="324" t="s">
        <v>58</v>
      </c>
      <c r="FC106" s="325" t="s">
        <v>59</v>
      </c>
      <c r="FD106" s="325"/>
      <c r="FE106" s="325"/>
      <c r="FF106" s="325"/>
      <c r="FG106" s="327" t="s">
        <v>82</v>
      </c>
      <c r="FH106" s="325"/>
      <c r="FI106" s="326"/>
      <c r="FJ106" s="322"/>
      <c r="FK106" s="94"/>
      <c r="FL106" s="89"/>
      <c r="FM106" s="323"/>
      <c r="FN106" s="324" t="s">
        <v>58</v>
      </c>
      <c r="FO106" s="325" t="s">
        <v>59</v>
      </c>
      <c r="FP106" s="325"/>
      <c r="FQ106" s="325"/>
      <c r="FR106" s="325"/>
      <c r="FS106" s="327" t="s">
        <v>82</v>
      </c>
      <c r="FT106" s="325"/>
      <c r="FU106" s="326"/>
      <c r="FV106" s="322"/>
      <c r="FW106" s="94"/>
      <c r="FX106" s="89"/>
      <c r="FY106" s="323"/>
      <c r="FZ106" s="324" t="s">
        <v>58</v>
      </c>
      <c r="GA106" s="325" t="s">
        <v>59</v>
      </c>
      <c r="GB106" s="325"/>
      <c r="GC106" s="325"/>
      <c r="GD106" s="325"/>
      <c r="GE106" s="327" t="s">
        <v>82</v>
      </c>
      <c r="GF106" s="325"/>
      <c r="GG106" s="326"/>
      <c r="GH106" s="322"/>
      <c r="GI106" s="94"/>
      <c r="GJ106" s="89"/>
      <c r="GK106" s="323"/>
      <c r="GL106" s="324" t="s">
        <v>58</v>
      </c>
      <c r="GM106" s="325" t="s">
        <v>59</v>
      </c>
      <c r="GN106" s="325"/>
      <c r="GO106" s="325"/>
      <c r="GP106" s="325"/>
      <c r="GQ106" s="327" t="s">
        <v>82</v>
      </c>
      <c r="GR106" s="325"/>
      <c r="GS106" s="326"/>
      <c r="GT106" s="322"/>
      <c r="GU106" s="94"/>
      <c r="GV106" s="89"/>
      <c r="GW106" s="323"/>
      <c r="GX106" s="324" t="s">
        <v>58</v>
      </c>
      <c r="GY106" s="325" t="s">
        <v>59</v>
      </c>
      <c r="GZ106" s="325"/>
      <c r="HA106" s="325"/>
      <c r="HB106" s="325"/>
      <c r="HC106" s="327" t="s">
        <v>82</v>
      </c>
      <c r="HD106" s="325"/>
      <c r="HE106" s="326"/>
      <c r="HF106" s="322"/>
      <c r="HG106" s="94"/>
      <c r="HH106" s="89"/>
      <c r="HI106" s="87"/>
    </row>
    <row r="107" ht="15.75" customHeight="1">
      <c r="A107" s="328"/>
      <c r="B107" s="329" t="s">
        <v>60</v>
      </c>
      <c r="C107" s="330" t="s">
        <v>85</v>
      </c>
      <c r="D107" s="330"/>
      <c r="E107" s="330"/>
      <c r="F107" s="330"/>
      <c r="G107" s="330" t="str">
        <f>"Tahun "&amp;K$6</f>
        <v>Tahun 2010</v>
      </c>
      <c r="H107" s="330"/>
      <c r="I107" s="331"/>
      <c r="J107" s="322"/>
      <c r="K107" s="87"/>
      <c r="L107" s="89"/>
      <c r="M107" s="328"/>
      <c r="N107" s="329" t="s">
        <v>60</v>
      </c>
      <c r="O107" s="330" t="s">
        <v>85</v>
      </c>
      <c r="P107" s="330"/>
      <c r="Q107" s="330"/>
      <c r="R107" s="330"/>
      <c r="S107" s="330" t="str">
        <f>"Tahun "&amp;W$6</f>
        <v>Tahun 2011</v>
      </c>
      <c r="T107" s="330"/>
      <c r="U107" s="331"/>
      <c r="V107" s="322"/>
      <c r="W107" s="87"/>
      <c r="X107" s="89"/>
      <c r="Y107" s="328"/>
      <c r="Z107" s="329" t="s">
        <v>60</v>
      </c>
      <c r="AA107" s="330" t="s">
        <v>85</v>
      </c>
      <c r="AB107" s="330"/>
      <c r="AC107" s="330"/>
      <c r="AD107" s="330"/>
      <c r="AE107" s="330" t="str">
        <f>"Tahun "&amp;AI$6</f>
        <v>Tahun 2012</v>
      </c>
      <c r="AF107" s="330"/>
      <c r="AG107" s="331"/>
      <c r="AH107" s="322"/>
      <c r="AI107" s="87"/>
      <c r="AJ107" s="89"/>
      <c r="AK107" s="328"/>
      <c r="AL107" s="329" t="s">
        <v>60</v>
      </c>
      <c r="AM107" s="330" t="s">
        <v>85</v>
      </c>
      <c r="AN107" s="330"/>
      <c r="AO107" s="330"/>
      <c r="AP107" s="330"/>
      <c r="AQ107" s="330" t="str">
        <f>"Tahun "&amp;AU$6</f>
        <v>Tahun 2013</v>
      </c>
      <c r="AR107" s="330"/>
      <c r="AS107" s="331"/>
      <c r="AT107" s="322"/>
      <c r="AU107" s="87"/>
      <c r="AV107" s="89"/>
      <c r="AW107" s="328"/>
      <c r="AX107" s="329" t="s">
        <v>60</v>
      </c>
      <c r="AY107" s="330" t="s">
        <v>85</v>
      </c>
      <c r="AZ107" s="330"/>
      <c r="BA107" s="330"/>
      <c r="BB107" s="330"/>
      <c r="BC107" s="330" t="str">
        <f>"Tahun "&amp;BG$6</f>
        <v>Tahun 2014</v>
      </c>
      <c r="BD107" s="330"/>
      <c r="BE107" s="331"/>
      <c r="BF107" s="322"/>
      <c r="BG107" s="87"/>
      <c r="BH107" s="89"/>
      <c r="BI107" s="328"/>
      <c r="BJ107" s="329" t="s">
        <v>60</v>
      </c>
      <c r="BK107" s="330" t="s">
        <v>85</v>
      </c>
      <c r="BL107" s="330"/>
      <c r="BM107" s="330"/>
      <c r="BN107" s="330"/>
      <c r="BO107" s="330" t="str">
        <f>"Tahun "&amp;BS$6</f>
        <v>Tahun 2015</v>
      </c>
      <c r="BP107" s="330"/>
      <c r="BQ107" s="331"/>
      <c r="BR107" s="322"/>
      <c r="BS107" s="87"/>
      <c r="BT107" s="89"/>
      <c r="BU107" s="328"/>
      <c r="BV107" s="329" t="s">
        <v>60</v>
      </c>
      <c r="BW107" s="330" t="s">
        <v>85</v>
      </c>
      <c r="BX107" s="330"/>
      <c r="BY107" s="330"/>
      <c r="BZ107" s="330"/>
      <c r="CA107" s="330" t="str">
        <f>"Tahun "&amp;CE$6</f>
        <v>Tahun 2016</v>
      </c>
      <c r="CB107" s="330"/>
      <c r="CC107" s="331"/>
      <c r="CD107" s="322"/>
      <c r="CE107" s="87"/>
      <c r="CF107" s="89"/>
      <c r="CG107" s="328"/>
      <c r="CH107" s="329" t="s">
        <v>60</v>
      </c>
      <c r="CI107" s="330" t="s">
        <v>85</v>
      </c>
      <c r="CJ107" s="330"/>
      <c r="CK107" s="330"/>
      <c r="CL107" s="330"/>
      <c r="CM107" s="330" t="str">
        <f>"Tahun "&amp;CQ$6</f>
        <v>Tahun 2017</v>
      </c>
      <c r="CN107" s="330"/>
      <c r="CO107" s="331"/>
      <c r="CP107" s="322"/>
      <c r="CQ107" s="87"/>
      <c r="CR107" s="89"/>
      <c r="CS107" s="328"/>
      <c r="CT107" s="329" t="s">
        <v>60</v>
      </c>
      <c r="CU107" s="330" t="s">
        <v>85</v>
      </c>
      <c r="CV107" s="330"/>
      <c r="CW107" s="330"/>
      <c r="CX107" s="330"/>
      <c r="CY107" s="330" t="str">
        <f>"Tahun "&amp;DC$6</f>
        <v>Tahun 2018</v>
      </c>
      <c r="CZ107" s="330"/>
      <c r="DA107" s="331"/>
      <c r="DB107" s="322"/>
      <c r="DC107" s="87"/>
      <c r="DD107" s="89"/>
      <c r="DE107" s="328"/>
      <c r="DF107" s="329" t="s">
        <v>60</v>
      </c>
      <c r="DG107" s="330" t="s">
        <v>85</v>
      </c>
      <c r="DH107" s="330"/>
      <c r="DI107" s="330"/>
      <c r="DJ107" s="330"/>
      <c r="DK107" s="330" t="str">
        <f>"Tahun "&amp;DO$6</f>
        <v>Tahun 2019</v>
      </c>
      <c r="DL107" s="330"/>
      <c r="DM107" s="331"/>
      <c r="DN107" s="322"/>
      <c r="DO107" s="87"/>
      <c r="DP107" s="89"/>
      <c r="DQ107" s="328"/>
      <c r="DR107" s="329" t="s">
        <v>60</v>
      </c>
      <c r="DS107" s="330" t="s">
        <v>85</v>
      </c>
      <c r="DT107" s="330"/>
      <c r="DU107" s="330"/>
      <c r="DV107" s="330"/>
      <c r="DW107" s="330" t="str">
        <f>"Tahun "&amp;EA$6</f>
        <v>Tahun 2020</v>
      </c>
      <c r="DX107" s="330"/>
      <c r="DY107" s="331"/>
      <c r="DZ107" s="322"/>
      <c r="EA107" s="87"/>
      <c r="EB107" s="89"/>
      <c r="EC107" s="328"/>
      <c r="ED107" s="329" t="s">
        <v>60</v>
      </c>
      <c r="EE107" s="330" t="s">
        <v>85</v>
      </c>
      <c r="EF107" s="330"/>
      <c r="EG107" s="330"/>
      <c r="EH107" s="330"/>
      <c r="EI107" s="330" t="str">
        <f>"Tahun "&amp;EM$6</f>
        <v>Tahun 2021</v>
      </c>
      <c r="EJ107" s="330"/>
      <c r="EK107" s="331"/>
      <c r="EL107" s="322"/>
      <c r="EM107" s="87"/>
      <c r="EN107" s="89"/>
      <c r="EO107" s="328"/>
      <c r="EP107" s="329" t="s">
        <v>60</v>
      </c>
      <c r="EQ107" s="330" t="s">
        <v>85</v>
      </c>
      <c r="ER107" s="330"/>
      <c r="ES107" s="330"/>
      <c r="ET107" s="330"/>
      <c r="EU107" s="330" t="str">
        <f>"Tahun "&amp;EY$6</f>
        <v>Tahun 2022</v>
      </c>
      <c r="EV107" s="330"/>
      <c r="EW107" s="331"/>
      <c r="EX107" s="322"/>
      <c r="EY107" s="87"/>
      <c r="EZ107" s="89"/>
      <c r="FA107" s="328"/>
      <c r="FB107" s="329" t="s">
        <v>60</v>
      </c>
      <c r="FC107" s="330" t="s">
        <v>85</v>
      </c>
      <c r="FD107" s="330"/>
      <c r="FE107" s="330"/>
      <c r="FF107" s="330"/>
      <c r="FG107" s="330" t="str">
        <f>"Tahun "&amp;FK$6</f>
        <v>Tahun 2023</v>
      </c>
      <c r="FH107" s="330"/>
      <c r="FI107" s="331"/>
      <c r="FJ107" s="322"/>
      <c r="FK107" s="87"/>
      <c r="FL107" s="89"/>
      <c r="FM107" s="328"/>
      <c r="FN107" s="329" t="s">
        <v>60</v>
      </c>
      <c r="FO107" s="330" t="s">
        <v>85</v>
      </c>
      <c r="FP107" s="330"/>
      <c r="FQ107" s="330"/>
      <c r="FR107" s="330"/>
      <c r="FS107" s="330" t="str">
        <f>"Tahun "&amp;FW$6</f>
        <v>Tahun 2024</v>
      </c>
      <c r="FT107" s="330"/>
      <c r="FU107" s="331"/>
      <c r="FV107" s="322"/>
      <c r="FW107" s="87"/>
      <c r="FX107" s="89"/>
      <c r="FY107" s="328"/>
      <c r="FZ107" s="329" t="s">
        <v>60</v>
      </c>
      <c r="GA107" s="330" t="s">
        <v>85</v>
      </c>
      <c r="GB107" s="330"/>
      <c r="GC107" s="330"/>
      <c r="GD107" s="330"/>
      <c r="GE107" s="330" t="str">
        <f>"Tahun "&amp;GI$6</f>
        <v>Tahun 2025</v>
      </c>
      <c r="GF107" s="330"/>
      <c r="GG107" s="331"/>
      <c r="GH107" s="322"/>
      <c r="GI107" s="87"/>
      <c r="GJ107" s="89"/>
      <c r="GK107" s="328"/>
      <c r="GL107" s="329" t="s">
        <v>60</v>
      </c>
      <c r="GM107" s="330" t="s">
        <v>85</v>
      </c>
      <c r="GN107" s="330"/>
      <c r="GO107" s="330"/>
      <c r="GP107" s="330"/>
      <c r="GQ107" s="330" t="str">
        <f>"Tahun "&amp;GU$6</f>
        <v>Tahun 2026</v>
      </c>
      <c r="GR107" s="330"/>
      <c r="GS107" s="331"/>
      <c r="GT107" s="322"/>
      <c r="GU107" s="87"/>
      <c r="GV107" s="89"/>
      <c r="GW107" s="328"/>
      <c r="GX107" s="329" t="s">
        <v>60</v>
      </c>
      <c r="GY107" s="330" t="s">
        <v>85</v>
      </c>
      <c r="GZ107" s="330"/>
      <c r="HA107" s="330"/>
      <c r="HB107" s="330"/>
      <c r="HC107" s="330" t="str">
        <f>"Tahun "&amp;HG$6</f>
        <v>Tahun 2027</v>
      </c>
      <c r="HD107" s="330"/>
      <c r="HE107" s="331"/>
      <c r="HF107" s="322"/>
      <c r="HG107" s="87"/>
      <c r="HH107" s="89"/>
      <c r="HI107" s="87"/>
    </row>
    <row r="108" ht="15.75" customHeight="1">
      <c r="A108" s="332"/>
      <c r="B108" s="333"/>
      <c r="C108" s="333"/>
      <c r="D108" s="333"/>
      <c r="E108" s="333"/>
      <c r="F108" s="333"/>
      <c r="G108" s="333"/>
      <c r="H108" s="333"/>
      <c r="I108" s="333"/>
      <c r="J108" s="333"/>
      <c r="K108" s="75"/>
      <c r="L108" s="81"/>
      <c r="M108" s="332"/>
      <c r="N108" s="333"/>
      <c r="O108" s="333"/>
      <c r="P108" s="333"/>
      <c r="Q108" s="333"/>
      <c r="R108" s="333"/>
      <c r="S108" s="333"/>
      <c r="T108" s="333"/>
      <c r="U108" s="333"/>
      <c r="V108" s="333"/>
      <c r="W108" s="75"/>
      <c r="X108" s="81"/>
      <c r="Y108" s="332"/>
      <c r="Z108" s="333"/>
      <c r="AA108" s="333"/>
      <c r="AB108" s="333"/>
      <c r="AC108" s="333"/>
      <c r="AD108" s="333"/>
      <c r="AE108" s="333"/>
      <c r="AF108" s="333"/>
      <c r="AG108" s="333"/>
      <c r="AH108" s="333"/>
      <c r="AI108" s="75"/>
      <c r="AJ108" s="81"/>
      <c r="AK108" s="332"/>
      <c r="AL108" s="333"/>
      <c r="AM108" s="333"/>
      <c r="AN108" s="333"/>
      <c r="AO108" s="333"/>
      <c r="AP108" s="333"/>
      <c r="AQ108" s="333"/>
      <c r="AR108" s="333"/>
      <c r="AS108" s="333"/>
      <c r="AT108" s="333"/>
      <c r="AU108" s="75"/>
      <c r="AV108" s="81"/>
      <c r="AW108" s="332"/>
      <c r="AX108" s="333"/>
      <c r="AY108" s="333"/>
      <c r="AZ108" s="333"/>
      <c r="BA108" s="333"/>
      <c r="BB108" s="333"/>
      <c r="BC108" s="333"/>
      <c r="BD108" s="333"/>
      <c r="BE108" s="333"/>
      <c r="BF108" s="333"/>
      <c r="BG108" s="75"/>
      <c r="BH108" s="81"/>
      <c r="BI108" s="332"/>
      <c r="BJ108" s="333"/>
      <c r="BK108" s="333"/>
      <c r="BL108" s="333"/>
      <c r="BM108" s="333"/>
      <c r="BN108" s="333"/>
      <c r="BO108" s="333"/>
      <c r="BP108" s="333"/>
      <c r="BQ108" s="333"/>
      <c r="BR108" s="333"/>
      <c r="BS108" s="75"/>
      <c r="BT108" s="81"/>
      <c r="BU108" s="332"/>
      <c r="BV108" s="333"/>
      <c r="BW108" s="333"/>
      <c r="BX108" s="333"/>
      <c r="BY108" s="333"/>
      <c r="BZ108" s="333"/>
      <c r="CA108" s="333"/>
      <c r="CB108" s="333"/>
      <c r="CC108" s="333"/>
      <c r="CD108" s="333"/>
      <c r="CE108" s="75"/>
      <c r="CF108" s="81"/>
      <c r="CG108" s="332"/>
      <c r="CH108" s="333"/>
      <c r="CI108" s="333"/>
      <c r="CJ108" s="333"/>
      <c r="CK108" s="333"/>
      <c r="CL108" s="333"/>
      <c r="CM108" s="333"/>
      <c r="CN108" s="333"/>
      <c r="CO108" s="333"/>
      <c r="CP108" s="333"/>
      <c r="CQ108" s="75"/>
      <c r="CR108" s="81"/>
      <c r="CS108" s="332"/>
      <c r="CT108" s="333"/>
      <c r="CU108" s="333"/>
      <c r="CV108" s="333"/>
      <c r="CW108" s="333"/>
      <c r="CX108" s="333"/>
      <c r="CY108" s="333"/>
      <c r="CZ108" s="333"/>
      <c r="DA108" s="333"/>
      <c r="DB108" s="333"/>
      <c r="DC108" s="75"/>
      <c r="DD108" s="81"/>
      <c r="DE108" s="332"/>
      <c r="DF108" s="333"/>
      <c r="DG108" s="333"/>
      <c r="DH108" s="333"/>
      <c r="DI108" s="333"/>
      <c r="DJ108" s="333"/>
      <c r="DK108" s="333"/>
      <c r="DL108" s="333"/>
      <c r="DM108" s="333"/>
      <c r="DN108" s="333"/>
      <c r="DO108" s="75"/>
      <c r="DP108" s="81"/>
      <c r="DQ108" s="332"/>
      <c r="DR108" s="333"/>
      <c r="DS108" s="333"/>
      <c r="DT108" s="333"/>
      <c r="DU108" s="333"/>
      <c r="DV108" s="333"/>
      <c r="DW108" s="333"/>
      <c r="DX108" s="333"/>
      <c r="DY108" s="333"/>
      <c r="DZ108" s="333"/>
      <c r="EA108" s="75"/>
      <c r="EB108" s="81"/>
      <c r="EC108" s="332"/>
      <c r="ED108" s="333"/>
      <c r="EE108" s="333"/>
      <c r="EF108" s="333"/>
      <c r="EG108" s="333"/>
      <c r="EH108" s="333"/>
      <c r="EI108" s="333"/>
      <c r="EJ108" s="333"/>
      <c r="EK108" s="333"/>
      <c r="EL108" s="333"/>
      <c r="EM108" s="75"/>
      <c r="EN108" s="81"/>
      <c r="EO108" s="332"/>
      <c r="EP108" s="333"/>
      <c r="EQ108" s="333"/>
      <c r="ER108" s="333"/>
      <c r="ES108" s="333"/>
      <c r="ET108" s="333"/>
      <c r="EU108" s="333"/>
      <c r="EV108" s="333"/>
      <c r="EW108" s="333"/>
      <c r="EX108" s="333"/>
      <c r="EY108" s="75"/>
      <c r="EZ108" s="81"/>
      <c r="FA108" s="332"/>
      <c r="FB108" s="333"/>
      <c r="FC108" s="333"/>
      <c r="FD108" s="333"/>
      <c r="FE108" s="333"/>
      <c r="FF108" s="333"/>
      <c r="FG108" s="333"/>
      <c r="FH108" s="333"/>
      <c r="FI108" s="333"/>
      <c r="FJ108" s="333"/>
      <c r="FK108" s="75"/>
      <c r="FL108" s="81"/>
      <c r="FM108" s="332"/>
      <c r="FN108" s="333"/>
      <c r="FO108" s="333"/>
      <c r="FP108" s="333"/>
      <c r="FQ108" s="333"/>
      <c r="FR108" s="333"/>
      <c r="FS108" s="333"/>
      <c r="FT108" s="333"/>
      <c r="FU108" s="333"/>
      <c r="FV108" s="333"/>
      <c r="FW108" s="75"/>
      <c r="FX108" s="81"/>
      <c r="FY108" s="332"/>
      <c r="FZ108" s="333"/>
      <c r="GA108" s="333"/>
      <c r="GB108" s="333"/>
      <c r="GC108" s="333"/>
      <c r="GD108" s="333"/>
      <c r="GE108" s="333"/>
      <c r="GF108" s="333"/>
      <c r="GG108" s="333"/>
      <c r="GH108" s="333"/>
      <c r="GI108" s="75"/>
      <c r="GJ108" s="81"/>
      <c r="GK108" s="332"/>
      <c r="GL108" s="333"/>
      <c r="GM108" s="333"/>
      <c r="GN108" s="333"/>
      <c r="GO108" s="333"/>
      <c r="GP108" s="333"/>
      <c r="GQ108" s="333"/>
      <c r="GR108" s="333"/>
      <c r="GS108" s="333"/>
      <c r="GT108" s="333"/>
      <c r="GU108" s="75"/>
      <c r="GV108" s="81"/>
      <c r="GW108" s="332"/>
      <c r="GX108" s="333"/>
      <c r="GY108" s="333"/>
      <c r="GZ108" s="333"/>
      <c r="HA108" s="333"/>
      <c r="HB108" s="333"/>
      <c r="HC108" s="333"/>
      <c r="HD108" s="333"/>
      <c r="HE108" s="333"/>
      <c r="HF108" s="333"/>
      <c r="HG108" s="75"/>
      <c r="HH108" s="81"/>
      <c r="HI108" s="75"/>
    </row>
    <row r="109" ht="33.75" customHeight="1">
      <c r="A109" s="334" t="s">
        <v>62</v>
      </c>
      <c r="B109" s="335" t="s">
        <v>63</v>
      </c>
      <c r="C109" s="335" t="s">
        <v>86</v>
      </c>
      <c r="D109" s="335" t="s">
        <v>65</v>
      </c>
      <c r="E109" s="335" t="s">
        <v>66</v>
      </c>
      <c r="F109" s="336" t="s">
        <v>67</v>
      </c>
      <c r="G109" s="104"/>
      <c r="H109" s="337" t="s">
        <v>68</v>
      </c>
      <c r="I109" s="338"/>
      <c r="J109" s="338"/>
      <c r="K109" s="278"/>
      <c r="L109" s="107"/>
      <c r="M109" s="334" t="s">
        <v>62</v>
      </c>
      <c r="N109" s="335" t="s">
        <v>63</v>
      </c>
      <c r="O109" s="335" t="s">
        <v>86</v>
      </c>
      <c r="P109" s="335" t="s">
        <v>65</v>
      </c>
      <c r="Q109" s="335" t="s">
        <v>66</v>
      </c>
      <c r="R109" s="336" t="s">
        <v>67</v>
      </c>
      <c r="S109" s="104"/>
      <c r="T109" s="337" t="s">
        <v>68</v>
      </c>
      <c r="U109" s="338"/>
      <c r="V109" s="338"/>
      <c r="W109" s="278"/>
      <c r="X109" s="107"/>
      <c r="Y109" s="334" t="s">
        <v>62</v>
      </c>
      <c r="Z109" s="335" t="s">
        <v>63</v>
      </c>
      <c r="AA109" s="335" t="s">
        <v>86</v>
      </c>
      <c r="AB109" s="335" t="s">
        <v>65</v>
      </c>
      <c r="AC109" s="335" t="s">
        <v>66</v>
      </c>
      <c r="AD109" s="336" t="s">
        <v>67</v>
      </c>
      <c r="AE109" s="104"/>
      <c r="AF109" s="337" t="s">
        <v>68</v>
      </c>
      <c r="AG109" s="338"/>
      <c r="AH109" s="338"/>
      <c r="AI109" s="278"/>
      <c r="AJ109" s="107"/>
      <c r="AK109" s="334" t="s">
        <v>62</v>
      </c>
      <c r="AL109" s="335" t="s">
        <v>63</v>
      </c>
      <c r="AM109" s="335" t="s">
        <v>86</v>
      </c>
      <c r="AN109" s="335" t="s">
        <v>65</v>
      </c>
      <c r="AO109" s="335" t="s">
        <v>66</v>
      </c>
      <c r="AP109" s="336" t="s">
        <v>67</v>
      </c>
      <c r="AQ109" s="104"/>
      <c r="AR109" s="337" t="s">
        <v>68</v>
      </c>
      <c r="AS109" s="338"/>
      <c r="AT109" s="338"/>
      <c r="AU109" s="278"/>
      <c r="AV109" s="107"/>
      <c r="AW109" s="334" t="s">
        <v>62</v>
      </c>
      <c r="AX109" s="335" t="s">
        <v>63</v>
      </c>
      <c r="AY109" s="335" t="s">
        <v>86</v>
      </c>
      <c r="AZ109" s="335" t="s">
        <v>65</v>
      </c>
      <c r="BA109" s="335" t="s">
        <v>66</v>
      </c>
      <c r="BB109" s="336" t="s">
        <v>67</v>
      </c>
      <c r="BC109" s="104"/>
      <c r="BD109" s="337" t="s">
        <v>68</v>
      </c>
      <c r="BE109" s="338"/>
      <c r="BF109" s="338"/>
      <c r="BG109" s="278"/>
      <c r="BH109" s="107"/>
      <c r="BI109" s="334" t="s">
        <v>62</v>
      </c>
      <c r="BJ109" s="335" t="s">
        <v>63</v>
      </c>
      <c r="BK109" s="335" t="s">
        <v>86</v>
      </c>
      <c r="BL109" s="335" t="s">
        <v>65</v>
      </c>
      <c r="BM109" s="335" t="s">
        <v>66</v>
      </c>
      <c r="BN109" s="336" t="s">
        <v>67</v>
      </c>
      <c r="BO109" s="104"/>
      <c r="BP109" s="337" t="s">
        <v>68</v>
      </c>
      <c r="BQ109" s="338"/>
      <c r="BR109" s="338"/>
      <c r="BS109" s="278"/>
      <c r="BT109" s="107"/>
      <c r="BU109" s="334" t="s">
        <v>62</v>
      </c>
      <c r="BV109" s="335" t="s">
        <v>63</v>
      </c>
      <c r="BW109" s="335" t="s">
        <v>86</v>
      </c>
      <c r="BX109" s="335" t="s">
        <v>65</v>
      </c>
      <c r="BY109" s="335" t="s">
        <v>66</v>
      </c>
      <c r="BZ109" s="336" t="s">
        <v>67</v>
      </c>
      <c r="CA109" s="104"/>
      <c r="CB109" s="337" t="s">
        <v>68</v>
      </c>
      <c r="CC109" s="338"/>
      <c r="CD109" s="338"/>
      <c r="CE109" s="278"/>
      <c r="CF109" s="107"/>
      <c r="CG109" s="334" t="s">
        <v>62</v>
      </c>
      <c r="CH109" s="335" t="s">
        <v>63</v>
      </c>
      <c r="CI109" s="335" t="s">
        <v>86</v>
      </c>
      <c r="CJ109" s="335" t="s">
        <v>65</v>
      </c>
      <c r="CK109" s="335" t="s">
        <v>66</v>
      </c>
      <c r="CL109" s="336" t="s">
        <v>67</v>
      </c>
      <c r="CM109" s="104"/>
      <c r="CN109" s="337" t="s">
        <v>68</v>
      </c>
      <c r="CO109" s="338"/>
      <c r="CP109" s="338"/>
      <c r="CQ109" s="278"/>
      <c r="CR109" s="107"/>
      <c r="CS109" s="334" t="s">
        <v>62</v>
      </c>
      <c r="CT109" s="335" t="s">
        <v>63</v>
      </c>
      <c r="CU109" s="335" t="s">
        <v>86</v>
      </c>
      <c r="CV109" s="335" t="s">
        <v>65</v>
      </c>
      <c r="CW109" s="335" t="s">
        <v>66</v>
      </c>
      <c r="CX109" s="336" t="s">
        <v>67</v>
      </c>
      <c r="CY109" s="104"/>
      <c r="CZ109" s="337" t="s">
        <v>68</v>
      </c>
      <c r="DA109" s="338"/>
      <c r="DB109" s="338"/>
      <c r="DC109" s="278"/>
      <c r="DD109" s="107"/>
      <c r="DE109" s="334" t="s">
        <v>62</v>
      </c>
      <c r="DF109" s="335" t="s">
        <v>63</v>
      </c>
      <c r="DG109" s="335" t="s">
        <v>86</v>
      </c>
      <c r="DH109" s="335" t="s">
        <v>65</v>
      </c>
      <c r="DI109" s="335" t="s">
        <v>66</v>
      </c>
      <c r="DJ109" s="336" t="s">
        <v>67</v>
      </c>
      <c r="DK109" s="104"/>
      <c r="DL109" s="337" t="s">
        <v>68</v>
      </c>
      <c r="DM109" s="338"/>
      <c r="DN109" s="338"/>
      <c r="DO109" s="278"/>
      <c r="DP109" s="107"/>
      <c r="DQ109" s="334" t="s">
        <v>62</v>
      </c>
      <c r="DR109" s="335" t="s">
        <v>63</v>
      </c>
      <c r="DS109" s="335" t="s">
        <v>86</v>
      </c>
      <c r="DT109" s="335" t="s">
        <v>65</v>
      </c>
      <c r="DU109" s="335" t="s">
        <v>66</v>
      </c>
      <c r="DV109" s="336" t="s">
        <v>67</v>
      </c>
      <c r="DW109" s="104"/>
      <c r="DX109" s="337" t="s">
        <v>68</v>
      </c>
      <c r="DY109" s="338"/>
      <c r="DZ109" s="338"/>
      <c r="EA109" s="278"/>
      <c r="EB109" s="107"/>
      <c r="EC109" s="334" t="s">
        <v>62</v>
      </c>
      <c r="ED109" s="335" t="s">
        <v>63</v>
      </c>
      <c r="EE109" s="335" t="s">
        <v>86</v>
      </c>
      <c r="EF109" s="335" t="s">
        <v>65</v>
      </c>
      <c r="EG109" s="335" t="s">
        <v>66</v>
      </c>
      <c r="EH109" s="336" t="s">
        <v>67</v>
      </c>
      <c r="EI109" s="104"/>
      <c r="EJ109" s="337" t="s">
        <v>68</v>
      </c>
      <c r="EK109" s="338"/>
      <c r="EL109" s="338"/>
      <c r="EM109" s="278"/>
      <c r="EN109" s="107"/>
      <c r="EO109" s="334" t="s">
        <v>62</v>
      </c>
      <c r="EP109" s="335" t="s">
        <v>63</v>
      </c>
      <c r="EQ109" s="335" t="s">
        <v>86</v>
      </c>
      <c r="ER109" s="335" t="s">
        <v>65</v>
      </c>
      <c r="ES109" s="335" t="s">
        <v>66</v>
      </c>
      <c r="ET109" s="336" t="s">
        <v>67</v>
      </c>
      <c r="EU109" s="104"/>
      <c r="EV109" s="337" t="s">
        <v>68</v>
      </c>
      <c r="EW109" s="338"/>
      <c r="EX109" s="338"/>
      <c r="EY109" s="278"/>
      <c r="EZ109" s="107"/>
      <c r="FA109" s="334" t="s">
        <v>62</v>
      </c>
      <c r="FB109" s="335" t="s">
        <v>63</v>
      </c>
      <c r="FC109" s="335" t="s">
        <v>86</v>
      </c>
      <c r="FD109" s="335" t="s">
        <v>65</v>
      </c>
      <c r="FE109" s="335" t="s">
        <v>66</v>
      </c>
      <c r="FF109" s="336" t="s">
        <v>67</v>
      </c>
      <c r="FG109" s="104"/>
      <c r="FH109" s="337" t="s">
        <v>68</v>
      </c>
      <c r="FI109" s="338"/>
      <c r="FJ109" s="338"/>
      <c r="FK109" s="278"/>
      <c r="FL109" s="107"/>
      <c r="FM109" s="334" t="s">
        <v>62</v>
      </c>
      <c r="FN109" s="335" t="s">
        <v>63</v>
      </c>
      <c r="FO109" s="335" t="s">
        <v>86</v>
      </c>
      <c r="FP109" s="335" t="s">
        <v>65</v>
      </c>
      <c r="FQ109" s="335" t="s">
        <v>66</v>
      </c>
      <c r="FR109" s="336" t="s">
        <v>67</v>
      </c>
      <c r="FS109" s="104"/>
      <c r="FT109" s="337" t="s">
        <v>68</v>
      </c>
      <c r="FU109" s="338"/>
      <c r="FV109" s="338"/>
      <c r="FW109" s="278"/>
      <c r="FX109" s="107"/>
      <c r="FY109" s="334" t="s">
        <v>62</v>
      </c>
      <c r="FZ109" s="335" t="s">
        <v>63</v>
      </c>
      <c r="GA109" s="335" t="s">
        <v>86</v>
      </c>
      <c r="GB109" s="335" t="s">
        <v>65</v>
      </c>
      <c r="GC109" s="335" t="s">
        <v>66</v>
      </c>
      <c r="GD109" s="336" t="s">
        <v>67</v>
      </c>
      <c r="GE109" s="104"/>
      <c r="GF109" s="337" t="s">
        <v>68</v>
      </c>
      <c r="GG109" s="338"/>
      <c r="GH109" s="338"/>
      <c r="GI109" s="278"/>
      <c r="GJ109" s="107"/>
      <c r="GK109" s="334" t="s">
        <v>62</v>
      </c>
      <c r="GL109" s="335" t="s">
        <v>63</v>
      </c>
      <c r="GM109" s="335" t="s">
        <v>86</v>
      </c>
      <c r="GN109" s="335" t="s">
        <v>65</v>
      </c>
      <c r="GO109" s="335" t="s">
        <v>66</v>
      </c>
      <c r="GP109" s="336" t="s">
        <v>67</v>
      </c>
      <c r="GQ109" s="104"/>
      <c r="GR109" s="337" t="s">
        <v>68</v>
      </c>
      <c r="GS109" s="338"/>
      <c r="GT109" s="338"/>
      <c r="GU109" s="278"/>
      <c r="GV109" s="107"/>
      <c r="GW109" s="334" t="s">
        <v>62</v>
      </c>
      <c r="GX109" s="335" t="s">
        <v>63</v>
      </c>
      <c r="GY109" s="335" t="s">
        <v>86</v>
      </c>
      <c r="GZ109" s="335" t="s">
        <v>65</v>
      </c>
      <c r="HA109" s="335" t="s">
        <v>66</v>
      </c>
      <c r="HB109" s="336" t="s">
        <v>67</v>
      </c>
      <c r="HC109" s="104"/>
      <c r="HD109" s="337" t="s">
        <v>68</v>
      </c>
      <c r="HE109" s="338"/>
      <c r="HF109" s="338"/>
      <c r="HG109" s="278"/>
      <c r="HH109" s="107"/>
      <c r="HI109" s="106"/>
    </row>
    <row r="110" ht="66.0" customHeight="1">
      <c r="A110" s="108"/>
      <c r="B110" s="94"/>
      <c r="C110" s="94"/>
      <c r="D110" s="94"/>
      <c r="E110" s="94"/>
      <c r="F110" s="339" t="s">
        <v>69</v>
      </c>
      <c r="G110" s="339" t="s">
        <v>70</v>
      </c>
      <c r="H110" s="110"/>
      <c r="I110" s="338"/>
      <c r="J110" s="338"/>
      <c r="K110" s="278"/>
      <c r="L110" s="107"/>
      <c r="M110" s="108"/>
      <c r="N110" s="94"/>
      <c r="O110" s="94"/>
      <c r="P110" s="94"/>
      <c r="Q110" s="94"/>
      <c r="R110" s="339" t="s">
        <v>69</v>
      </c>
      <c r="S110" s="339" t="s">
        <v>70</v>
      </c>
      <c r="T110" s="110"/>
      <c r="U110" s="338"/>
      <c r="V110" s="338"/>
      <c r="W110" s="278"/>
      <c r="X110" s="107"/>
      <c r="Y110" s="108"/>
      <c r="Z110" s="94"/>
      <c r="AA110" s="94"/>
      <c r="AB110" s="94"/>
      <c r="AC110" s="94"/>
      <c r="AD110" s="339" t="s">
        <v>69</v>
      </c>
      <c r="AE110" s="339" t="s">
        <v>70</v>
      </c>
      <c r="AF110" s="110"/>
      <c r="AG110" s="338"/>
      <c r="AH110" s="338"/>
      <c r="AI110" s="278"/>
      <c r="AJ110" s="107"/>
      <c r="AK110" s="108"/>
      <c r="AL110" s="94"/>
      <c r="AM110" s="94"/>
      <c r="AN110" s="94"/>
      <c r="AO110" s="94"/>
      <c r="AP110" s="339" t="s">
        <v>69</v>
      </c>
      <c r="AQ110" s="339" t="s">
        <v>70</v>
      </c>
      <c r="AR110" s="110"/>
      <c r="AS110" s="338"/>
      <c r="AT110" s="338"/>
      <c r="AU110" s="278"/>
      <c r="AV110" s="107"/>
      <c r="AW110" s="108"/>
      <c r="AX110" s="94"/>
      <c r="AY110" s="94"/>
      <c r="AZ110" s="94"/>
      <c r="BA110" s="94"/>
      <c r="BB110" s="339" t="s">
        <v>69</v>
      </c>
      <c r="BC110" s="339" t="s">
        <v>70</v>
      </c>
      <c r="BD110" s="110"/>
      <c r="BE110" s="338"/>
      <c r="BF110" s="338"/>
      <c r="BG110" s="278"/>
      <c r="BH110" s="107"/>
      <c r="BI110" s="108"/>
      <c r="BJ110" s="94"/>
      <c r="BK110" s="94"/>
      <c r="BL110" s="94"/>
      <c r="BM110" s="94"/>
      <c r="BN110" s="339" t="s">
        <v>69</v>
      </c>
      <c r="BO110" s="339" t="s">
        <v>70</v>
      </c>
      <c r="BP110" s="110"/>
      <c r="BQ110" s="338"/>
      <c r="BR110" s="338"/>
      <c r="BS110" s="278"/>
      <c r="BT110" s="107"/>
      <c r="BU110" s="108"/>
      <c r="BV110" s="94"/>
      <c r="BW110" s="94"/>
      <c r="BX110" s="94"/>
      <c r="BY110" s="94"/>
      <c r="BZ110" s="339" t="s">
        <v>69</v>
      </c>
      <c r="CA110" s="339" t="s">
        <v>70</v>
      </c>
      <c r="CB110" s="110"/>
      <c r="CC110" s="338"/>
      <c r="CD110" s="338"/>
      <c r="CE110" s="278"/>
      <c r="CF110" s="107"/>
      <c r="CG110" s="108"/>
      <c r="CH110" s="94"/>
      <c r="CI110" s="94"/>
      <c r="CJ110" s="94"/>
      <c r="CK110" s="94"/>
      <c r="CL110" s="339" t="s">
        <v>69</v>
      </c>
      <c r="CM110" s="339" t="s">
        <v>70</v>
      </c>
      <c r="CN110" s="110"/>
      <c r="CO110" s="338"/>
      <c r="CP110" s="338"/>
      <c r="CQ110" s="278"/>
      <c r="CR110" s="107"/>
      <c r="CS110" s="108"/>
      <c r="CT110" s="94"/>
      <c r="CU110" s="94"/>
      <c r="CV110" s="94"/>
      <c r="CW110" s="94"/>
      <c r="CX110" s="339" t="s">
        <v>69</v>
      </c>
      <c r="CY110" s="339" t="s">
        <v>70</v>
      </c>
      <c r="CZ110" s="110"/>
      <c r="DA110" s="338"/>
      <c r="DB110" s="338"/>
      <c r="DC110" s="278"/>
      <c r="DD110" s="107"/>
      <c r="DE110" s="108"/>
      <c r="DF110" s="94"/>
      <c r="DG110" s="94"/>
      <c r="DH110" s="94"/>
      <c r="DI110" s="94"/>
      <c r="DJ110" s="339" t="s">
        <v>69</v>
      </c>
      <c r="DK110" s="339" t="s">
        <v>70</v>
      </c>
      <c r="DL110" s="110"/>
      <c r="DM110" s="338"/>
      <c r="DN110" s="338"/>
      <c r="DO110" s="278"/>
      <c r="DP110" s="107"/>
      <c r="DQ110" s="108"/>
      <c r="DR110" s="94"/>
      <c r="DS110" s="94"/>
      <c r="DT110" s="94"/>
      <c r="DU110" s="94"/>
      <c r="DV110" s="339" t="s">
        <v>69</v>
      </c>
      <c r="DW110" s="339" t="s">
        <v>70</v>
      </c>
      <c r="DX110" s="110"/>
      <c r="DY110" s="338"/>
      <c r="DZ110" s="338"/>
      <c r="EA110" s="278"/>
      <c r="EB110" s="107"/>
      <c r="EC110" s="108"/>
      <c r="ED110" s="94"/>
      <c r="EE110" s="94"/>
      <c r="EF110" s="94"/>
      <c r="EG110" s="94"/>
      <c r="EH110" s="339" t="s">
        <v>69</v>
      </c>
      <c r="EI110" s="339" t="s">
        <v>70</v>
      </c>
      <c r="EJ110" s="110"/>
      <c r="EK110" s="338"/>
      <c r="EL110" s="338"/>
      <c r="EM110" s="278"/>
      <c r="EN110" s="107"/>
      <c r="EO110" s="108"/>
      <c r="EP110" s="94"/>
      <c r="EQ110" s="94"/>
      <c r="ER110" s="94"/>
      <c r="ES110" s="94"/>
      <c r="ET110" s="339" t="s">
        <v>69</v>
      </c>
      <c r="EU110" s="339" t="s">
        <v>70</v>
      </c>
      <c r="EV110" s="110"/>
      <c r="EW110" s="338"/>
      <c r="EX110" s="338"/>
      <c r="EY110" s="278"/>
      <c r="EZ110" s="107"/>
      <c r="FA110" s="108"/>
      <c r="FB110" s="94"/>
      <c r="FC110" s="94"/>
      <c r="FD110" s="94"/>
      <c r="FE110" s="94"/>
      <c r="FF110" s="339" t="s">
        <v>69</v>
      </c>
      <c r="FG110" s="339" t="s">
        <v>70</v>
      </c>
      <c r="FH110" s="110"/>
      <c r="FI110" s="338"/>
      <c r="FJ110" s="338"/>
      <c r="FK110" s="278"/>
      <c r="FL110" s="107"/>
      <c r="FM110" s="108"/>
      <c r="FN110" s="94"/>
      <c r="FO110" s="94"/>
      <c r="FP110" s="94"/>
      <c r="FQ110" s="94"/>
      <c r="FR110" s="339" t="s">
        <v>69</v>
      </c>
      <c r="FS110" s="339" t="s">
        <v>70</v>
      </c>
      <c r="FT110" s="110"/>
      <c r="FU110" s="338"/>
      <c r="FV110" s="338"/>
      <c r="FW110" s="278"/>
      <c r="FX110" s="107"/>
      <c r="FY110" s="108"/>
      <c r="FZ110" s="94"/>
      <c r="GA110" s="94"/>
      <c r="GB110" s="94"/>
      <c r="GC110" s="94"/>
      <c r="GD110" s="339" t="s">
        <v>69</v>
      </c>
      <c r="GE110" s="339" t="s">
        <v>70</v>
      </c>
      <c r="GF110" s="110"/>
      <c r="GG110" s="338"/>
      <c r="GH110" s="338"/>
      <c r="GI110" s="278"/>
      <c r="GJ110" s="107"/>
      <c r="GK110" s="108"/>
      <c r="GL110" s="94"/>
      <c r="GM110" s="94"/>
      <c r="GN110" s="94"/>
      <c r="GO110" s="94"/>
      <c r="GP110" s="339" t="s">
        <v>69</v>
      </c>
      <c r="GQ110" s="339" t="s">
        <v>70</v>
      </c>
      <c r="GR110" s="110"/>
      <c r="GS110" s="338"/>
      <c r="GT110" s="338"/>
      <c r="GU110" s="278"/>
      <c r="GV110" s="107"/>
      <c r="GW110" s="108"/>
      <c r="GX110" s="94"/>
      <c r="GY110" s="94"/>
      <c r="GZ110" s="94"/>
      <c r="HA110" s="94"/>
      <c r="HB110" s="339" t="s">
        <v>69</v>
      </c>
      <c r="HC110" s="339" t="s">
        <v>70</v>
      </c>
      <c r="HD110" s="110"/>
      <c r="HE110" s="338"/>
      <c r="HF110" s="338"/>
      <c r="HG110" s="278"/>
      <c r="HH110" s="107"/>
      <c r="HI110" s="106"/>
    </row>
    <row r="111" ht="15.75" customHeight="1">
      <c r="A111" s="340">
        <v>-1.0</v>
      </c>
      <c r="B111" s="341">
        <v>-2.0</v>
      </c>
      <c r="C111" s="341">
        <v>-3.0</v>
      </c>
      <c r="D111" s="341">
        <v>-4.0</v>
      </c>
      <c r="E111" s="341">
        <v>-5.0</v>
      </c>
      <c r="F111" s="341">
        <v>-6.0</v>
      </c>
      <c r="G111" s="341">
        <v>-7.0</v>
      </c>
      <c r="H111" s="342">
        <v>-8.0</v>
      </c>
      <c r="I111" s="343"/>
      <c r="J111" s="343"/>
      <c r="K111" s="283"/>
      <c r="L111" s="115"/>
      <c r="M111" s="340">
        <v>-1.0</v>
      </c>
      <c r="N111" s="341">
        <v>-2.0</v>
      </c>
      <c r="O111" s="341">
        <v>-3.0</v>
      </c>
      <c r="P111" s="341">
        <v>-4.0</v>
      </c>
      <c r="Q111" s="341">
        <v>-5.0</v>
      </c>
      <c r="R111" s="341">
        <v>-6.0</v>
      </c>
      <c r="S111" s="341">
        <v>-7.0</v>
      </c>
      <c r="T111" s="342">
        <v>-8.0</v>
      </c>
      <c r="U111" s="343"/>
      <c r="V111" s="343"/>
      <c r="W111" s="283"/>
      <c r="X111" s="115"/>
      <c r="Y111" s="340">
        <v>-1.0</v>
      </c>
      <c r="Z111" s="341">
        <v>-2.0</v>
      </c>
      <c r="AA111" s="341">
        <v>-3.0</v>
      </c>
      <c r="AB111" s="341">
        <v>-4.0</v>
      </c>
      <c r="AC111" s="341">
        <v>-5.0</v>
      </c>
      <c r="AD111" s="341">
        <v>-6.0</v>
      </c>
      <c r="AE111" s="341">
        <v>-7.0</v>
      </c>
      <c r="AF111" s="342">
        <v>-8.0</v>
      </c>
      <c r="AG111" s="343"/>
      <c r="AH111" s="343"/>
      <c r="AI111" s="283"/>
      <c r="AJ111" s="115"/>
      <c r="AK111" s="340">
        <v>-1.0</v>
      </c>
      <c r="AL111" s="341">
        <v>-2.0</v>
      </c>
      <c r="AM111" s="341">
        <v>-3.0</v>
      </c>
      <c r="AN111" s="341">
        <v>-4.0</v>
      </c>
      <c r="AO111" s="341">
        <v>-5.0</v>
      </c>
      <c r="AP111" s="341">
        <v>-6.0</v>
      </c>
      <c r="AQ111" s="341">
        <v>-7.0</v>
      </c>
      <c r="AR111" s="342">
        <v>-8.0</v>
      </c>
      <c r="AS111" s="343"/>
      <c r="AT111" s="343"/>
      <c r="AU111" s="283"/>
      <c r="AV111" s="115"/>
      <c r="AW111" s="340">
        <v>-1.0</v>
      </c>
      <c r="AX111" s="341">
        <v>-2.0</v>
      </c>
      <c r="AY111" s="341">
        <v>-3.0</v>
      </c>
      <c r="AZ111" s="341">
        <v>-4.0</v>
      </c>
      <c r="BA111" s="341">
        <v>-5.0</v>
      </c>
      <c r="BB111" s="341">
        <v>-6.0</v>
      </c>
      <c r="BC111" s="341">
        <v>-7.0</v>
      </c>
      <c r="BD111" s="342">
        <v>-8.0</v>
      </c>
      <c r="BE111" s="343"/>
      <c r="BF111" s="343"/>
      <c r="BG111" s="283"/>
      <c r="BH111" s="115"/>
      <c r="BI111" s="340">
        <v>-1.0</v>
      </c>
      <c r="BJ111" s="341">
        <v>-2.0</v>
      </c>
      <c r="BK111" s="341">
        <v>-3.0</v>
      </c>
      <c r="BL111" s="341">
        <v>-4.0</v>
      </c>
      <c r="BM111" s="341">
        <v>-5.0</v>
      </c>
      <c r="BN111" s="341">
        <v>-6.0</v>
      </c>
      <c r="BO111" s="341">
        <v>-7.0</v>
      </c>
      <c r="BP111" s="342">
        <v>-8.0</v>
      </c>
      <c r="BQ111" s="343"/>
      <c r="BR111" s="343"/>
      <c r="BS111" s="283"/>
      <c r="BT111" s="115"/>
      <c r="BU111" s="340">
        <v>-1.0</v>
      </c>
      <c r="BV111" s="341">
        <v>-2.0</v>
      </c>
      <c r="BW111" s="341">
        <v>-3.0</v>
      </c>
      <c r="BX111" s="341">
        <v>-4.0</v>
      </c>
      <c r="BY111" s="341">
        <v>-5.0</v>
      </c>
      <c r="BZ111" s="341">
        <v>-6.0</v>
      </c>
      <c r="CA111" s="341">
        <v>-7.0</v>
      </c>
      <c r="CB111" s="342">
        <v>-8.0</v>
      </c>
      <c r="CC111" s="343"/>
      <c r="CD111" s="343"/>
      <c r="CE111" s="283"/>
      <c r="CF111" s="115"/>
      <c r="CG111" s="340">
        <v>-1.0</v>
      </c>
      <c r="CH111" s="341">
        <v>-2.0</v>
      </c>
      <c r="CI111" s="341">
        <v>-3.0</v>
      </c>
      <c r="CJ111" s="341">
        <v>-4.0</v>
      </c>
      <c r="CK111" s="341">
        <v>-5.0</v>
      </c>
      <c r="CL111" s="341">
        <v>-6.0</v>
      </c>
      <c r="CM111" s="341">
        <v>-7.0</v>
      </c>
      <c r="CN111" s="342">
        <v>-8.0</v>
      </c>
      <c r="CO111" s="343"/>
      <c r="CP111" s="343"/>
      <c r="CQ111" s="283"/>
      <c r="CR111" s="115"/>
      <c r="CS111" s="340">
        <v>-1.0</v>
      </c>
      <c r="CT111" s="341">
        <v>-2.0</v>
      </c>
      <c r="CU111" s="341">
        <v>-3.0</v>
      </c>
      <c r="CV111" s="341">
        <v>-4.0</v>
      </c>
      <c r="CW111" s="341">
        <v>-5.0</v>
      </c>
      <c r="CX111" s="341">
        <v>-6.0</v>
      </c>
      <c r="CY111" s="341">
        <v>-7.0</v>
      </c>
      <c r="CZ111" s="342">
        <v>-8.0</v>
      </c>
      <c r="DA111" s="343"/>
      <c r="DB111" s="343"/>
      <c r="DC111" s="283"/>
      <c r="DD111" s="115"/>
      <c r="DE111" s="340">
        <v>-1.0</v>
      </c>
      <c r="DF111" s="341">
        <v>-2.0</v>
      </c>
      <c r="DG111" s="341">
        <v>-3.0</v>
      </c>
      <c r="DH111" s="341">
        <v>-4.0</v>
      </c>
      <c r="DI111" s="341">
        <v>-5.0</v>
      </c>
      <c r="DJ111" s="341">
        <v>-6.0</v>
      </c>
      <c r="DK111" s="341">
        <v>-7.0</v>
      </c>
      <c r="DL111" s="342">
        <v>-8.0</v>
      </c>
      <c r="DM111" s="343"/>
      <c r="DN111" s="343"/>
      <c r="DO111" s="283"/>
      <c r="DP111" s="115"/>
      <c r="DQ111" s="340">
        <v>-1.0</v>
      </c>
      <c r="DR111" s="341">
        <v>-2.0</v>
      </c>
      <c r="DS111" s="341">
        <v>-3.0</v>
      </c>
      <c r="DT111" s="341">
        <v>-4.0</v>
      </c>
      <c r="DU111" s="341">
        <v>-5.0</v>
      </c>
      <c r="DV111" s="341">
        <v>-6.0</v>
      </c>
      <c r="DW111" s="341">
        <v>-7.0</v>
      </c>
      <c r="DX111" s="342">
        <v>-8.0</v>
      </c>
      <c r="DY111" s="343"/>
      <c r="DZ111" s="343"/>
      <c r="EA111" s="283"/>
      <c r="EB111" s="115"/>
      <c r="EC111" s="340">
        <v>-1.0</v>
      </c>
      <c r="ED111" s="341">
        <v>-2.0</v>
      </c>
      <c r="EE111" s="341">
        <v>-3.0</v>
      </c>
      <c r="EF111" s="341">
        <v>-4.0</v>
      </c>
      <c r="EG111" s="341">
        <v>-5.0</v>
      </c>
      <c r="EH111" s="341">
        <v>-6.0</v>
      </c>
      <c r="EI111" s="341">
        <v>-7.0</v>
      </c>
      <c r="EJ111" s="342">
        <v>-8.0</v>
      </c>
      <c r="EK111" s="343"/>
      <c r="EL111" s="343"/>
      <c r="EM111" s="283"/>
      <c r="EN111" s="115"/>
      <c r="EO111" s="340">
        <v>-1.0</v>
      </c>
      <c r="EP111" s="341">
        <v>-2.0</v>
      </c>
      <c r="EQ111" s="341">
        <v>-3.0</v>
      </c>
      <c r="ER111" s="341">
        <v>-4.0</v>
      </c>
      <c r="ES111" s="341">
        <v>-5.0</v>
      </c>
      <c r="ET111" s="341">
        <v>-6.0</v>
      </c>
      <c r="EU111" s="341">
        <v>-7.0</v>
      </c>
      <c r="EV111" s="342">
        <v>-8.0</v>
      </c>
      <c r="EW111" s="343"/>
      <c r="EX111" s="343"/>
      <c r="EY111" s="283"/>
      <c r="EZ111" s="115"/>
      <c r="FA111" s="340">
        <v>-1.0</v>
      </c>
      <c r="FB111" s="341">
        <v>-2.0</v>
      </c>
      <c r="FC111" s="341">
        <v>-3.0</v>
      </c>
      <c r="FD111" s="341">
        <v>-4.0</v>
      </c>
      <c r="FE111" s="341">
        <v>-5.0</v>
      </c>
      <c r="FF111" s="341">
        <v>-6.0</v>
      </c>
      <c r="FG111" s="341">
        <v>-7.0</v>
      </c>
      <c r="FH111" s="342">
        <v>-8.0</v>
      </c>
      <c r="FI111" s="343"/>
      <c r="FJ111" s="343"/>
      <c r="FK111" s="283"/>
      <c r="FL111" s="115"/>
      <c r="FM111" s="340">
        <v>-1.0</v>
      </c>
      <c r="FN111" s="341">
        <v>-2.0</v>
      </c>
      <c r="FO111" s="341">
        <v>-3.0</v>
      </c>
      <c r="FP111" s="341">
        <v>-4.0</v>
      </c>
      <c r="FQ111" s="341">
        <v>-5.0</v>
      </c>
      <c r="FR111" s="341">
        <v>-6.0</v>
      </c>
      <c r="FS111" s="341">
        <v>-7.0</v>
      </c>
      <c r="FT111" s="342">
        <v>-8.0</v>
      </c>
      <c r="FU111" s="343"/>
      <c r="FV111" s="343"/>
      <c r="FW111" s="283"/>
      <c r="FX111" s="115"/>
      <c r="FY111" s="340">
        <v>-1.0</v>
      </c>
      <c r="FZ111" s="341">
        <v>-2.0</v>
      </c>
      <c r="GA111" s="341">
        <v>-3.0</v>
      </c>
      <c r="GB111" s="341">
        <v>-4.0</v>
      </c>
      <c r="GC111" s="341">
        <v>-5.0</v>
      </c>
      <c r="GD111" s="341">
        <v>-6.0</v>
      </c>
      <c r="GE111" s="341">
        <v>-7.0</v>
      </c>
      <c r="GF111" s="342">
        <v>-8.0</v>
      </c>
      <c r="GG111" s="343"/>
      <c r="GH111" s="343"/>
      <c r="GI111" s="283"/>
      <c r="GJ111" s="115"/>
      <c r="GK111" s="340">
        <v>-1.0</v>
      </c>
      <c r="GL111" s="341">
        <v>-2.0</v>
      </c>
      <c r="GM111" s="341">
        <v>-3.0</v>
      </c>
      <c r="GN111" s="341">
        <v>-4.0</v>
      </c>
      <c r="GO111" s="341">
        <v>-5.0</v>
      </c>
      <c r="GP111" s="341">
        <v>-6.0</v>
      </c>
      <c r="GQ111" s="341">
        <v>-7.0</v>
      </c>
      <c r="GR111" s="342">
        <v>-8.0</v>
      </c>
      <c r="GS111" s="343"/>
      <c r="GT111" s="343"/>
      <c r="GU111" s="283"/>
      <c r="GV111" s="115"/>
      <c r="GW111" s="340">
        <v>-1.0</v>
      </c>
      <c r="GX111" s="341">
        <v>-2.0</v>
      </c>
      <c r="GY111" s="341">
        <v>-3.0</v>
      </c>
      <c r="GZ111" s="341">
        <v>-4.0</v>
      </c>
      <c r="HA111" s="341">
        <v>-5.0</v>
      </c>
      <c r="HB111" s="341">
        <v>-6.0</v>
      </c>
      <c r="HC111" s="341">
        <v>-7.0</v>
      </c>
      <c r="HD111" s="342">
        <v>-8.0</v>
      </c>
      <c r="HE111" s="343"/>
      <c r="HF111" s="343"/>
      <c r="HG111" s="283"/>
      <c r="HH111" s="115"/>
      <c r="HI111" s="114"/>
    </row>
    <row r="112" ht="15.75" customHeight="1">
      <c r="A112" s="344"/>
      <c r="B112" s="345"/>
      <c r="C112" s="346"/>
      <c r="D112" s="346"/>
      <c r="E112" s="346"/>
      <c r="F112" s="346"/>
      <c r="G112" s="346"/>
      <c r="H112" s="347"/>
      <c r="I112" s="333"/>
      <c r="J112" s="333"/>
      <c r="K112" s="288"/>
      <c r="L112" s="81"/>
      <c r="M112" s="344"/>
      <c r="N112" s="345"/>
      <c r="O112" s="346"/>
      <c r="P112" s="346"/>
      <c r="Q112" s="346"/>
      <c r="R112" s="346"/>
      <c r="S112" s="346"/>
      <c r="T112" s="347"/>
      <c r="U112" s="333"/>
      <c r="V112" s="333"/>
      <c r="W112" s="288"/>
      <c r="X112" s="81"/>
      <c r="Y112" s="344"/>
      <c r="Z112" s="345"/>
      <c r="AA112" s="346"/>
      <c r="AB112" s="346"/>
      <c r="AC112" s="346"/>
      <c r="AD112" s="346"/>
      <c r="AE112" s="346"/>
      <c r="AF112" s="347"/>
      <c r="AG112" s="333"/>
      <c r="AH112" s="333"/>
      <c r="AI112" s="288"/>
      <c r="AJ112" s="81"/>
      <c r="AK112" s="344"/>
      <c r="AL112" s="345"/>
      <c r="AM112" s="346"/>
      <c r="AN112" s="346"/>
      <c r="AO112" s="346"/>
      <c r="AP112" s="346"/>
      <c r="AQ112" s="346"/>
      <c r="AR112" s="347"/>
      <c r="AS112" s="333"/>
      <c r="AT112" s="333"/>
      <c r="AU112" s="288"/>
      <c r="AV112" s="81"/>
      <c r="AW112" s="344"/>
      <c r="AX112" s="345"/>
      <c r="AY112" s="346"/>
      <c r="AZ112" s="346"/>
      <c r="BA112" s="346"/>
      <c r="BB112" s="346"/>
      <c r="BC112" s="346"/>
      <c r="BD112" s="347"/>
      <c r="BE112" s="333"/>
      <c r="BF112" s="333"/>
      <c r="BG112" s="288"/>
      <c r="BH112" s="81"/>
      <c r="BI112" s="344"/>
      <c r="BJ112" s="345"/>
      <c r="BK112" s="346"/>
      <c r="BL112" s="346"/>
      <c r="BM112" s="346"/>
      <c r="BN112" s="346"/>
      <c r="BO112" s="346"/>
      <c r="BP112" s="347"/>
      <c r="BQ112" s="333"/>
      <c r="BR112" s="333"/>
      <c r="BS112" s="288"/>
      <c r="BT112" s="81"/>
      <c r="BU112" s="344"/>
      <c r="BV112" s="345"/>
      <c r="BW112" s="346"/>
      <c r="BX112" s="346"/>
      <c r="BY112" s="346"/>
      <c r="BZ112" s="346"/>
      <c r="CA112" s="346"/>
      <c r="CB112" s="347"/>
      <c r="CC112" s="333"/>
      <c r="CD112" s="333"/>
      <c r="CE112" s="288"/>
      <c r="CF112" s="81"/>
      <c r="CG112" s="344"/>
      <c r="CH112" s="345"/>
      <c r="CI112" s="346"/>
      <c r="CJ112" s="346"/>
      <c r="CK112" s="346"/>
      <c r="CL112" s="346"/>
      <c r="CM112" s="346"/>
      <c r="CN112" s="347"/>
      <c r="CO112" s="333"/>
      <c r="CP112" s="333"/>
      <c r="CQ112" s="288"/>
      <c r="CR112" s="81"/>
      <c r="CS112" s="344"/>
      <c r="CT112" s="345"/>
      <c r="CU112" s="346"/>
      <c r="CV112" s="346"/>
      <c r="CW112" s="346"/>
      <c r="CX112" s="346"/>
      <c r="CY112" s="346"/>
      <c r="CZ112" s="347"/>
      <c r="DA112" s="333"/>
      <c r="DB112" s="333"/>
      <c r="DC112" s="288"/>
      <c r="DD112" s="81"/>
      <c r="DE112" s="344"/>
      <c r="DF112" s="345"/>
      <c r="DG112" s="346"/>
      <c r="DH112" s="346"/>
      <c r="DI112" s="346"/>
      <c r="DJ112" s="346"/>
      <c r="DK112" s="346"/>
      <c r="DL112" s="347"/>
      <c r="DM112" s="333"/>
      <c r="DN112" s="333"/>
      <c r="DO112" s="288"/>
      <c r="DP112" s="81"/>
      <c r="DQ112" s="344"/>
      <c r="DR112" s="345"/>
      <c r="DS112" s="346"/>
      <c r="DT112" s="346"/>
      <c r="DU112" s="346"/>
      <c r="DV112" s="346"/>
      <c r="DW112" s="346"/>
      <c r="DX112" s="347"/>
      <c r="DY112" s="333"/>
      <c r="DZ112" s="333"/>
      <c r="EA112" s="288"/>
      <c r="EB112" s="81"/>
      <c r="EC112" s="344"/>
      <c r="ED112" s="345"/>
      <c r="EE112" s="346"/>
      <c r="EF112" s="346"/>
      <c r="EG112" s="346"/>
      <c r="EH112" s="346"/>
      <c r="EI112" s="346"/>
      <c r="EJ112" s="347"/>
      <c r="EK112" s="333"/>
      <c r="EL112" s="333"/>
      <c r="EM112" s="288"/>
      <c r="EN112" s="81"/>
      <c r="EO112" s="344"/>
      <c r="EP112" s="345"/>
      <c r="EQ112" s="346"/>
      <c r="ER112" s="346"/>
      <c r="ES112" s="346"/>
      <c r="ET112" s="346"/>
      <c r="EU112" s="346"/>
      <c r="EV112" s="347"/>
      <c r="EW112" s="333"/>
      <c r="EX112" s="333"/>
      <c r="EY112" s="288"/>
      <c r="EZ112" s="81"/>
      <c r="FA112" s="344"/>
      <c r="FB112" s="345"/>
      <c r="FC112" s="346"/>
      <c r="FD112" s="346"/>
      <c r="FE112" s="346"/>
      <c r="FF112" s="346"/>
      <c r="FG112" s="346"/>
      <c r="FH112" s="347"/>
      <c r="FI112" s="333"/>
      <c r="FJ112" s="333"/>
      <c r="FK112" s="288"/>
      <c r="FL112" s="81"/>
      <c r="FM112" s="344"/>
      <c r="FN112" s="345"/>
      <c r="FO112" s="346"/>
      <c r="FP112" s="346"/>
      <c r="FQ112" s="346"/>
      <c r="FR112" s="346"/>
      <c r="FS112" s="346"/>
      <c r="FT112" s="347"/>
      <c r="FU112" s="333"/>
      <c r="FV112" s="333"/>
      <c r="FW112" s="288"/>
      <c r="FX112" s="81"/>
      <c r="FY112" s="344"/>
      <c r="FZ112" s="345"/>
      <c r="GA112" s="346"/>
      <c r="GB112" s="346"/>
      <c r="GC112" s="346"/>
      <c r="GD112" s="346"/>
      <c r="GE112" s="346"/>
      <c r="GF112" s="347"/>
      <c r="GG112" s="333"/>
      <c r="GH112" s="333"/>
      <c r="GI112" s="288"/>
      <c r="GJ112" s="81"/>
      <c r="GK112" s="344"/>
      <c r="GL112" s="345"/>
      <c r="GM112" s="346"/>
      <c r="GN112" s="346"/>
      <c r="GO112" s="346"/>
      <c r="GP112" s="346"/>
      <c r="GQ112" s="346"/>
      <c r="GR112" s="347"/>
      <c r="GS112" s="333"/>
      <c r="GT112" s="333"/>
      <c r="GU112" s="288"/>
      <c r="GV112" s="81"/>
      <c r="GW112" s="344"/>
      <c r="GX112" s="345"/>
      <c r="GY112" s="346"/>
      <c r="GZ112" s="346"/>
      <c r="HA112" s="346"/>
      <c r="HB112" s="346"/>
      <c r="HC112" s="346"/>
      <c r="HD112" s="347"/>
      <c r="HE112" s="333"/>
      <c r="HF112" s="333"/>
      <c r="HG112" s="288"/>
      <c r="HH112" s="81"/>
      <c r="HI112" s="75"/>
    </row>
    <row r="113" ht="15.75" customHeight="1">
      <c r="A113" s="348">
        <v>1.0</v>
      </c>
      <c r="B113" s="349" t="s">
        <v>71</v>
      </c>
      <c r="C113" s="350"/>
      <c r="D113" s="351">
        <f t="shared" ref="D113:D118" si="505">1.16180660667508/100</f>
        <v>0.01161806607</v>
      </c>
      <c r="E113" s="350">
        <f t="shared" ref="E113:E118" si="506">IFERROR(+D113*C113,"0")</f>
        <v>0</v>
      </c>
      <c r="F113" s="351">
        <v>0.16716266605705102</v>
      </c>
      <c r="G113" s="350">
        <f t="shared" ref="G113:G118" si="507">IFERROR(+E113*F113,"")</f>
        <v>0</v>
      </c>
      <c r="H113" s="352">
        <f t="shared" ref="H113:H118" si="508">IFERROR(+(IF(E113="","0",E113))-(IF(G113="","0",G113)),"")</f>
        <v>0</v>
      </c>
      <c r="I113" s="333"/>
      <c r="J113" s="333"/>
      <c r="K113" s="288"/>
      <c r="L113" s="81"/>
      <c r="M113" s="348">
        <v>1.0</v>
      </c>
      <c r="N113" s="349" t="s">
        <v>71</v>
      </c>
      <c r="O113" s="350"/>
      <c r="P113" s="351">
        <f t="shared" ref="P113:P118" si="509">1.16180660667508/100</f>
        <v>0.01161806607</v>
      </c>
      <c r="Q113" s="350">
        <f t="shared" ref="Q113:Q118" si="510">IFERROR(+P113*O113,"0")</f>
        <v>0</v>
      </c>
      <c r="R113" s="351">
        <v>0.16716266605705102</v>
      </c>
      <c r="S113" s="350">
        <f t="shared" ref="S113:S118" si="511">IFERROR(+Q113*R113,"")</f>
        <v>0</v>
      </c>
      <c r="T113" s="352">
        <f t="shared" ref="T113:T118" si="512">IFERROR(+(IF(Q113="","0",Q113))-(IF(S113="","0",S113)),"")</f>
        <v>0</v>
      </c>
      <c r="U113" s="333"/>
      <c r="V113" s="333"/>
      <c r="W113" s="288"/>
      <c r="X113" s="81"/>
      <c r="Y113" s="348">
        <v>1.0</v>
      </c>
      <c r="Z113" s="349" t="s">
        <v>71</v>
      </c>
      <c r="AA113" s="350"/>
      <c r="AB113" s="351">
        <f t="shared" ref="AB113:AB118" si="513">1.16180660667508/100</f>
        <v>0.01161806607</v>
      </c>
      <c r="AC113" s="350">
        <f t="shared" ref="AC113:AC118" si="514">IFERROR(+AB113*AA113,"0")</f>
        <v>0</v>
      </c>
      <c r="AD113" s="351">
        <v>0.16716266605705102</v>
      </c>
      <c r="AE113" s="350">
        <f t="shared" ref="AE113:AE118" si="515">IFERROR(+AC113*AD113,"")</f>
        <v>0</v>
      </c>
      <c r="AF113" s="352">
        <f t="shared" ref="AF113:AF118" si="516">IFERROR(+(IF(AC113="","0",AC113))-(IF(AE113="","0",AE113)),"")</f>
        <v>0</v>
      </c>
      <c r="AG113" s="333"/>
      <c r="AH113" s="333"/>
      <c r="AI113" s="288"/>
      <c r="AJ113" s="81"/>
      <c r="AK113" s="348">
        <v>1.0</v>
      </c>
      <c r="AL113" s="349" t="s">
        <v>71</v>
      </c>
      <c r="AM113" s="350"/>
      <c r="AN113" s="351">
        <f t="shared" ref="AN113:AN118" si="517">1.16180660667508/100</f>
        <v>0.01161806607</v>
      </c>
      <c r="AO113" s="350">
        <f t="shared" ref="AO113:AO118" si="518">IFERROR(+AN113*AM113,"0")</f>
        <v>0</v>
      </c>
      <c r="AP113" s="351">
        <v>0.16716266605705102</v>
      </c>
      <c r="AQ113" s="350">
        <f t="shared" ref="AQ113:AQ118" si="519">IFERROR(+AO113*AP113,"")</f>
        <v>0</v>
      </c>
      <c r="AR113" s="352">
        <f t="shared" ref="AR113:AR118" si="520">IFERROR(+(IF(AO113="","0",AO113))-(IF(AQ113="","0",AQ113)),"")</f>
        <v>0</v>
      </c>
      <c r="AS113" s="333"/>
      <c r="AT113" s="333"/>
      <c r="AU113" s="288"/>
      <c r="AV113" s="81"/>
      <c r="AW113" s="348">
        <v>1.0</v>
      </c>
      <c r="AX113" s="349" t="s">
        <v>71</v>
      </c>
      <c r="AY113" s="350"/>
      <c r="AZ113" s="351">
        <f t="shared" ref="AZ113:AZ118" si="521">1.16180660667508/100</f>
        <v>0.01161806607</v>
      </c>
      <c r="BA113" s="350">
        <f t="shared" ref="BA113:BA118" si="522">IFERROR(+AZ113*AY113,"0")</f>
        <v>0</v>
      </c>
      <c r="BB113" s="351">
        <v>0.16716266605705102</v>
      </c>
      <c r="BC113" s="350">
        <f t="shared" ref="BC113:BC118" si="523">IFERROR(+BA113*BB113,"")</f>
        <v>0</v>
      </c>
      <c r="BD113" s="352">
        <f t="shared" ref="BD113:BD118" si="524">IFERROR(+(IF(BA113="","0",BA113))-(IF(BC113="","0",BC113)),"")</f>
        <v>0</v>
      </c>
      <c r="BE113" s="333"/>
      <c r="BF113" s="333"/>
      <c r="BG113" s="288"/>
      <c r="BH113" s="81"/>
      <c r="BI113" s="348">
        <v>1.0</v>
      </c>
      <c r="BJ113" s="349" t="s">
        <v>71</v>
      </c>
      <c r="BK113" s="350"/>
      <c r="BL113" s="351">
        <f t="shared" ref="BL113:BL118" si="525">1.16180660667508/100</f>
        <v>0.01161806607</v>
      </c>
      <c r="BM113" s="350">
        <f t="shared" ref="BM113:BM118" si="526">IFERROR(+BL113*BK113,"0")</f>
        <v>0</v>
      </c>
      <c r="BN113" s="351">
        <v>0.16716266605705102</v>
      </c>
      <c r="BO113" s="350">
        <f t="shared" ref="BO113:BO118" si="527">IFERROR(+BM113*BN113,"")</f>
        <v>0</v>
      </c>
      <c r="BP113" s="352">
        <f t="shared" ref="BP113:BP118" si="528">IFERROR(+(IF(BM113="","0",BM113))-(IF(BO113="","0",BO113)),"")</f>
        <v>0</v>
      </c>
      <c r="BQ113" s="333"/>
      <c r="BR113" s="333"/>
      <c r="BS113" s="288"/>
      <c r="BT113" s="81"/>
      <c r="BU113" s="348">
        <v>1.0</v>
      </c>
      <c r="BV113" s="349" t="s">
        <v>71</v>
      </c>
      <c r="BW113" s="350"/>
      <c r="BX113" s="351">
        <f t="shared" ref="BX113:BX118" si="529">1.16180660667508/100</f>
        <v>0.01161806607</v>
      </c>
      <c r="BY113" s="350">
        <f t="shared" ref="BY113:BY118" si="530">IFERROR(+BX113*BW113,"0")</f>
        <v>0</v>
      </c>
      <c r="BZ113" s="351">
        <v>0.16716266605705102</v>
      </c>
      <c r="CA113" s="350">
        <f t="shared" ref="CA113:CA118" si="531">IFERROR(+BY113*BZ113,"")</f>
        <v>0</v>
      </c>
      <c r="CB113" s="352">
        <f t="shared" ref="CB113:CB118" si="532">IFERROR(+(IF(BY113="","0",BY113))-(IF(CA113="","0",CA113)),"")</f>
        <v>0</v>
      </c>
      <c r="CC113" s="333"/>
      <c r="CD113" s="333"/>
      <c r="CE113" s="288"/>
      <c r="CF113" s="81"/>
      <c r="CG113" s="348">
        <v>1.0</v>
      </c>
      <c r="CH113" s="349" t="s">
        <v>71</v>
      </c>
      <c r="CI113" s="350"/>
      <c r="CJ113" s="351">
        <f t="shared" ref="CJ113:CJ118" si="533">1.16180660667508/100</f>
        <v>0.01161806607</v>
      </c>
      <c r="CK113" s="350">
        <f t="shared" ref="CK113:CK118" si="534">IFERROR(+CJ113*CI113,"0")</f>
        <v>0</v>
      </c>
      <c r="CL113" s="351">
        <v>0.16716266605705102</v>
      </c>
      <c r="CM113" s="350">
        <f t="shared" ref="CM113:CM118" si="535">IFERROR(+CK113*CL113,"")</f>
        <v>0</v>
      </c>
      <c r="CN113" s="352">
        <f t="shared" ref="CN113:CN118" si="536">IFERROR(+(IF(CK113="","0",CK113))-(IF(CM113="","0",CM113)),"")</f>
        <v>0</v>
      </c>
      <c r="CO113" s="333"/>
      <c r="CP113" s="333"/>
      <c r="CQ113" s="288"/>
      <c r="CR113" s="81"/>
      <c r="CS113" s="348">
        <v>1.0</v>
      </c>
      <c r="CT113" s="349" t="s">
        <v>71</v>
      </c>
      <c r="CU113" s="350"/>
      <c r="CV113" s="351">
        <f t="shared" ref="CV113:CV118" si="537">1.16180660667508/100</f>
        <v>0.01161806607</v>
      </c>
      <c r="CW113" s="350">
        <f t="shared" ref="CW113:CW118" si="538">IFERROR(+CV113*CU113,"0")</f>
        <v>0</v>
      </c>
      <c r="CX113" s="351">
        <v>0.16716266605705102</v>
      </c>
      <c r="CY113" s="350">
        <f t="shared" ref="CY113:CY118" si="539">IFERROR(+CW113*CX113,"")</f>
        <v>0</v>
      </c>
      <c r="CZ113" s="352">
        <f t="shared" ref="CZ113:CZ118" si="540">IFERROR(+(IF(CW113="","0",CW113))-(IF(CY113="","0",CY113)),"")</f>
        <v>0</v>
      </c>
      <c r="DA113" s="333"/>
      <c r="DB113" s="333"/>
      <c r="DC113" s="288"/>
      <c r="DD113" s="81"/>
      <c r="DE113" s="348">
        <v>1.0</v>
      </c>
      <c r="DF113" s="349" t="s">
        <v>71</v>
      </c>
      <c r="DG113" s="350">
        <f>'Hitung Output'!BJ29</f>
        <v>709655.6401</v>
      </c>
      <c r="DH113" s="351">
        <f t="shared" ref="DH113:DH118" si="541">1.16180660667508/100</f>
        <v>0.01161806607</v>
      </c>
      <c r="DI113" s="353">
        <f t="shared" ref="DI113:DI118" si="542">IFERROR(+DH113*DG113,"0")</f>
        <v>8244.826111</v>
      </c>
      <c r="DJ113" s="351">
        <v>0.16716266605705102</v>
      </c>
      <c r="DK113" s="350">
        <f t="shared" ref="DK113:DK118" si="543">IFERROR(+DI113*DJ113,"")</f>
        <v>1378.227114</v>
      </c>
      <c r="DL113" s="352">
        <f t="shared" ref="DL113:DL118" si="544">IFERROR(+(IF(DI113="","0",DI113))-(IF(DK113="","0",DK113)),"")</f>
        <v>6866.598997</v>
      </c>
      <c r="DM113" s="333"/>
      <c r="DN113" s="333"/>
      <c r="DO113" s="288"/>
      <c r="DP113" s="81"/>
      <c r="DQ113" s="348">
        <v>1.0</v>
      </c>
      <c r="DR113" s="349" t="s">
        <v>71</v>
      </c>
      <c r="DS113" s="350">
        <f>'Hitung Output'!BO29</f>
        <v>752533.985</v>
      </c>
      <c r="DT113" s="351">
        <f t="shared" ref="DT113:DT118" si="545">1.16180660667508/100</f>
        <v>0.01161806607</v>
      </c>
      <c r="DU113" s="401">
        <f t="shared" ref="DU113:DU118" si="546">IFERROR(+DT113*DS113,"0")</f>
        <v>8742.989555</v>
      </c>
      <c r="DV113" s="351">
        <v>0.16716266605705102</v>
      </c>
      <c r="DW113" s="350">
        <f t="shared" ref="DW113:DW118" si="547">IFERROR(+DU113*DV113,"")</f>
        <v>1461.501443</v>
      </c>
      <c r="DX113" s="352">
        <f t="shared" ref="DX113:DX118" si="548">IFERROR(+(IF(DU113="","0",DU113))-(IF(DW113="","0",DW113)),"")</f>
        <v>7281.488112</v>
      </c>
      <c r="DY113" s="333"/>
      <c r="DZ113" s="333"/>
      <c r="EA113" s="288"/>
      <c r="EB113" s="81"/>
      <c r="EC113" s="348">
        <v>1.0</v>
      </c>
      <c r="ED113" s="349" t="s">
        <v>71</v>
      </c>
      <c r="EE113" s="350">
        <f>'Hitung Output'!BT29</f>
        <v>757316.4584</v>
      </c>
      <c r="EF113" s="351">
        <f t="shared" ref="EF113:EF118" si="549">1.16180660667508/100</f>
        <v>0.01161806607</v>
      </c>
      <c r="EG113" s="402">
        <f t="shared" ref="EG113:EG118" si="550">IFERROR(+EF113*EE113,"0")</f>
        <v>8798.552647</v>
      </c>
      <c r="EH113" s="351">
        <v>0.16716266605705102</v>
      </c>
      <c r="EI113" s="350">
        <f t="shared" ref="EI113:EI118" si="551">IFERROR(+EG113*EH113,"")</f>
        <v>1470.789518</v>
      </c>
      <c r="EJ113" s="352">
        <f t="shared" ref="EJ113:EJ118" si="552">IFERROR(+(IF(EG113="","0",EG113))-(IF(EI113="","0",EI113)),"")</f>
        <v>7327.763129</v>
      </c>
      <c r="EK113" s="333"/>
      <c r="EL113" s="333"/>
      <c r="EM113" s="288"/>
      <c r="EN113" s="81"/>
      <c r="EO113" s="348">
        <v>1.0</v>
      </c>
      <c r="EP113" s="349" t="s">
        <v>71</v>
      </c>
      <c r="EQ113" s="350">
        <f>'Hitung Output'!BY29</f>
        <v>750714.7711</v>
      </c>
      <c r="ER113" s="351">
        <f t="shared" ref="ER113:ER118" si="553">1.16180660667508/100</f>
        <v>0.01161806607</v>
      </c>
      <c r="ES113" s="356">
        <f t="shared" ref="ES113:ES118" si="554">IFERROR(+ER113*EQ113,"0")</f>
        <v>8721.853808</v>
      </c>
      <c r="ET113" s="351">
        <v>0.16716266605705102</v>
      </c>
      <c r="EU113" s="350">
        <f t="shared" ref="EU113:EU118" si="555">IFERROR(+ES113*ET113,"")</f>
        <v>1457.968336</v>
      </c>
      <c r="EV113" s="352">
        <f t="shared" ref="EV113:EV118" si="556">IFERROR(+(IF(ES113="","0",ES113))-(IF(EU113="","0",EU113)),"")</f>
        <v>7263.885473</v>
      </c>
      <c r="EW113" s="333"/>
      <c r="EX113" s="333"/>
      <c r="EY113" s="288"/>
      <c r="EZ113" s="81"/>
      <c r="FA113" s="348">
        <v>1.0</v>
      </c>
      <c r="FB113" s="349" t="s">
        <v>71</v>
      </c>
      <c r="FC113" s="350">
        <f>'Hitung Output'!CD29</f>
        <v>805483.4369</v>
      </c>
      <c r="FD113" s="351">
        <f t="shared" ref="FD113:FD118" si="557">1.16180660667508/100</f>
        <v>0.01161806607</v>
      </c>
      <c r="FE113" s="401">
        <f t="shared" ref="FE113:FE118" si="558">IFERROR(+FD113*FC113,"0")</f>
        <v>9358.159786</v>
      </c>
      <c r="FF113" s="351">
        <v>0.16716266605705102</v>
      </c>
      <c r="FG113" s="350">
        <f t="shared" ref="FG113:FG118" si="559">IFERROR(+FE113*FF113,"")</f>
        <v>1564.334939</v>
      </c>
      <c r="FH113" s="352">
        <f t="shared" ref="FH113:FH118" si="560">IFERROR(+(IF(FE113="","0",FE113))-(IF(FG113="","0",FG113)),"")</f>
        <v>7793.824847</v>
      </c>
      <c r="FI113" s="333"/>
      <c r="FJ113" s="333"/>
      <c r="FK113" s="288"/>
      <c r="FL113" s="81"/>
      <c r="FM113" s="348">
        <v>1.0</v>
      </c>
      <c r="FN113" s="349" t="s">
        <v>71</v>
      </c>
      <c r="FO113" s="350">
        <f>'Hitung Output'!CI11</f>
        <v>835861.1537</v>
      </c>
      <c r="FP113" s="351">
        <f t="shared" ref="FP113:FP118" si="561">1.16180660667508/100</f>
        <v>0.01161806607</v>
      </c>
      <c r="FQ113" s="403">
        <f t="shared" ref="FQ113:FQ118" si="562">IFERROR(+FP113*FO113,"0")</f>
        <v>9711.090106</v>
      </c>
      <c r="FR113" s="351">
        <v>0.16716266605705102</v>
      </c>
      <c r="FS113" s="350">
        <f t="shared" ref="FS113:FS118" si="563">IFERROR(+FQ113*FR113,"")</f>
        <v>1623.331712</v>
      </c>
      <c r="FT113" s="352">
        <f t="shared" ref="FT113:FT118" si="564">IFERROR(+(IF(FQ113="","0",FQ113))-(IF(FS113="","0",FS113)),"")</f>
        <v>8087.758394</v>
      </c>
      <c r="FU113" s="333"/>
      <c r="FV113" s="333"/>
      <c r="FW113" s="288"/>
      <c r="FX113" s="81"/>
      <c r="FY113" s="348">
        <v>1.0</v>
      </c>
      <c r="FZ113" s="349" t="s">
        <v>71</v>
      </c>
      <c r="GA113" s="350">
        <f>'Hitung Output'!CN29</f>
        <v>1069755.912</v>
      </c>
      <c r="GB113" s="351">
        <f t="shared" ref="GB113:GB118" si="565">1.16180660667508/100</f>
        <v>0.01161806607</v>
      </c>
      <c r="GC113" s="350">
        <f t="shared" ref="GC113:GC118" si="566">IFERROR(+GB113*GA113,"0")</f>
        <v>12428.49487</v>
      </c>
      <c r="GD113" s="351">
        <v>0.16716266605705102</v>
      </c>
      <c r="GE113" s="350">
        <f t="shared" ref="GE113:GE118" si="567">IFERROR(+GC113*GD113,"")</f>
        <v>2077.580337</v>
      </c>
      <c r="GF113" s="352">
        <f t="shared" ref="GF113:GF118" si="568">IFERROR(+(IF(GC113="","0",GC113))-(IF(GE113="","0",GE113)),"")</f>
        <v>10350.91453</v>
      </c>
      <c r="GG113" s="333"/>
      <c r="GH113" s="333"/>
      <c r="GI113" s="288"/>
      <c r="GJ113" s="81"/>
      <c r="GK113" s="348">
        <v>1.0</v>
      </c>
      <c r="GL113" s="349" t="s">
        <v>71</v>
      </c>
      <c r="GM113" s="350"/>
      <c r="GN113" s="351">
        <f t="shared" ref="GN113:GN118" si="569">1.16180660667508/100</f>
        <v>0.01161806607</v>
      </c>
      <c r="GO113" s="350">
        <f t="shared" ref="GO113:GO118" si="570">IFERROR(+GN113*GM113,"0")</f>
        <v>0</v>
      </c>
      <c r="GP113" s="351">
        <v>0.16716266605705102</v>
      </c>
      <c r="GQ113" s="350">
        <f t="shared" ref="GQ113:GQ118" si="571">IFERROR(+GO113*GP113,"")</f>
        <v>0</v>
      </c>
      <c r="GR113" s="352">
        <f t="shared" ref="GR113:GR118" si="572">IFERROR(+(IF(GO113="","0",GO113))-(IF(GQ113="","0",GQ113)),"")</f>
        <v>0</v>
      </c>
      <c r="GS113" s="333"/>
      <c r="GT113" s="333"/>
      <c r="GU113" s="288"/>
      <c r="GV113" s="81"/>
      <c r="GW113" s="348">
        <v>1.0</v>
      </c>
      <c r="GX113" s="349" t="s">
        <v>71</v>
      </c>
      <c r="GY113" s="350"/>
      <c r="GZ113" s="351">
        <f t="shared" ref="GZ113:GZ118" si="573">1.16180660667508/100</f>
        <v>0.01161806607</v>
      </c>
      <c r="HA113" s="350">
        <f t="shared" ref="HA113:HA118" si="574">IFERROR(+GZ113*GY113,"0")</f>
        <v>0</v>
      </c>
      <c r="HB113" s="351">
        <v>0.16716266605705102</v>
      </c>
      <c r="HC113" s="350">
        <f t="shared" ref="HC113:HC118" si="575">IFERROR(+HA113*HB113,"")</f>
        <v>0</v>
      </c>
      <c r="HD113" s="352">
        <f t="shared" ref="HD113:HD118" si="576">IFERROR(+(IF(HA113="","0",HA113))-(IF(HC113="","0",HC113)),"")</f>
        <v>0</v>
      </c>
      <c r="HE113" s="333"/>
      <c r="HF113" s="333"/>
      <c r="HG113" s="288"/>
      <c r="HH113" s="81"/>
      <c r="HI113" s="75"/>
    </row>
    <row r="114" ht="15.75" customHeight="1">
      <c r="A114" s="348">
        <f t="shared" ref="A114:A118" si="577">A113+1</f>
        <v>2</v>
      </c>
      <c r="B114" s="349" t="s">
        <v>72</v>
      </c>
      <c r="C114" s="350"/>
      <c r="D114" s="351">
        <f t="shared" si="505"/>
        <v>0.01161806607</v>
      </c>
      <c r="E114" s="350">
        <f t="shared" si="506"/>
        <v>0</v>
      </c>
      <c r="F114" s="351">
        <v>0.16716266605705102</v>
      </c>
      <c r="G114" s="350">
        <f t="shared" si="507"/>
        <v>0</v>
      </c>
      <c r="H114" s="352">
        <f t="shared" si="508"/>
        <v>0</v>
      </c>
      <c r="I114" s="333"/>
      <c r="J114" s="333"/>
      <c r="K114" s="288"/>
      <c r="L114" s="81"/>
      <c r="M114" s="348">
        <f t="shared" ref="M114:M118" si="578">M113+1</f>
        <v>2</v>
      </c>
      <c r="N114" s="349" t="s">
        <v>72</v>
      </c>
      <c r="O114" s="350"/>
      <c r="P114" s="351">
        <f t="shared" si="509"/>
        <v>0.01161806607</v>
      </c>
      <c r="Q114" s="350">
        <f t="shared" si="510"/>
        <v>0</v>
      </c>
      <c r="R114" s="351">
        <v>0.16716266605705102</v>
      </c>
      <c r="S114" s="350">
        <f t="shared" si="511"/>
        <v>0</v>
      </c>
      <c r="T114" s="352">
        <f t="shared" si="512"/>
        <v>0</v>
      </c>
      <c r="U114" s="333"/>
      <c r="V114" s="333"/>
      <c r="W114" s="288"/>
      <c r="X114" s="81"/>
      <c r="Y114" s="348">
        <f t="shared" ref="Y114:Y118" si="579">Y113+1</f>
        <v>2</v>
      </c>
      <c r="Z114" s="349" t="s">
        <v>72</v>
      </c>
      <c r="AA114" s="350"/>
      <c r="AB114" s="351">
        <f t="shared" si="513"/>
        <v>0.01161806607</v>
      </c>
      <c r="AC114" s="350">
        <f t="shared" si="514"/>
        <v>0</v>
      </c>
      <c r="AD114" s="351">
        <v>0.16716266605705102</v>
      </c>
      <c r="AE114" s="350">
        <f t="shared" si="515"/>
        <v>0</v>
      </c>
      <c r="AF114" s="352">
        <f t="shared" si="516"/>
        <v>0</v>
      </c>
      <c r="AG114" s="333"/>
      <c r="AH114" s="333"/>
      <c r="AI114" s="288"/>
      <c r="AJ114" s="81"/>
      <c r="AK114" s="348">
        <f t="shared" ref="AK114:AK118" si="580">AK113+1</f>
        <v>2</v>
      </c>
      <c r="AL114" s="349" t="s">
        <v>72</v>
      </c>
      <c r="AM114" s="350"/>
      <c r="AN114" s="351">
        <f t="shared" si="517"/>
        <v>0.01161806607</v>
      </c>
      <c r="AO114" s="350">
        <f t="shared" si="518"/>
        <v>0</v>
      </c>
      <c r="AP114" s="351">
        <v>0.16716266605705102</v>
      </c>
      <c r="AQ114" s="350">
        <f t="shared" si="519"/>
        <v>0</v>
      </c>
      <c r="AR114" s="352">
        <f t="shared" si="520"/>
        <v>0</v>
      </c>
      <c r="AS114" s="333"/>
      <c r="AT114" s="333"/>
      <c r="AU114" s="288"/>
      <c r="AV114" s="81"/>
      <c r="AW114" s="348">
        <f t="shared" ref="AW114:AW118" si="581">AW113+1</f>
        <v>2</v>
      </c>
      <c r="AX114" s="349" t="s">
        <v>72</v>
      </c>
      <c r="AY114" s="350"/>
      <c r="AZ114" s="351">
        <f t="shared" si="521"/>
        <v>0.01161806607</v>
      </c>
      <c r="BA114" s="350">
        <f t="shared" si="522"/>
        <v>0</v>
      </c>
      <c r="BB114" s="351">
        <v>0.16716266605705102</v>
      </c>
      <c r="BC114" s="350">
        <f t="shared" si="523"/>
        <v>0</v>
      </c>
      <c r="BD114" s="352">
        <f t="shared" si="524"/>
        <v>0</v>
      </c>
      <c r="BE114" s="333"/>
      <c r="BF114" s="333"/>
      <c r="BG114" s="288"/>
      <c r="BH114" s="81"/>
      <c r="BI114" s="348">
        <f t="shared" ref="BI114:BI118" si="582">BI113+1</f>
        <v>2</v>
      </c>
      <c r="BJ114" s="349" t="s">
        <v>72</v>
      </c>
      <c r="BK114" s="350"/>
      <c r="BL114" s="351">
        <f t="shared" si="525"/>
        <v>0.01161806607</v>
      </c>
      <c r="BM114" s="350">
        <f t="shared" si="526"/>
        <v>0</v>
      </c>
      <c r="BN114" s="351">
        <v>0.16716266605705102</v>
      </c>
      <c r="BO114" s="350">
        <f t="shared" si="527"/>
        <v>0</v>
      </c>
      <c r="BP114" s="352">
        <f t="shared" si="528"/>
        <v>0</v>
      </c>
      <c r="BQ114" s="333"/>
      <c r="BR114" s="333"/>
      <c r="BS114" s="288"/>
      <c r="BT114" s="81"/>
      <c r="BU114" s="348">
        <f t="shared" ref="BU114:BU118" si="583">BU113+1</f>
        <v>2</v>
      </c>
      <c r="BV114" s="349" t="s">
        <v>72</v>
      </c>
      <c r="BW114" s="350"/>
      <c r="BX114" s="351">
        <f t="shared" si="529"/>
        <v>0.01161806607</v>
      </c>
      <c r="BY114" s="350">
        <f t="shared" si="530"/>
        <v>0</v>
      </c>
      <c r="BZ114" s="351">
        <v>0.16716266605705102</v>
      </c>
      <c r="CA114" s="350">
        <f t="shared" si="531"/>
        <v>0</v>
      </c>
      <c r="CB114" s="352">
        <f t="shared" si="532"/>
        <v>0</v>
      </c>
      <c r="CC114" s="333"/>
      <c r="CD114" s="333"/>
      <c r="CE114" s="288"/>
      <c r="CF114" s="81"/>
      <c r="CG114" s="348">
        <f t="shared" ref="CG114:CG118" si="584">CG113+1</f>
        <v>2</v>
      </c>
      <c r="CH114" s="349" t="s">
        <v>72</v>
      </c>
      <c r="CI114" s="350"/>
      <c r="CJ114" s="351">
        <f t="shared" si="533"/>
        <v>0.01161806607</v>
      </c>
      <c r="CK114" s="350">
        <f t="shared" si="534"/>
        <v>0</v>
      </c>
      <c r="CL114" s="351">
        <v>0.16716266605705102</v>
      </c>
      <c r="CM114" s="350">
        <f t="shared" si="535"/>
        <v>0</v>
      </c>
      <c r="CN114" s="352">
        <f t="shared" si="536"/>
        <v>0</v>
      </c>
      <c r="CO114" s="333"/>
      <c r="CP114" s="333"/>
      <c r="CQ114" s="288"/>
      <c r="CR114" s="81"/>
      <c r="CS114" s="348">
        <f t="shared" ref="CS114:CS118" si="585">CS113+1</f>
        <v>2</v>
      </c>
      <c r="CT114" s="349" t="s">
        <v>72</v>
      </c>
      <c r="CU114" s="350"/>
      <c r="CV114" s="351">
        <f t="shared" si="537"/>
        <v>0.01161806607</v>
      </c>
      <c r="CW114" s="350">
        <f t="shared" si="538"/>
        <v>0</v>
      </c>
      <c r="CX114" s="351">
        <v>0.16716266605705102</v>
      </c>
      <c r="CY114" s="350">
        <f t="shared" si="539"/>
        <v>0</v>
      </c>
      <c r="CZ114" s="352">
        <f t="shared" si="540"/>
        <v>0</v>
      </c>
      <c r="DA114" s="333"/>
      <c r="DB114" s="333"/>
      <c r="DC114" s="288"/>
      <c r="DD114" s="81"/>
      <c r="DE114" s="348">
        <f t="shared" ref="DE114:DE118" si="586">DE113+1</f>
        <v>2</v>
      </c>
      <c r="DF114" s="349" t="s">
        <v>72</v>
      </c>
      <c r="DG114" s="350">
        <f>'Hitung Output'!BJ30</f>
        <v>101694.3686</v>
      </c>
      <c r="DH114" s="351">
        <f t="shared" si="541"/>
        <v>0.01161806607</v>
      </c>
      <c r="DI114" s="353">
        <f t="shared" si="542"/>
        <v>1181.491893</v>
      </c>
      <c r="DJ114" s="351">
        <v>0.16716266605705102</v>
      </c>
      <c r="DK114" s="350">
        <f t="shared" si="543"/>
        <v>197.5013348</v>
      </c>
      <c r="DL114" s="352">
        <f t="shared" si="544"/>
        <v>983.9905583</v>
      </c>
      <c r="DM114" s="333"/>
      <c r="DN114" s="333"/>
      <c r="DO114" s="288"/>
      <c r="DP114" s="81"/>
      <c r="DQ114" s="348">
        <f t="shared" ref="DQ114:DQ118" si="587">DQ113+1</f>
        <v>2</v>
      </c>
      <c r="DR114" s="349" t="s">
        <v>72</v>
      </c>
      <c r="DS114" s="350">
        <f>'Hitung Output'!BO30</f>
        <v>95044.73005</v>
      </c>
      <c r="DT114" s="351">
        <f t="shared" si="545"/>
        <v>0.01161806607</v>
      </c>
      <c r="DU114" s="401">
        <f t="shared" si="546"/>
        <v>1104.235953</v>
      </c>
      <c r="DV114" s="351">
        <v>0.16716266605705102</v>
      </c>
      <c r="DW114" s="350">
        <f t="shared" si="547"/>
        <v>184.5870259</v>
      </c>
      <c r="DX114" s="352">
        <f t="shared" si="548"/>
        <v>919.6489271</v>
      </c>
      <c r="DY114" s="333"/>
      <c r="DZ114" s="333"/>
      <c r="EA114" s="288"/>
      <c r="EB114" s="81"/>
      <c r="EC114" s="348">
        <f t="shared" ref="EC114:EC118" si="588">EC113+1</f>
        <v>2</v>
      </c>
      <c r="ED114" s="349" t="s">
        <v>72</v>
      </c>
      <c r="EE114" s="350">
        <f>'Hitung Output'!BT30</f>
        <v>98897.77099</v>
      </c>
      <c r="EF114" s="351">
        <f t="shared" si="549"/>
        <v>0.01161806607</v>
      </c>
      <c r="EG114" s="402">
        <f t="shared" si="550"/>
        <v>1149.000837</v>
      </c>
      <c r="EH114" s="351">
        <v>0.16716266605705102</v>
      </c>
      <c r="EI114" s="350">
        <f t="shared" si="551"/>
        <v>192.0700432</v>
      </c>
      <c r="EJ114" s="352">
        <f t="shared" si="552"/>
        <v>956.9307939</v>
      </c>
      <c r="EK114" s="333"/>
      <c r="EL114" s="333"/>
      <c r="EM114" s="288"/>
      <c r="EN114" s="81"/>
      <c r="EO114" s="348">
        <f t="shared" ref="EO114:EO118" si="589">EO113+1</f>
        <v>2</v>
      </c>
      <c r="EP114" s="349" t="s">
        <v>72</v>
      </c>
      <c r="EQ114" s="350">
        <f>'Hitung Output'!BY30</f>
        <v>121994.5618</v>
      </c>
      <c r="ER114" s="351">
        <f t="shared" si="553"/>
        <v>0.01161806607</v>
      </c>
      <c r="ES114" s="356">
        <f t="shared" si="554"/>
        <v>1417.340879</v>
      </c>
      <c r="ET114" s="351">
        <v>0.16716266605705102</v>
      </c>
      <c r="EU114" s="350">
        <f t="shared" si="555"/>
        <v>236.9264801</v>
      </c>
      <c r="EV114" s="352">
        <f t="shared" si="556"/>
        <v>1180.414399</v>
      </c>
      <c r="EW114" s="333"/>
      <c r="EX114" s="333"/>
      <c r="EY114" s="288"/>
      <c r="EZ114" s="81"/>
      <c r="FA114" s="348">
        <f t="shared" ref="FA114:FA118" si="590">FA113+1</f>
        <v>2</v>
      </c>
      <c r="FB114" s="349" t="s">
        <v>72</v>
      </c>
      <c r="FC114" s="350">
        <f>'Hitung Output'!CD30</f>
        <v>120845.1287</v>
      </c>
      <c r="FD114" s="351">
        <f t="shared" si="557"/>
        <v>0.01161806607</v>
      </c>
      <c r="FE114" s="401">
        <f t="shared" si="558"/>
        <v>1403.986689</v>
      </c>
      <c r="FF114" s="351">
        <v>0.16716266605705102</v>
      </c>
      <c r="FG114" s="350">
        <f t="shared" si="559"/>
        <v>234.694158</v>
      </c>
      <c r="FH114" s="352">
        <f t="shared" si="560"/>
        <v>1169.292531</v>
      </c>
      <c r="FI114" s="333"/>
      <c r="FJ114" s="333"/>
      <c r="FK114" s="288"/>
      <c r="FL114" s="81"/>
      <c r="FM114" s="348">
        <f t="shared" ref="FM114:FM118" si="591">FM113+1</f>
        <v>2</v>
      </c>
      <c r="FN114" s="349" t="s">
        <v>72</v>
      </c>
      <c r="FO114" s="350">
        <f>'Hitung Output'!CI30</f>
        <v>125830.4846</v>
      </c>
      <c r="FP114" s="351">
        <f t="shared" si="561"/>
        <v>0.01161806607</v>
      </c>
      <c r="FQ114" s="403">
        <f t="shared" si="562"/>
        <v>1461.906883</v>
      </c>
      <c r="FR114" s="351">
        <v>0.16716266605705102</v>
      </c>
      <c r="FS114" s="350">
        <f t="shared" si="563"/>
        <v>244.3762521</v>
      </c>
      <c r="FT114" s="352">
        <f t="shared" si="564"/>
        <v>1217.530631</v>
      </c>
      <c r="FU114" s="333"/>
      <c r="FV114" s="333"/>
      <c r="FW114" s="288"/>
      <c r="FX114" s="81"/>
      <c r="FY114" s="348">
        <f t="shared" ref="FY114:FY118" si="592">FY113+1</f>
        <v>2</v>
      </c>
      <c r="FZ114" s="349" t="s">
        <v>72</v>
      </c>
      <c r="GA114" s="350">
        <f>'Hitung Output'!CN30</f>
        <v>131792.2575</v>
      </c>
      <c r="GB114" s="351">
        <f t="shared" si="565"/>
        <v>0.01161806607</v>
      </c>
      <c r="GC114" s="350">
        <f t="shared" si="566"/>
        <v>1531.171154</v>
      </c>
      <c r="GD114" s="351">
        <v>0.16716266605705102</v>
      </c>
      <c r="GE114" s="350">
        <f t="shared" si="567"/>
        <v>255.9546524</v>
      </c>
      <c r="GF114" s="352">
        <f t="shared" si="568"/>
        <v>1275.216502</v>
      </c>
      <c r="GG114" s="333"/>
      <c r="GH114" s="333"/>
      <c r="GI114" s="288"/>
      <c r="GJ114" s="81"/>
      <c r="GK114" s="348">
        <f t="shared" ref="GK114:GK118" si="593">GK113+1</f>
        <v>2</v>
      </c>
      <c r="GL114" s="349" t="s">
        <v>72</v>
      </c>
      <c r="GM114" s="350"/>
      <c r="GN114" s="351">
        <f t="shared" si="569"/>
        <v>0.01161806607</v>
      </c>
      <c r="GO114" s="350">
        <f t="shared" si="570"/>
        <v>0</v>
      </c>
      <c r="GP114" s="351">
        <v>0.16716266605705102</v>
      </c>
      <c r="GQ114" s="350">
        <f t="shared" si="571"/>
        <v>0</v>
      </c>
      <c r="GR114" s="352">
        <f t="shared" si="572"/>
        <v>0</v>
      </c>
      <c r="GS114" s="333"/>
      <c r="GT114" s="333"/>
      <c r="GU114" s="288"/>
      <c r="GV114" s="81"/>
      <c r="GW114" s="348">
        <f t="shared" ref="GW114:GW118" si="594">GW113+1</f>
        <v>2</v>
      </c>
      <c r="GX114" s="349" t="s">
        <v>72</v>
      </c>
      <c r="GY114" s="350"/>
      <c r="GZ114" s="351">
        <f t="shared" si="573"/>
        <v>0.01161806607</v>
      </c>
      <c r="HA114" s="350">
        <f t="shared" si="574"/>
        <v>0</v>
      </c>
      <c r="HB114" s="351">
        <v>0.16716266605705102</v>
      </c>
      <c r="HC114" s="350">
        <f t="shared" si="575"/>
        <v>0</v>
      </c>
      <c r="HD114" s="352">
        <f t="shared" si="576"/>
        <v>0</v>
      </c>
      <c r="HE114" s="333"/>
      <c r="HF114" s="333"/>
      <c r="HG114" s="288"/>
      <c r="HH114" s="81"/>
      <c r="HI114" s="75"/>
    </row>
    <row r="115" ht="15.75" customHeight="1">
      <c r="A115" s="348">
        <f t="shared" si="577"/>
        <v>3</v>
      </c>
      <c r="B115" s="349" t="s">
        <v>73</v>
      </c>
      <c r="C115" s="350"/>
      <c r="D115" s="351">
        <f t="shared" si="505"/>
        <v>0.01161806607</v>
      </c>
      <c r="E115" s="350">
        <f t="shared" si="506"/>
        <v>0</v>
      </c>
      <c r="F115" s="351">
        <v>0.16716266605705102</v>
      </c>
      <c r="G115" s="350">
        <f t="shared" si="507"/>
        <v>0</v>
      </c>
      <c r="H115" s="352">
        <f t="shared" si="508"/>
        <v>0</v>
      </c>
      <c r="I115" s="333"/>
      <c r="J115" s="333"/>
      <c r="K115" s="288"/>
      <c r="L115" s="81"/>
      <c r="M115" s="348">
        <f t="shared" si="578"/>
        <v>3</v>
      </c>
      <c r="N115" s="349" t="s">
        <v>73</v>
      </c>
      <c r="O115" s="350"/>
      <c r="P115" s="351">
        <f t="shared" si="509"/>
        <v>0.01161806607</v>
      </c>
      <c r="Q115" s="350">
        <f t="shared" si="510"/>
        <v>0</v>
      </c>
      <c r="R115" s="351">
        <v>0.16716266605705102</v>
      </c>
      <c r="S115" s="350">
        <f t="shared" si="511"/>
        <v>0</v>
      </c>
      <c r="T115" s="352">
        <f t="shared" si="512"/>
        <v>0</v>
      </c>
      <c r="U115" s="333"/>
      <c r="V115" s="333"/>
      <c r="W115" s="288"/>
      <c r="X115" s="81"/>
      <c r="Y115" s="348">
        <f t="shared" si="579"/>
        <v>3</v>
      </c>
      <c r="Z115" s="349" t="s">
        <v>73</v>
      </c>
      <c r="AA115" s="350"/>
      <c r="AB115" s="351">
        <f t="shared" si="513"/>
        <v>0.01161806607</v>
      </c>
      <c r="AC115" s="350">
        <f t="shared" si="514"/>
        <v>0</v>
      </c>
      <c r="AD115" s="351">
        <v>0.16716266605705102</v>
      </c>
      <c r="AE115" s="350">
        <f t="shared" si="515"/>
        <v>0</v>
      </c>
      <c r="AF115" s="352">
        <f t="shared" si="516"/>
        <v>0</v>
      </c>
      <c r="AG115" s="333"/>
      <c r="AH115" s="333"/>
      <c r="AI115" s="288"/>
      <c r="AJ115" s="81"/>
      <c r="AK115" s="348">
        <f t="shared" si="580"/>
        <v>3</v>
      </c>
      <c r="AL115" s="349" t="s">
        <v>73</v>
      </c>
      <c r="AM115" s="350"/>
      <c r="AN115" s="351">
        <f t="shared" si="517"/>
        <v>0.01161806607</v>
      </c>
      <c r="AO115" s="350">
        <f t="shared" si="518"/>
        <v>0</v>
      </c>
      <c r="AP115" s="351">
        <v>0.16716266605705102</v>
      </c>
      <c r="AQ115" s="350">
        <f t="shared" si="519"/>
        <v>0</v>
      </c>
      <c r="AR115" s="352">
        <f t="shared" si="520"/>
        <v>0</v>
      </c>
      <c r="AS115" s="333"/>
      <c r="AT115" s="333"/>
      <c r="AU115" s="288"/>
      <c r="AV115" s="81"/>
      <c r="AW115" s="348">
        <f t="shared" si="581"/>
        <v>3</v>
      </c>
      <c r="AX115" s="349" t="s">
        <v>73</v>
      </c>
      <c r="AY115" s="350"/>
      <c r="AZ115" s="351">
        <f t="shared" si="521"/>
        <v>0.01161806607</v>
      </c>
      <c r="BA115" s="350">
        <f t="shared" si="522"/>
        <v>0</v>
      </c>
      <c r="BB115" s="351">
        <v>0.16716266605705102</v>
      </c>
      <c r="BC115" s="350">
        <f t="shared" si="523"/>
        <v>0</v>
      </c>
      <c r="BD115" s="352">
        <f t="shared" si="524"/>
        <v>0</v>
      </c>
      <c r="BE115" s="333"/>
      <c r="BF115" s="333"/>
      <c r="BG115" s="288"/>
      <c r="BH115" s="81"/>
      <c r="BI115" s="348">
        <f t="shared" si="582"/>
        <v>3</v>
      </c>
      <c r="BJ115" s="349" t="s">
        <v>73</v>
      </c>
      <c r="BK115" s="350"/>
      <c r="BL115" s="351">
        <f t="shared" si="525"/>
        <v>0.01161806607</v>
      </c>
      <c r="BM115" s="350">
        <f t="shared" si="526"/>
        <v>0</v>
      </c>
      <c r="BN115" s="351">
        <v>0.16716266605705102</v>
      </c>
      <c r="BO115" s="350">
        <f t="shared" si="527"/>
        <v>0</v>
      </c>
      <c r="BP115" s="352">
        <f t="shared" si="528"/>
        <v>0</v>
      </c>
      <c r="BQ115" s="333"/>
      <c r="BR115" s="333"/>
      <c r="BS115" s="288"/>
      <c r="BT115" s="81"/>
      <c r="BU115" s="348">
        <f t="shared" si="583"/>
        <v>3</v>
      </c>
      <c r="BV115" s="349" t="s">
        <v>73</v>
      </c>
      <c r="BW115" s="350"/>
      <c r="BX115" s="351">
        <f t="shared" si="529"/>
        <v>0.01161806607</v>
      </c>
      <c r="BY115" s="350">
        <f t="shared" si="530"/>
        <v>0</v>
      </c>
      <c r="BZ115" s="351">
        <v>0.16716266605705102</v>
      </c>
      <c r="CA115" s="350">
        <f t="shared" si="531"/>
        <v>0</v>
      </c>
      <c r="CB115" s="352">
        <f t="shared" si="532"/>
        <v>0</v>
      </c>
      <c r="CC115" s="333"/>
      <c r="CD115" s="333"/>
      <c r="CE115" s="288"/>
      <c r="CF115" s="81"/>
      <c r="CG115" s="348">
        <f t="shared" si="584"/>
        <v>3</v>
      </c>
      <c r="CH115" s="349" t="s">
        <v>73</v>
      </c>
      <c r="CI115" s="350"/>
      <c r="CJ115" s="351">
        <f t="shared" si="533"/>
        <v>0.01161806607</v>
      </c>
      <c r="CK115" s="350">
        <f t="shared" si="534"/>
        <v>0</v>
      </c>
      <c r="CL115" s="351">
        <v>0.16716266605705102</v>
      </c>
      <c r="CM115" s="350">
        <f t="shared" si="535"/>
        <v>0</v>
      </c>
      <c r="CN115" s="352">
        <f t="shared" si="536"/>
        <v>0</v>
      </c>
      <c r="CO115" s="333"/>
      <c r="CP115" s="333"/>
      <c r="CQ115" s="288"/>
      <c r="CR115" s="81"/>
      <c r="CS115" s="348">
        <f t="shared" si="585"/>
        <v>3</v>
      </c>
      <c r="CT115" s="349" t="s">
        <v>73</v>
      </c>
      <c r="CU115" s="350"/>
      <c r="CV115" s="351">
        <f t="shared" si="537"/>
        <v>0.01161806607</v>
      </c>
      <c r="CW115" s="350">
        <f t="shared" si="538"/>
        <v>0</v>
      </c>
      <c r="CX115" s="351">
        <v>0.16716266605705102</v>
      </c>
      <c r="CY115" s="350">
        <f t="shared" si="539"/>
        <v>0</v>
      </c>
      <c r="CZ115" s="352">
        <f t="shared" si="540"/>
        <v>0</v>
      </c>
      <c r="DA115" s="333"/>
      <c r="DB115" s="333"/>
      <c r="DC115" s="288"/>
      <c r="DD115" s="81"/>
      <c r="DE115" s="348">
        <f t="shared" si="586"/>
        <v>3</v>
      </c>
      <c r="DF115" s="349" t="s">
        <v>73</v>
      </c>
      <c r="DG115" s="350">
        <f>'Hitung Output'!BJ31</f>
        <v>28786.17264</v>
      </c>
      <c r="DH115" s="351">
        <f t="shared" si="541"/>
        <v>0.01161806607</v>
      </c>
      <c r="DI115" s="353">
        <f t="shared" si="542"/>
        <v>334.4396555</v>
      </c>
      <c r="DJ115" s="351">
        <v>0.16716266605705102</v>
      </c>
      <c r="DK115" s="350">
        <f t="shared" si="543"/>
        <v>55.90582445</v>
      </c>
      <c r="DL115" s="352">
        <f t="shared" si="544"/>
        <v>278.5338311</v>
      </c>
      <c r="DM115" s="333"/>
      <c r="DN115" s="333"/>
      <c r="DO115" s="288"/>
      <c r="DP115" s="81"/>
      <c r="DQ115" s="348">
        <f t="shared" si="587"/>
        <v>3</v>
      </c>
      <c r="DR115" s="349" t="s">
        <v>73</v>
      </c>
      <c r="DS115" s="350">
        <f>'Hitung Output'!BO31</f>
        <v>30587.44897</v>
      </c>
      <c r="DT115" s="351">
        <f t="shared" si="545"/>
        <v>0.01161806607</v>
      </c>
      <c r="DU115" s="401">
        <f t="shared" si="546"/>
        <v>355.367003</v>
      </c>
      <c r="DV115" s="351">
        <v>0.16716266605705102</v>
      </c>
      <c r="DW115" s="350">
        <f t="shared" si="547"/>
        <v>59.40409565</v>
      </c>
      <c r="DX115" s="352">
        <f t="shared" si="548"/>
        <v>295.9629073</v>
      </c>
      <c r="DY115" s="333"/>
      <c r="DZ115" s="333"/>
      <c r="EA115" s="288"/>
      <c r="EB115" s="81"/>
      <c r="EC115" s="348">
        <f t="shared" si="588"/>
        <v>3</v>
      </c>
      <c r="ED115" s="349" t="s">
        <v>73</v>
      </c>
      <c r="EE115" s="350">
        <f>'Hitung Output'!BT31</f>
        <v>53696.67819</v>
      </c>
      <c r="EF115" s="351">
        <f t="shared" si="549"/>
        <v>0.01161806607</v>
      </c>
      <c r="EG115" s="402">
        <f t="shared" si="550"/>
        <v>623.8515548</v>
      </c>
      <c r="EH115" s="351">
        <v>0.16716266605705102</v>
      </c>
      <c r="EI115" s="350">
        <f t="shared" si="551"/>
        <v>104.2846891</v>
      </c>
      <c r="EJ115" s="352">
        <f t="shared" si="552"/>
        <v>519.5668657</v>
      </c>
      <c r="EK115" s="333"/>
      <c r="EL115" s="333"/>
      <c r="EM115" s="288"/>
      <c r="EN115" s="81"/>
      <c r="EO115" s="348">
        <f t="shared" si="589"/>
        <v>3</v>
      </c>
      <c r="EP115" s="349" t="s">
        <v>73</v>
      </c>
      <c r="EQ115" s="350">
        <f>'Hitung Output'!BY31</f>
        <v>55244.06334</v>
      </c>
      <c r="ER115" s="351">
        <f t="shared" si="553"/>
        <v>0.01161806607</v>
      </c>
      <c r="ES115" s="356">
        <f t="shared" si="554"/>
        <v>641.8291777</v>
      </c>
      <c r="ET115" s="351">
        <v>0.16716266605705102</v>
      </c>
      <c r="EU115" s="350">
        <f t="shared" si="555"/>
        <v>107.2898765</v>
      </c>
      <c r="EV115" s="352">
        <f t="shared" si="556"/>
        <v>534.5393012</v>
      </c>
      <c r="EW115" s="333"/>
      <c r="EX115" s="333"/>
      <c r="EY115" s="288"/>
      <c r="EZ115" s="81"/>
      <c r="FA115" s="348">
        <f t="shared" si="590"/>
        <v>3</v>
      </c>
      <c r="FB115" s="349" t="s">
        <v>73</v>
      </c>
      <c r="FC115" s="350">
        <f>'Hitung Output'!CD31</f>
        <v>71429.9383</v>
      </c>
      <c r="FD115" s="351">
        <f t="shared" si="557"/>
        <v>0.01161806607</v>
      </c>
      <c r="FE115" s="401">
        <f t="shared" si="558"/>
        <v>829.8777423</v>
      </c>
      <c r="FF115" s="351">
        <v>0.16716266605705102</v>
      </c>
      <c r="FG115" s="350">
        <f t="shared" si="559"/>
        <v>138.7245759</v>
      </c>
      <c r="FH115" s="352">
        <f t="shared" si="560"/>
        <v>691.1531664</v>
      </c>
      <c r="FI115" s="333"/>
      <c r="FJ115" s="333"/>
      <c r="FK115" s="288"/>
      <c r="FL115" s="81"/>
      <c r="FM115" s="348">
        <f t="shared" si="591"/>
        <v>3</v>
      </c>
      <c r="FN115" s="349" t="s">
        <v>73</v>
      </c>
      <c r="FO115" s="350">
        <f>'Hitung Output'!CI31</f>
        <v>206658.9245</v>
      </c>
      <c r="FP115" s="351">
        <f t="shared" si="561"/>
        <v>0.01161806607</v>
      </c>
      <c r="FQ115" s="403">
        <f t="shared" si="562"/>
        <v>2400.977038</v>
      </c>
      <c r="FR115" s="351">
        <v>0.16716266605705102</v>
      </c>
      <c r="FS115" s="350">
        <f t="shared" si="563"/>
        <v>401.3537228</v>
      </c>
      <c r="FT115" s="352">
        <f t="shared" si="564"/>
        <v>1999.623315</v>
      </c>
      <c r="FU115" s="333"/>
      <c r="FV115" s="333"/>
      <c r="FW115" s="288"/>
      <c r="FX115" s="81"/>
      <c r="FY115" s="348">
        <f t="shared" si="592"/>
        <v>3</v>
      </c>
      <c r="FZ115" s="349" t="s">
        <v>73</v>
      </c>
      <c r="GA115" s="350">
        <f>'Hitung Output'!CN31</f>
        <v>170424.1699</v>
      </c>
      <c r="GB115" s="351">
        <f t="shared" si="565"/>
        <v>0.01161806607</v>
      </c>
      <c r="GC115" s="350">
        <f t="shared" si="566"/>
        <v>1979.999265</v>
      </c>
      <c r="GD115" s="351">
        <v>0.16716266605705102</v>
      </c>
      <c r="GE115" s="350">
        <f t="shared" si="567"/>
        <v>330.9819559</v>
      </c>
      <c r="GF115" s="352">
        <f t="shared" si="568"/>
        <v>1649.017309</v>
      </c>
      <c r="GG115" s="333"/>
      <c r="GH115" s="333"/>
      <c r="GI115" s="288"/>
      <c r="GJ115" s="81"/>
      <c r="GK115" s="348">
        <f t="shared" si="593"/>
        <v>3</v>
      </c>
      <c r="GL115" s="349" t="s">
        <v>73</v>
      </c>
      <c r="GM115" s="350"/>
      <c r="GN115" s="351">
        <f t="shared" si="569"/>
        <v>0.01161806607</v>
      </c>
      <c r="GO115" s="350">
        <f t="shared" si="570"/>
        <v>0</v>
      </c>
      <c r="GP115" s="351">
        <v>0.16716266605705102</v>
      </c>
      <c r="GQ115" s="350">
        <f t="shared" si="571"/>
        <v>0</v>
      </c>
      <c r="GR115" s="352">
        <f t="shared" si="572"/>
        <v>0</v>
      </c>
      <c r="GS115" s="333"/>
      <c r="GT115" s="333"/>
      <c r="GU115" s="288"/>
      <c r="GV115" s="81"/>
      <c r="GW115" s="348">
        <f t="shared" si="594"/>
        <v>3</v>
      </c>
      <c r="GX115" s="349" t="s">
        <v>73</v>
      </c>
      <c r="GY115" s="350"/>
      <c r="GZ115" s="351">
        <f t="shared" si="573"/>
        <v>0.01161806607</v>
      </c>
      <c r="HA115" s="350">
        <f t="shared" si="574"/>
        <v>0</v>
      </c>
      <c r="HB115" s="351">
        <v>0.16716266605705102</v>
      </c>
      <c r="HC115" s="350">
        <f t="shared" si="575"/>
        <v>0</v>
      </c>
      <c r="HD115" s="352">
        <f t="shared" si="576"/>
        <v>0</v>
      </c>
      <c r="HE115" s="333"/>
      <c r="HF115" s="333"/>
      <c r="HG115" s="288"/>
      <c r="HH115" s="81"/>
      <c r="HI115" s="75"/>
    </row>
    <row r="116" ht="15.75" customHeight="1">
      <c r="A116" s="348">
        <f t="shared" si="577"/>
        <v>4</v>
      </c>
      <c r="B116" s="349" t="s">
        <v>74</v>
      </c>
      <c r="C116" s="350"/>
      <c r="D116" s="351">
        <f t="shared" si="505"/>
        <v>0.01161806607</v>
      </c>
      <c r="E116" s="350">
        <f t="shared" si="506"/>
        <v>0</v>
      </c>
      <c r="F116" s="351">
        <v>0.16716266605705102</v>
      </c>
      <c r="G116" s="350">
        <f t="shared" si="507"/>
        <v>0</v>
      </c>
      <c r="H116" s="352">
        <f t="shared" si="508"/>
        <v>0</v>
      </c>
      <c r="I116" s="333"/>
      <c r="J116" s="333"/>
      <c r="K116" s="288"/>
      <c r="L116" s="81"/>
      <c r="M116" s="348">
        <f t="shared" si="578"/>
        <v>4</v>
      </c>
      <c r="N116" s="349" t="s">
        <v>74</v>
      </c>
      <c r="O116" s="350"/>
      <c r="P116" s="351">
        <f t="shared" si="509"/>
        <v>0.01161806607</v>
      </c>
      <c r="Q116" s="350">
        <f t="shared" si="510"/>
        <v>0</v>
      </c>
      <c r="R116" s="351">
        <v>0.16716266605705102</v>
      </c>
      <c r="S116" s="350">
        <f t="shared" si="511"/>
        <v>0</v>
      </c>
      <c r="T116" s="352">
        <f t="shared" si="512"/>
        <v>0</v>
      </c>
      <c r="U116" s="333"/>
      <c r="V116" s="333"/>
      <c r="W116" s="288"/>
      <c r="X116" s="81"/>
      <c r="Y116" s="348">
        <f t="shared" si="579"/>
        <v>4</v>
      </c>
      <c r="Z116" s="349" t="s">
        <v>74</v>
      </c>
      <c r="AA116" s="350"/>
      <c r="AB116" s="351">
        <f t="shared" si="513"/>
        <v>0.01161806607</v>
      </c>
      <c r="AC116" s="350">
        <f t="shared" si="514"/>
        <v>0</v>
      </c>
      <c r="AD116" s="351">
        <v>0.16716266605705102</v>
      </c>
      <c r="AE116" s="350">
        <f t="shared" si="515"/>
        <v>0</v>
      </c>
      <c r="AF116" s="352">
        <f t="shared" si="516"/>
        <v>0</v>
      </c>
      <c r="AG116" s="333"/>
      <c r="AH116" s="333"/>
      <c r="AI116" s="288"/>
      <c r="AJ116" s="81"/>
      <c r="AK116" s="348">
        <f t="shared" si="580"/>
        <v>4</v>
      </c>
      <c r="AL116" s="349" t="s">
        <v>74</v>
      </c>
      <c r="AM116" s="350"/>
      <c r="AN116" s="351">
        <f t="shared" si="517"/>
        <v>0.01161806607</v>
      </c>
      <c r="AO116" s="350">
        <f t="shared" si="518"/>
        <v>0</v>
      </c>
      <c r="AP116" s="351">
        <v>0.16716266605705102</v>
      </c>
      <c r="AQ116" s="350">
        <f t="shared" si="519"/>
        <v>0</v>
      </c>
      <c r="AR116" s="352">
        <f t="shared" si="520"/>
        <v>0</v>
      </c>
      <c r="AS116" s="333"/>
      <c r="AT116" s="333"/>
      <c r="AU116" s="288"/>
      <c r="AV116" s="81"/>
      <c r="AW116" s="348">
        <f t="shared" si="581"/>
        <v>4</v>
      </c>
      <c r="AX116" s="349" t="s">
        <v>74</v>
      </c>
      <c r="AY116" s="350"/>
      <c r="AZ116" s="351">
        <f t="shared" si="521"/>
        <v>0.01161806607</v>
      </c>
      <c r="BA116" s="350">
        <f t="shared" si="522"/>
        <v>0</v>
      </c>
      <c r="BB116" s="351">
        <v>0.16716266605705102</v>
      </c>
      <c r="BC116" s="350">
        <f t="shared" si="523"/>
        <v>0</v>
      </c>
      <c r="BD116" s="352">
        <f t="shared" si="524"/>
        <v>0</v>
      </c>
      <c r="BE116" s="333"/>
      <c r="BF116" s="333"/>
      <c r="BG116" s="288"/>
      <c r="BH116" s="81"/>
      <c r="BI116" s="348">
        <f t="shared" si="582"/>
        <v>4</v>
      </c>
      <c r="BJ116" s="349" t="s">
        <v>74</v>
      </c>
      <c r="BK116" s="350"/>
      <c r="BL116" s="351">
        <f t="shared" si="525"/>
        <v>0.01161806607</v>
      </c>
      <c r="BM116" s="350">
        <f t="shared" si="526"/>
        <v>0</v>
      </c>
      <c r="BN116" s="351">
        <v>0.16716266605705102</v>
      </c>
      <c r="BO116" s="350">
        <f t="shared" si="527"/>
        <v>0</v>
      </c>
      <c r="BP116" s="352">
        <f t="shared" si="528"/>
        <v>0</v>
      </c>
      <c r="BQ116" s="333"/>
      <c r="BR116" s="333"/>
      <c r="BS116" s="288"/>
      <c r="BT116" s="81"/>
      <c r="BU116" s="348">
        <f t="shared" si="583"/>
        <v>4</v>
      </c>
      <c r="BV116" s="349" t="s">
        <v>74</v>
      </c>
      <c r="BW116" s="350"/>
      <c r="BX116" s="351">
        <f t="shared" si="529"/>
        <v>0.01161806607</v>
      </c>
      <c r="BY116" s="350">
        <f t="shared" si="530"/>
        <v>0</v>
      </c>
      <c r="BZ116" s="351">
        <v>0.16716266605705102</v>
      </c>
      <c r="CA116" s="350">
        <f t="shared" si="531"/>
        <v>0</v>
      </c>
      <c r="CB116" s="352">
        <f t="shared" si="532"/>
        <v>0</v>
      </c>
      <c r="CC116" s="333"/>
      <c r="CD116" s="333"/>
      <c r="CE116" s="288"/>
      <c r="CF116" s="81"/>
      <c r="CG116" s="348">
        <f t="shared" si="584"/>
        <v>4</v>
      </c>
      <c r="CH116" s="349" t="s">
        <v>74</v>
      </c>
      <c r="CI116" s="350"/>
      <c r="CJ116" s="351">
        <f t="shared" si="533"/>
        <v>0.01161806607</v>
      </c>
      <c r="CK116" s="350">
        <f t="shared" si="534"/>
        <v>0</v>
      </c>
      <c r="CL116" s="351">
        <v>0.16716266605705102</v>
      </c>
      <c r="CM116" s="350">
        <f t="shared" si="535"/>
        <v>0</v>
      </c>
      <c r="CN116" s="352">
        <f t="shared" si="536"/>
        <v>0</v>
      </c>
      <c r="CO116" s="333"/>
      <c r="CP116" s="333"/>
      <c r="CQ116" s="288"/>
      <c r="CR116" s="81"/>
      <c r="CS116" s="348">
        <f t="shared" si="585"/>
        <v>4</v>
      </c>
      <c r="CT116" s="349" t="s">
        <v>74</v>
      </c>
      <c r="CU116" s="350"/>
      <c r="CV116" s="351">
        <f t="shared" si="537"/>
        <v>0.01161806607</v>
      </c>
      <c r="CW116" s="350">
        <f t="shared" si="538"/>
        <v>0</v>
      </c>
      <c r="CX116" s="351">
        <v>0.16716266605705102</v>
      </c>
      <c r="CY116" s="350">
        <f t="shared" si="539"/>
        <v>0</v>
      </c>
      <c r="CZ116" s="352">
        <f t="shared" si="540"/>
        <v>0</v>
      </c>
      <c r="DA116" s="333"/>
      <c r="DB116" s="333"/>
      <c r="DC116" s="288"/>
      <c r="DD116" s="81"/>
      <c r="DE116" s="348">
        <f t="shared" si="586"/>
        <v>4</v>
      </c>
      <c r="DF116" s="349" t="s">
        <v>74</v>
      </c>
      <c r="DG116" s="350">
        <f>'Hitung Output'!BJ32</f>
        <v>239726.2685</v>
      </c>
      <c r="DH116" s="351">
        <f t="shared" si="541"/>
        <v>0.01161806607</v>
      </c>
      <c r="DI116" s="353">
        <f t="shared" si="542"/>
        <v>2785.155625</v>
      </c>
      <c r="DJ116" s="351">
        <v>0.16716266605705102</v>
      </c>
      <c r="DK116" s="350">
        <f t="shared" si="543"/>
        <v>465.5740397</v>
      </c>
      <c r="DL116" s="352">
        <f t="shared" si="544"/>
        <v>2319.581586</v>
      </c>
      <c r="DM116" s="333"/>
      <c r="DN116" s="333"/>
      <c r="DO116" s="288"/>
      <c r="DP116" s="81"/>
      <c r="DQ116" s="348">
        <f t="shared" si="587"/>
        <v>4</v>
      </c>
      <c r="DR116" s="349" t="s">
        <v>74</v>
      </c>
      <c r="DS116" s="350">
        <f>'Hitung Output'!BO32</f>
        <v>238946.7271</v>
      </c>
      <c r="DT116" s="351">
        <f t="shared" si="545"/>
        <v>0.01161806607</v>
      </c>
      <c r="DU116" s="401">
        <f t="shared" si="546"/>
        <v>2776.098862</v>
      </c>
      <c r="DV116" s="351">
        <v>0.16716266605705102</v>
      </c>
      <c r="DW116" s="350">
        <f t="shared" si="547"/>
        <v>464.060087</v>
      </c>
      <c r="DX116" s="352">
        <f t="shared" si="548"/>
        <v>2312.038775</v>
      </c>
      <c r="DY116" s="333"/>
      <c r="DZ116" s="333"/>
      <c r="EA116" s="288"/>
      <c r="EB116" s="81"/>
      <c r="EC116" s="348">
        <f t="shared" si="588"/>
        <v>4</v>
      </c>
      <c r="ED116" s="349" t="s">
        <v>74</v>
      </c>
      <c r="EE116" s="350">
        <f>'Hitung Output'!BT32</f>
        <v>266051.9978</v>
      </c>
      <c r="EF116" s="351">
        <f t="shared" si="549"/>
        <v>0.01161806607</v>
      </c>
      <c r="EG116" s="402">
        <f t="shared" si="550"/>
        <v>3091.009688</v>
      </c>
      <c r="EH116" s="351">
        <v>0.16716266605705102</v>
      </c>
      <c r="EI116" s="350">
        <f t="shared" si="551"/>
        <v>516.7014202</v>
      </c>
      <c r="EJ116" s="352">
        <f t="shared" si="552"/>
        <v>2574.308268</v>
      </c>
      <c r="EK116" s="333"/>
      <c r="EL116" s="333"/>
      <c r="EM116" s="288"/>
      <c r="EN116" s="81"/>
      <c r="EO116" s="348">
        <f t="shared" si="589"/>
        <v>4</v>
      </c>
      <c r="EP116" s="349" t="s">
        <v>74</v>
      </c>
      <c r="EQ116" s="350">
        <f>'Hitung Output'!BY32</f>
        <v>271654.2155</v>
      </c>
      <c r="ER116" s="351">
        <f t="shared" si="553"/>
        <v>0.01161806607</v>
      </c>
      <c r="ES116" s="356">
        <f t="shared" si="554"/>
        <v>3156.096623</v>
      </c>
      <c r="ET116" s="351">
        <v>0.16716266605705102</v>
      </c>
      <c r="EU116" s="350">
        <f t="shared" si="555"/>
        <v>527.5815258</v>
      </c>
      <c r="EV116" s="352">
        <f t="shared" si="556"/>
        <v>2628.515097</v>
      </c>
      <c r="EW116" s="333"/>
      <c r="EX116" s="333"/>
      <c r="EY116" s="288"/>
      <c r="EZ116" s="81"/>
      <c r="FA116" s="348">
        <f t="shared" si="590"/>
        <v>4</v>
      </c>
      <c r="FB116" s="349" t="s">
        <v>74</v>
      </c>
      <c r="FC116" s="350">
        <f>'Hitung Output'!CD32</f>
        <v>278909.5582</v>
      </c>
      <c r="FD116" s="351">
        <f t="shared" si="557"/>
        <v>0.01161806607</v>
      </c>
      <c r="FE116" s="401">
        <f t="shared" si="558"/>
        <v>3240.389673</v>
      </c>
      <c r="FF116" s="351">
        <v>0.16716266605705102</v>
      </c>
      <c r="FG116" s="350">
        <f t="shared" si="559"/>
        <v>541.6721769</v>
      </c>
      <c r="FH116" s="352">
        <f t="shared" si="560"/>
        <v>2698.717496</v>
      </c>
      <c r="FI116" s="333"/>
      <c r="FJ116" s="333"/>
      <c r="FK116" s="288"/>
      <c r="FL116" s="81"/>
      <c r="FM116" s="348">
        <f t="shared" si="591"/>
        <v>4</v>
      </c>
      <c r="FN116" s="349" t="s">
        <v>74</v>
      </c>
      <c r="FO116" s="350">
        <f>'Hitung Output'!CI32</f>
        <v>282649.9267</v>
      </c>
      <c r="FP116" s="351">
        <f t="shared" si="561"/>
        <v>0.01161806607</v>
      </c>
      <c r="FQ116" s="403">
        <f t="shared" si="562"/>
        <v>3283.845523</v>
      </c>
      <c r="FR116" s="351">
        <v>0.16716266605705102</v>
      </c>
      <c r="FS116" s="350">
        <f t="shared" si="563"/>
        <v>548.9363725</v>
      </c>
      <c r="FT116" s="352">
        <f t="shared" si="564"/>
        <v>2734.90915</v>
      </c>
      <c r="FU116" s="333"/>
      <c r="FV116" s="333"/>
      <c r="FW116" s="288"/>
      <c r="FX116" s="81"/>
      <c r="FY116" s="348">
        <f t="shared" si="592"/>
        <v>4</v>
      </c>
      <c r="FZ116" s="349" t="s">
        <v>74</v>
      </c>
      <c r="GA116" s="350">
        <f>'Hitung Output'!CN32</f>
        <v>329691.6858</v>
      </c>
      <c r="GB116" s="351">
        <f t="shared" si="565"/>
        <v>0.01161806607</v>
      </c>
      <c r="GC116" s="350">
        <f t="shared" si="566"/>
        <v>3830.379788</v>
      </c>
      <c r="GD116" s="351">
        <v>0.16716266605705102</v>
      </c>
      <c r="GE116" s="350">
        <f t="shared" si="567"/>
        <v>640.2964973</v>
      </c>
      <c r="GF116" s="352">
        <f t="shared" si="568"/>
        <v>3190.08329</v>
      </c>
      <c r="GG116" s="333"/>
      <c r="GH116" s="333"/>
      <c r="GI116" s="288"/>
      <c r="GJ116" s="81"/>
      <c r="GK116" s="348">
        <f t="shared" si="593"/>
        <v>4</v>
      </c>
      <c r="GL116" s="349" t="s">
        <v>74</v>
      </c>
      <c r="GM116" s="350"/>
      <c r="GN116" s="351">
        <f t="shared" si="569"/>
        <v>0.01161806607</v>
      </c>
      <c r="GO116" s="350">
        <f t="shared" si="570"/>
        <v>0</v>
      </c>
      <c r="GP116" s="351">
        <v>0.16716266605705102</v>
      </c>
      <c r="GQ116" s="350">
        <f t="shared" si="571"/>
        <v>0</v>
      </c>
      <c r="GR116" s="352">
        <f t="shared" si="572"/>
        <v>0</v>
      </c>
      <c r="GS116" s="333"/>
      <c r="GT116" s="333"/>
      <c r="GU116" s="288"/>
      <c r="GV116" s="81"/>
      <c r="GW116" s="348">
        <f t="shared" si="594"/>
        <v>4</v>
      </c>
      <c r="GX116" s="349" t="s">
        <v>74</v>
      </c>
      <c r="GY116" s="350"/>
      <c r="GZ116" s="351">
        <f t="shared" si="573"/>
        <v>0.01161806607</v>
      </c>
      <c r="HA116" s="350">
        <f t="shared" si="574"/>
        <v>0</v>
      </c>
      <c r="HB116" s="351">
        <v>0.16716266605705102</v>
      </c>
      <c r="HC116" s="350">
        <f t="shared" si="575"/>
        <v>0</v>
      </c>
      <c r="HD116" s="352">
        <f t="shared" si="576"/>
        <v>0</v>
      </c>
      <c r="HE116" s="333"/>
      <c r="HF116" s="333"/>
      <c r="HG116" s="288"/>
      <c r="HH116" s="81"/>
      <c r="HI116" s="75"/>
    </row>
    <row r="117" ht="15.75" customHeight="1">
      <c r="A117" s="348">
        <f t="shared" si="577"/>
        <v>5</v>
      </c>
      <c r="B117" s="349" t="s">
        <v>75</v>
      </c>
      <c r="C117" s="350"/>
      <c r="D117" s="351">
        <f t="shared" si="505"/>
        <v>0.01161806607</v>
      </c>
      <c r="E117" s="350">
        <f t="shared" si="506"/>
        <v>0</v>
      </c>
      <c r="F117" s="351">
        <v>0.16716266605705102</v>
      </c>
      <c r="G117" s="350">
        <f t="shared" si="507"/>
        <v>0</v>
      </c>
      <c r="H117" s="352">
        <f t="shared" si="508"/>
        <v>0</v>
      </c>
      <c r="I117" s="333"/>
      <c r="J117" s="333"/>
      <c r="K117" s="288"/>
      <c r="L117" s="81"/>
      <c r="M117" s="348">
        <f t="shared" si="578"/>
        <v>5</v>
      </c>
      <c r="N117" s="349" t="s">
        <v>75</v>
      </c>
      <c r="O117" s="350"/>
      <c r="P117" s="351">
        <f t="shared" si="509"/>
        <v>0.01161806607</v>
      </c>
      <c r="Q117" s="350">
        <f t="shared" si="510"/>
        <v>0</v>
      </c>
      <c r="R117" s="351">
        <v>0.16716266605705102</v>
      </c>
      <c r="S117" s="350">
        <f t="shared" si="511"/>
        <v>0</v>
      </c>
      <c r="T117" s="352">
        <f t="shared" si="512"/>
        <v>0</v>
      </c>
      <c r="U117" s="333"/>
      <c r="V117" s="333"/>
      <c r="W117" s="288"/>
      <c r="X117" s="81"/>
      <c r="Y117" s="348">
        <f t="shared" si="579"/>
        <v>5</v>
      </c>
      <c r="Z117" s="349" t="s">
        <v>75</v>
      </c>
      <c r="AA117" s="350"/>
      <c r="AB117" s="351">
        <f t="shared" si="513"/>
        <v>0.01161806607</v>
      </c>
      <c r="AC117" s="350">
        <f t="shared" si="514"/>
        <v>0</v>
      </c>
      <c r="AD117" s="351">
        <v>0.16716266605705102</v>
      </c>
      <c r="AE117" s="350">
        <f t="shared" si="515"/>
        <v>0</v>
      </c>
      <c r="AF117" s="352">
        <f t="shared" si="516"/>
        <v>0</v>
      </c>
      <c r="AG117" s="333"/>
      <c r="AH117" s="333"/>
      <c r="AI117" s="288"/>
      <c r="AJ117" s="81"/>
      <c r="AK117" s="348">
        <f t="shared" si="580"/>
        <v>5</v>
      </c>
      <c r="AL117" s="349" t="s">
        <v>75</v>
      </c>
      <c r="AM117" s="350"/>
      <c r="AN117" s="351">
        <f t="shared" si="517"/>
        <v>0.01161806607</v>
      </c>
      <c r="AO117" s="350">
        <f t="shared" si="518"/>
        <v>0</v>
      </c>
      <c r="AP117" s="351">
        <v>0.16716266605705102</v>
      </c>
      <c r="AQ117" s="350">
        <f t="shared" si="519"/>
        <v>0</v>
      </c>
      <c r="AR117" s="352">
        <f t="shared" si="520"/>
        <v>0</v>
      </c>
      <c r="AS117" s="333"/>
      <c r="AT117" s="333"/>
      <c r="AU117" s="288"/>
      <c r="AV117" s="81"/>
      <c r="AW117" s="348">
        <f t="shared" si="581"/>
        <v>5</v>
      </c>
      <c r="AX117" s="349" t="s">
        <v>75</v>
      </c>
      <c r="AY117" s="350"/>
      <c r="AZ117" s="351">
        <f t="shared" si="521"/>
        <v>0.01161806607</v>
      </c>
      <c r="BA117" s="350">
        <f t="shared" si="522"/>
        <v>0</v>
      </c>
      <c r="BB117" s="351">
        <v>0.16716266605705102</v>
      </c>
      <c r="BC117" s="350">
        <f t="shared" si="523"/>
        <v>0</v>
      </c>
      <c r="BD117" s="352">
        <f t="shared" si="524"/>
        <v>0</v>
      </c>
      <c r="BE117" s="333"/>
      <c r="BF117" s="333"/>
      <c r="BG117" s="288"/>
      <c r="BH117" s="81"/>
      <c r="BI117" s="348">
        <f t="shared" si="582"/>
        <v>5</v>
      </c>
      <c r="BJ117" s="349" t="s">
        <v>75</v>
      </c>
      <c r="BK117" s="350"/>
      <c r="BL117" s="351">
        <f t="shared" si="525"/>
        <v>0.01161806607</v>
      </c>
      <c r="BM117" s="350">
        <f t="shared" si="526"/>
        <v>0</v>
      </c>
      <c r="BN117" s="351">
        <v>0.16716266605705102</v>
      </c>
      <c r="BO117" s="350">
        <f t="shared" si="527"/>
        <v>0</v>
      </c>
      <c r="BP117" s="352">
        <f t="shared" si="528"/>
        <v>0</v>
      </c>
      <c r="BQ117" s="333"/>
      <c r="BR117" s="333"/>
      <c r="BS117" s="288"/>
      <c r="BT117" s="81"/>
      <c r="BU117" s="348">
        <f t="shared" si="583"/>
        <v>5</v>
      </c>
      <c r="BV117" s="349" t="s">
        <v>75</v>
      </c>
      <c r="BW117" s="350"/>
      <c r="BX117" s="351">
        <f t="shared" si="529"/>
        <v>0.01161806607</v>
      </c>
      <c r="BY117" s="350">
        <f t="shared" si="530"/>
        <v>0</v>
      </c>
      <c r="BZ117" s="351">
        <v>0.16716266605705102</v>
      </c>
      <c r="CA117" s="350">
        <f t="shared" si="531"/>
        <v>0</v>
      </c>
      <c r="CB117" s="352">
        <f t="shared" si="532"/>
        <v>0</v>
      </c>
      <c r="CC117" s="333"/>
      <c r="CD117" s="333"/>
      <c r="CE117" s="288"/>
      <c r="CF117" s="81"/>
      <c r="CG117" s="348">
        <f t="shared" si="584"/>
        <v>5</v>
      </c>
      <c r="CH117" s="349" t="s">
        <v>75</v>
      </c>
      <c r="CI117" s="350"/>
      <c r="CJ117" s="351">
        <f t="shared" si="533"/>
        <v>0.01161806607</v>
      </c>
      <c r="CK117" s="350">
        <f t="shared" si="534"/>
        <v>0</v>
      </c>
      <c r="CL117" s="351">
        <v>0.16716266605705102</v>
      </c>
      <c r="CM117" s="350">
        <f t="shared" si="535"/>
        <v>0</v>
      </c>
      <c r="CN117" s="352">
        <f t="shared" si="536"/>
        <v>0</v>
      </c>
      <c r="CO117" s="333"/>
      <c r="CP117" s="333"/>
      <c r="CQ117" s="288"/>
      <c r="CR117" s="81"/>
      <c r="CS117" s="348">
        <f t="shared" si="585"/>
        <v>5</v>
      </c>
      <c r="CT117" s="349" t="s">
        <v>75</v>
      </c>
      <c r="CU117" s="350"/>
      <c r="CV117" s="351">
        <f t="shared" si="537"/>
        <v>0.01161806607</v>
      </c>
      <c r="CW117" s="350">
        <f t="shared" si="538"/>
        <v>0</v>
      </c>
      <c r="CX117" s="351">
        <v>0.16716266605705102</v>
      </c>
      <c r="CY117" s="350">
        <f t="shared" si="539"/>
        <v>0</v>
      </c>
      <c r="CZ117" s="352">
        <f t="shared" si="540"/>
        <v>0</v>
      </c>
      <c r="DA117" s="333"/>
      <c r="DB117" s="333"/>
      <c r="DC117" s="288"/>
      <c r="DD117" s="81"/>
      <c r="DE117" s="348">
        <f t="shared" si="586"/>
        <v>5</v>
      </c>
      <c r="DF117" s="349" t="s">
        <v>75</v>
      </c>
      <c r="DG117" s="350">
        <f>'Hitung Output'!BJ33</f>
        <v>2659515.058</v>
      </c>
      <c r="DH117" s="351">
        <f t="shared" si="541"/>
        <v>0.01161806607</v>
      </c>
      <c r="DI117" s="353">
        <f t="shared" si="542"/>
        <v>30898.42165</v>
      </c>
      <c r="DJ117" s="351">
        <v>0.16716266605705102</v>
      </c>
      <c r="DK117" s="350">
        <f t="shared" si="543"/>
        <v>5165.06254</v>
      </c>
      <c r="DL117" s="352">
        <f t="shared" si="544"/>
        <v>25733.35911</v>
      </c>
      <c r="DM117" s="333"/>
      <c r="DN117" s="333"/>
      <c r="DO117" s="288"/>
      <c r="DP117" s="81"/>
      <c r="DQ117" s="348">
        <f t="shared" si="587"/>
        <v>5</v>
      </c>
      <c r="DR117" s="349" t="s">
        <v>75</v>
      </c>
      <c r="DS117" s="350">
        <f>'Hitung Output'!BO33</f>
        <v>2499052.994</v>
      </c>
      <c r="DT117" s="351">
        <f t="shared" si="545"/>
        <v>0.01161806607</v>
      </c>
      <c r="DU117" s="401">
        <f t="shared" si="546"/>
        <v>29034.16279</v>
      </c>
      <c r="DV117" s="351">
        <v>0.16716266605705102</v>
      </c>
      <c r="DW117" s="350">
        <f t="shared" si="547"/>
        <v>4853.428059</v>
      </c>
      <c r="DX117" s="352">
        <f t="shared" si="548"/>
        <v>24180.73473</v>
      </c>
      <c r="DY117" s="333"/>
      <c r="DZ117" s="333"/>
      <c r="EA117" s="288"/>
      <c r="EB117" s="81"/>
      <c r="EC117" s="348">
        <f t="shared" si="588"/>
        <v>5</v>
      </c>
      <c r="ED117" s="349" t="s">
        <v>75</v>
      </c>
      <c r="EE117" s="350">
        <f>'Hitung Output'!BT33</f>
        <v>2632210.067</v>
      </c>
      <c r="EF117" s="351">
        <f t="shared" si="549"/>
        <v>0.01161806607</v>
      </c>
      <c r="EG117" s="402">
        <f t="shared" si="550"/>
        <v>30581.19046</v>
      </c>
      <c r="EH117" s="351">
        <v>0.16716266605705102</v>
      </c>
      <c r="EI117" s="350">
        <f t="shared" si="551"/>
        <v>5112.033328</v>
      </c>
      <c r="EJ117" s="352">
        <f t="shared" si="552"/>
        <v>25469.15713</v>
      </c>
      <c r="EK117" s="333"/>
      <c r="EL117" s="333"/>
      <c r="EM117" s="288"/>
      <c r="EN117" s="81"/>
      <c r="EO117" s="348">
        <f t="shared" si="589"/>
        <v>5</v>
      </c>
      <c r="EP117" s="349" t="s">
        <v>75</v>
      </c>
      <c r="EQ117" s="350">
        <f>'Hitung Output'!BY33</f>
        <v>2925420.443</v>
      </c>
      <c r="ER117" s="351">
        <f t="shared" si="553"/>
        <v>0.01161806607</v>
      </c>
      <c r="ES117" s="356">
        <f t="shared" si="554"/>
        <v>33987.72797</v>
      </c>
      <c r="ET117" s="351">
        <v>0.16716266605705102</v>
      </c>
      <c r="EU117" s="350">
        <f t="shared" si="555"/>
        <v>5681.479221</v>
      </c>
      <c r="EV117" s="352">
        <f t="shared" si="556"/>
        <v>28306.24875</v>
      </c>
      <c r="EW117" s="333"/>
      <c r="EX117" s="333"/>
      <c r="EY117" s="288"/>
      <c r="EZ117" s="81"/>
      <c r="FA117" s="348">
        <f t="shared" si="590"/>
        <v>5</v>
      </c>
      <c r="FB117" s="349" t="s">
        <v>75</v>
      </c>
      <c r="FC117" s="350">
        <f>'Hitung Output'!CD33</f>
        <v>3497090.238</v>
      </c>
      <c r="FD117" s="351">
        <f t="shared" si="557"/>
        <v>0.01161806607</v>
      </c>
      <c r="FE117" s="401">
        <f t="shared" si="558"/>
        <v>40629.42543</v>
      </c>
      <c r="FF117" s="351">
        <v>0.16716266605705102</v>
      </c>
      <c r="FG117" s="350">
        <f t="shared" si="559"/>
        <v>6791.723075</v>
      </c>
      <c r="FH117" s="352">
        <f t="shared" si="560"/>
        <v>33837.70236</v>
      </c>
      <c r="FI117" s="333"/>
      <c r="FJ117" s="333"/>
      <c r="FK117" s="288"/>
      <c r="FL117" s="81"/>
      <c r="FM117" s="348">
        <f t="shared" si="591"/>
        <v>5</v>
      </c>
      <c r="FN117" s="349" t="s">
        <v>75</v>
      </c>
      <c r="FO117" s="350">
        <f>'Hitung Output'!CI33</f>
        <v>4437045.373</v>
      </c>
      <c r="FP117" s="351">
        <f t="shared" si="561"/>
        <v>0.01161806607</v>
      </c>
      <c r="FQ117" s="403">
        <f t="shared" si="562"/>
        <v>51549.88629</v>
      </c>
      <c r="FR117" s="351">
        <v>0.16716266605705102</v>
      </c>
      <c r="FS117" s="350">
        <f t="shared" si="563"/>
        <v>8617.216427</v>
      </c>
      <c r="FT117" s="352">
        <f t="shared" si="564"/>
        <v>42932.66986</v>
      </c>
      <c r="FU117" s="333"/>
      <c r="FV117" s="333"/>
      <c r="FW117" s="288"/>
      <c r="FX117" s="81"/>
      <c r="FY117" s="348">
        <f t="shared" si="592"/>
        <v>5</v>
      </c>
      <c r="FZ117" s="349" t="s">
        <v>75</v>
      </c>
      <c r="GA117" s="350">
        <f>'Hitung Output'!CN33</f>
        <v>4933230.056</v>
      </c>
      <c r="GB117" s="351">
        <f t="shared" si="565"/>
        <v>0.01161806607</v>
      </c>
      <c r="GC117" s="350">
        <f t="shared" si="566"/>
        <v>57314.59271</v>
      </c>
      <c r="GD117" s="351">
        <v>0.16716266605705102</v>
      </c>
      <c r="GE117" s="350">
        <f t="shared" si="567"/>
        <v>9580.860122</v>
      </c>
      <c r="GF117" s="352">
        <f t="shared" si="568"/>
        <v>47733.73259</v>
      </c>
      <c r="GG117" s="333"/>
      <c r="GH117" s="333"/>
      <c r="GI117" s="288"/>
      <c r="GJ117" s="81"/>
      <c r="GK117" s="348">
        <f t="shared" si="593"/>
        <v>5</v>
      </c>
      <c r="GL117" s="349" t="s">
        <v>75</v>
      </c>
      <c r="GM117" s="350"/>
      <c r="GN117" s="351">
        <f t="shared" si="569"/>
        <v>0.01161806607</v>
      </c>
      <c r="GO117" s="350">
        <f t="shared" si="570"/>
        <v>0</v>
      </c>
      <c r="GP117" s="351">
        <v>0.16716266605705102</v>
      </c>
      <c r="GQ117" s="350">
        <f t="shared" si="571"/>
        <v>0</v>
      </c>
      <c r="GR117" s="352">
        <f t="shared" si="572"/>
        <v>0</v>
      </c>
      <c r="GS117" s="333"/>
      <c r="GT117" s="333"/>
      <c r="GU117" s="288"/>
      <c r="GV117" s="81"/>
      <c r="GW117" s="348">
        <f t="shared" si="594"/>
        <v>5</v>
      </c>
      <c r="GX117" s="349" t="s">
        <v>75</v>
      </c>
      <c r="GY117" s="350"/>
      <c r="GZ117" s="351">
        <f t="shared" si="573"/>
        <v>0.01161806607</v>
      </c>
      <c r="HA117" s="350">
        <f t="shared" si="574"/>
        <v>0</v>
      </c>
      <c r="HB117" s="351">
        <v>0.16716266605705102</v>
      </c>
      <c r="HC117" s="350">
        <f t="shared" si="575"/>
        <v>0</v>
      </c>
      <c r="HD117" s="352">
        <f t="shared" si="576"/>
        <v>0</v>
      </c>
      <c r="HE117" s="333"/>
      <c r="HF117" s="333"/>
      <c r="HG117" s="288"/>
      <c r="HH117" s="81"/>
      <c r="HI117" s="75"/>
    </row>
    <row r="118" ht="15.75" customHeight="1">
      <c r="A118" s="348">
        <f t="shared" si="577"/>
        <v>6</v>
      </c>
      <c r="B118" s="349" t="s">
        <v>76</v>
      </c>
      <c r="C118" s="350"/>
      <c r="D118" s="351">
        <f t="shared" si="505"/>
        <v>0.01161806607</v>
      </c>
      <c r="E118" s="350">
        <f t="shared" si="506"/>
        <v>0</v>
      </c>
      <c r="F118" s="351">
        <v>0.16716266605705102</v>
      </c>
      <c r="G118" s="350">
        <f t="shared" si="507"/>
        <v>0</v>
      </c>
      <c r="H118" s="352">
        <f t="shared" si="508"/>
        <v>0</v>
      </c>
      <c r="I118" s="333"/>
      <c r="J118" s="333"/>
      <c r="K118" s="288"/>
      <c r="L118" s="81"/>
      <c r="M118" s="348">
        <f t="shared" si="578"/>
        <v>6</v>
      </c>
      <c r="N118" s="349" t="s">
        <v>76</v>
      </c>
      <c r="O118" s="350"/>
      <c r="P118" s="351">
        <f t="shared" si="509"/>
        <v>0.01161806607</v>
      </c>
      <c r="Q118" s="350">
        <f t="shared" si="510"/>
        <v>0</v>
      </c>
      <c r="R118" s="351">
        <v>0.16716266605705102</v>
      </c>
      <c r="S118" s="350">
        <f t="shared" si="511"/>
        <v>0</v>
      </c>
      <c r="T118" s="352">
        <f t="shared" si="512"/>
        <v>0</v>
      </c>
      <c r="U118" s="333"/>
      <c r="V118" s="333"/>
      <c r="W118" s="288"/>
      <c r="X118" s="81"/>
      <c r="Y118" s="348">
        <f t="shared" si="579"/>
        <v>6</v>
      </c>
      <c r="Z118" s="349" t="s">
        <v>76</v>
      </c>
      <c r="AA118" s="350"/>
      <c r="AB118" s="351">
        <f t="shared" si="513"/>
        <v>0.01161806607</v>
      </c>
      <c r="AC118" s="350">
        <f t="shared" si="514"/>
        <v>0</v>
      </c>
      <c r="AD118" s="351">
        <v>0.16716266605705102</v>
      </c>
      <c r="AE118" s="350">
        <f t="shared" si="515"/>
        <v>0</v>
      </c>
      <c r="AF118" s="352">
        <f t="shared" si="516"/>
        <v>0</v>
      </c>
      <c r="AG118" s="333"/>
      <c r="AH118" s="333"/>
      <c r="AI118" s="288"/>
      <c r="AJ118" s="81"/>
      <c r="AK118" s="348">
        <f t="shared" si="580"/>
        <v>6</v>
      </c>
      <c r="AL118" s="349" t="s">
        <v>76</v>
      </c>
      <c r="AM118" s="350"/>
      <c r="AN118" s="351">
        <f t="shared" si="517"/>
        <v>0.01161806607</v>
      </c>
      <c r="AO118" s="350">
        <f t="shared" si="518"/>
        <v>0</v>
      </c>
      <c r="AP118" s="351">
        <v>0.16716266605705102</v>
      </c>
      <c r="AQ118" s="350">
        <f t="shared" si="519"/>
        <v>0</v>
      </c>
      <c r="AR118" s="352">
        <f t="shared" si="520"/>
        <v>0</v>
      </c>
      <c r="AS118" s="333"/>
      <c r="AT118" s="333"/>
      <c r="AU118" s="288"/>
      <c r="AV118" s="81"/>
      <c r="AW118" s="348">
        <f t="shared" si="581"/>
        <v>6</v>
      </c>
      <c r="AX118" s="349" t="s">
        <v>76</v>
      </c>
      <c r="AY118" s="350"/>
      <c r="AZ118" s="351">
        <f t="shared" si="521"/>
        <v>0.01161806607</v>
      </c>
      <c r="BA118" s="350">
        <f t="shared" si="522"/>
        <v>0</v>
      </c>
      <c r="BB118" s="351">
        <v>0.16716266605705102</v>
      </c>
      <c r="BC118" s="350">
        <f t="shared" si="523"/>
        <v>0</v>
      </c>
      <c r="BD118" s="352">
        <f t="shared" si="524"/>
        <v>0</v>
      </c>
      <c r="BE118" s="333"/>
      <c r="BF118" s="333"/>
      <c r="BG118" s="288"/>
      <c r="BH118" s="81"/>
      <c r="BI118" s="348">
        <f t="shared" si="582"/>
        <v>6</v>
      </c>
      <c r="BJ118" s="349" t="s">
        <v>76</v>
      </c>
      <c r="BK118" s="350"/>
      <c r="BL118" s="351">
        <f t="shared" si="525"/>
        <v>0.01161806607</v>
      </c>
      <c r="BM118" s="350">
        <f t="shared" si="526"/>
        <v>0</v>
      </c>
      <c r="BN118" s="351">
        <v>0.16716266605705102</v>
      </c>
      <c r="BO118" s="350">
        <f t="shared" si="527"/>
        <v>0</v>
      </c>
      <c r="BP118" s="352">
        <f t="shared" si="528"/>
        <v>0</v>
      </c>
      <c r="BQ118" s="333"/>
      <c r="BR118" s="333"/>
      <c r="BS118" s="288"/>
      <c r="BT118" s="81"/>
      <c r="BU118" s="348">
        <f t="shared" si="583"/>
        <v>6</v>
      </c>
      <c r="BV118" s="349" t="s">
        <v>76</v>
      </c>
      <c r="BW118" s="350"/>
      <c r="BX118" s="351">
        <f t="shared" si="529"/>
        <v>0.01161806607</v>
      </c>
      <c r="BY118" s="350">
        <f t="shared" si="530"/>
        <v>0</v>
      </c>
      <c r="BZ118" s="351">
        <v>0.16716266605705102</v>
      </c>
      <c r="CA118" s="350">
        <f t="shared" si="531"/>
        <v>0</v>
      </c>
      <c r="CB118" s="352">
        <f t="shared" si="532"/>
        <v>0</v>
      </c>
      <c r="CC118" s="333"/>
      <c r="CD118" s="333"/>
      <c r="CE118" s="288"/>
      <c r="CF118" s="81"/>
      <c r="CG118" s="348">
        <f t="shared" si="584"/>
        <v>6</v>
      </c>
      <c r="CH118" s="349" t="s">
        <v>76</v>
      </c>
      <c r="CI118" s="350"/>
      <c r="CJ118" s="351">
        <f t="shared" si="533"/>
        <v>0.01161806607</v>
      </c>
      <c r="CK118" s="350">
        <f t="shared" si="534"/>
        <v>0</v>
      </c>
      <c r="CL118" s="351">
        <v>0.16716266605705102</v>
      </c>
      <c r="CM118" s="350">
        <f t="shared" si="535"/>
        <v>0</v>
      </c>
      <c r="CN118" s="352">
        <f t="shared" si="536"/>
        <v>0</v>
      </c>
      <c r="CO118" s="333"/>
      <c r="CP118" s="333"/>
      <c r="CQ118" s="288"/>
      <c r="CR118" s="81"/>
      <c r="CS118" s="348">
        <f t="shared" si="585"/>
        <v>6</v>
      </c>
      <c r="CT118" s="349" t="s">
        <v>76</v>
      </c>
      <c r="CU118" s="350"/>
      <c r="CV118" s="351">
        <f t="shared" si="537"/>
        <v>0.01161806607</v>
      </c>
      <c r="CW118" s="350">
        <f t="shared" si="538"/>
        <v>0</v>
      </c>
      <c r="CX118" s="351">
        <v>0.16716266605705102</v>
      </c>
      <c r="CY118" s="350">
        <f t="shared" si="539"/>
        <v>0</v>
      </c>
      <c r="CZ118" s="352">
        <f t="shared" si="540"/>
        <v>0</v>
      </c>
      <c r="DA118" s="333"/>
      <c r="DB118" s="333"/>
      <c r="DC118" s="288"/>
      <c r="DD118" s="81"/>
      <c r="DE118" s="348">
        <f t="shared" si="586"/>
        <v>6</v>
      </c>
      <c r="DF118" s="349" t="s">
        <v>76</v>
      </c>
      <c r="DG118" s="350">
        <f>'Hitung Output'!BJ34</f>
        <v>1143092.579</v>
      </c>
      <c r="DH118" s="351">
        <f t="shared" si="541"/>
        <v>0.01161806607</v>
      </c>
      <c r="DI118" s="353">
        <f t="shared" si="542"/>
        <v>13280.52511</v>
      </c>
      <c r="DJ118" s="351">
        <v>0.16716266605705102</v>
      </c>
      <c r="DK118" s="350">
        <f t="shared" si="543"/>
        <v>2220.007984</v>
      </c>
      <c r="DL118" s="352">
        <f t="shared" si="544"/>
        <v>11060.51712</v>
      </c>
      <c r="DM118" s="333"/>
      <c r="DN118" s="333"/>
      <c r="DO118" s="288"/>
      <c r="DP118" s="81"/>
      <c r="DQ118" s="348">
        <f t="shared" si="587"/>
        <v>6</v>
      </c>
      <c r="DR118" s="349" t="s">
        <v>76</v>
      </c>
      <c r="DS118" s="350">
        <f>'Hitung Output'!BO34</f>
        <v>1169034.76</v>
      </c>
      <c r="DT118" s="351">
        <f t="shared" si="545"/>
        <v>0.01161806607</v>
      </c>
      <c r="DU118" s="401">
        <f t="shared" si="546"/>
        <v>13581.92308</v>
      </c>
      <c r="DV118" s="351">
        <v>0.16716266605705102</v>
      </c>
      <c r="DW118" s="350">
        <f t="shared" si="547"/>
        <v>2270.390472</v>
      </c>
      <c r="DX118" s="352">
        <f t="shared" si="548"/>
        <v>11311.53261</v>
      </c>
      <c r="DY118" s="333"/>
      <c r="DZ118" s="333"/>
      <c r="EA118" s="288"/>
      <c r="EB118" s="81"/>
      <c r="EC118" s="348">
        <f t="shared" si="588"/>
        <v>6</v>
      </c>
      <c r="ED118" s="349" t="s">
        <v>76</v>
      </c>
      <c r="EE118" s="350">
        <f>'Hitung Output'!BT34</f>
        <v>1224029.456</v>
      </c>
      <c r="EF118" s="351">
        <f t="shared" si="549"/>
        <v>0.01161806607</v>
      </c>
      <c r="EG118" s="402">
        <f t="shared" si="550"/>
        <v>14220.85509</v>
      </c>
      <c r="EH118" s="351">
        <v>0.16716266605705102</v>
      </c>
      <c r="EI118" s="350">
        <f t="shared" si="551"/>
        <v>2377.19605</v>
      </c>
      <c r="EJ118" s="352">
        <f t="shared" si="552"/>
        <v>11843.65904</v>
      </c>
      <c r="EK118" s="333"/>
      <c r="EL118" s="333"/>
      <c r="EM118" s="288"/>
      <c r="EN118" s="81"/>
      <c r="EO118" s="348">
        <f t="shared" si="589"/>
        <v>6</v>
      </c>
      <c r="EP118" s="349" t="s">
        <v>76</v>
      </c>
      <c r="EQ118" s="350">
        <f>'Hitung Output'!BY34</f>
        <v>1266524.949</v>
      </c>
      <c r="ER118" s="351">
        <f t="shared" si="553"/>
        <v>0.01161806607</v>
      </c>
      <c r="ES118" s="356">
        <f t="shared" si="554"/>
        <v>14714.57053</v>
      </c>
      <c r="ET118" s="351">
        <v>0.16716266605705102</v>
      </c>
      <c r="EU118" s="350">
        <f t="shared" si="555"/>
        <v>2459.72684</v>
      </c>
      <c r="EV118" s="352">
        <f t="shared" si="556"/>
        <v>12254.84369</v>
      </c>
      <c r="EW118" s="333"/>
      <c r="EX118" s="333"/>
      <c r="EY118" s="288"/>
      <c r="EZ118" s="81"/>
      <c r="FA118" s="348">
        <f t="shared" si="590"/>
        <v>6</v>
      </c>
      <c r="FB118" s="349" t="s">
        <v>76</v>
      </c>
      <c r="FC118" s="350">
        <f>'Hitung Output'!CD34</f>
        <v>1371312.038</v>
      </c>
      <c r="FD118" s="351">
        <f t="shared" si="557"/>
        <v>0.01161806607</v>
      </c>
      <c r="FE118" s="401">
        <f t="shared" si="558"/>
        <v>15931.99386</v>
      </c>
      <c r="FF118" s="351">
        <v>0.16716266605705102</v>
      </c>
      <c r="FG118" s="350">
        <f t="shared" si="559"/>
        <v>2663.234569</v>
      </c>
      <c r="FH118" s="352">
        <f t="shared" si="560"/>
        <v>13268.75929</v>
      </c>
      <c r="FI118" s="333"/>
      <c r="FJ118" s="333"/>
      <c r="FK118" s="288"/>
      <c r="FL118" s="81"/>
      <c r="FM118" s="348">
        <f t="shared" si="591"/>
        <v>6</v>
      </c>
      <c r="FN118" s="349" t="s">
        <v>76</v>
      </c>
      <c r="FO118" s="350">
        <f>'Hitung Output'!CI34</f>
        <v>1443605.668</v>
      </c>
      <c r="FP118" s="351">
        <f t="shared" si="561"/>
        <v>0.01161806607</v>
      </c>
      <c r="FQ118" s="403">
        <f t="shared" si="562"/>
        <v>16771.90602</v>
      </c>
      <c r="FR118" s="351">
        <v>0.16716266605705102</v>
      </c>
      <c r="FS118" s="350">
        <f t="shared" si="563"/>
        <v>2803.636526</v>
      </c>
      <c r="FT118" s="352">
        <f t="shared" si="564"/>
        <v>13968.2695</v>
      </c>
      <c r="FU118" s="333"/>
      <c r="FV118" s="333"/>
      <c r="FW118" s="288"/>
      <c r="FX118" s="81"/>
      <c r="FY118" s="348">
        <f t="shared" si="592"/>
        <v>6</v>
      </c>
      <c r="FZ118" s="349" t="s">
        <v>76</v>
      </c>
      <c r="GA118" s="350">
        <f>'Hitung Output'!CN34</f>
        <v>1636447.582</v>
      </c>
      <c r="GB118" s="351">
        <f t="shared" si="565"/>
        <v>0.01161806607</v>
      </c>
      <c r="GC118" s="350">
        <f t="shared" si="566"/>
        <v>19012.35612</v>
      </c>
      <c r="GD118" s="351">
        <v>0.16716266605705102</v>
      </c>
      <c r="GE118" s="350">
        <f t="shared" si="567"/>
        <v>3178.156137</v>
      </c>
      <c r="GF118" s="352">
        <f t="shared" si="568"/>
        <v>15834.19998</v>
      </c>
      <c r="GG118" s="333"/>
      <c r="GH118" s="333"/>
      <c r="GI118" s="288"/>
      <c r="GJ118" s="81"/>
      <c r="GK118" s="348">
        <f t="shared" si="593"/>
        <v>6</v>
      </c>
      <c r="GL118" s="349" t="s">
        <v>76</v>
      </c>
      <c r="GM118" s="350"/>
      <c r="GN118" s="351">
        <f t="shared" si="569"/>
        <v>0.01161806607</v>
      </c>
      <c r="GO118" s="350">
        <f t="shared" si="570"/>
        <v>0</v>
      </c>
      <c r="GP118" s="351">
        <v>0.16716266605705102</v>
      </c>
      <c r="GQ118" s="350">
        <f t="shared" si="571"/>
        <v>0</v>
      </c>
      <c r="GR118" s="352">
        <f t="shared" si="572"/>
        <v>0</v>
      </c>
      <c r="GS118" s="333"/>
      <c r="GT118" s="333"/>
      <c r="GU118" s="288"/>
      <c r="GV118" s="81"/>
      <c r="GW118" s="348">
        <f t="shared" si="594"/>
        <v>6</v>
      </c>
      <c r="GX118" s="349" t="s">
        <v>76</v>
      </c>
      <c r="GY118" s="350"/>
      <c r="GZ118" s="351">
        <f t="shared" si="573"/>
        <v>0.01161806607</v>
      </c>
      <c r="HA118" s="350">
        <f t="shared" si="574"/>
        <v>0</v>
      </c>
      <c r="HB118" s="351">
        <v>0.16716266605705102</v>
      </c>
      <c r="HC118" s="350">
        <f t="shared" si="575"/>
        <v>0</v>
      </c>
      <c r="HD118" s="352">
        <f t="shared" si="576"/>
        <v>0</v>
      </c>
      <c r="HE118" s="333"/>
      <c r="HF118" s="333"/>
      <c r="HG118" s="288"/>
      <c r="HH118" s="81"/>
      <c r="HI118" s="75"/>
    </row>
    <row r="119" ht="15.75" customHeight="1">
      <c r="A119" s="348"/>
      <c r="B119" s="357"/>
      <c r="C119" s="350"/>
      <c r="D119" s="350"/>
      <c r="E119" s="350"/>
      <c r="F119" s="350"/>
      <c r="G119" s="350"/>
      <c r="H119" s="352"/>
      <c r="I119" s="333"/>
      <c r="J119" s="333"/>
      <c r="K119" s="288"/>
      <c r="L119" s="81"/>
      <c r="M119" s="348"/>
      <c r="N119" s="357"/>
      <c r="O119" s="350"/>
      <c r="P119" s="350"/>
      <c r="Q119" s="350"/>
      <c r="R119" s="350"/>
      <c r="S119" s="350"/>
      <c r="T119" s="352"/>
      <c r="U119" s="333"/>
      <c r="V119" s="333"/>
      <c r="W119" s="288"/>
      <c r="X119" s="81"/>
      <c r="Y119" s="348"/>
      <c r="Z119" s="357"/>
      <c r="AA119" s="350"/>
      <c r="AB119" s="350"/>
      <c r="AC119" s="350"/>
      <c r="AD119" s="350"/>
      <c r="AE119" s="350"/>
      <c r="AF119" s="352"/>
      <c r="AG119" s="333"/>
      <c r="AH119" s="333"/>
      <c r="AI119" s="288"/>
      <c r="AJ119" s="81"/>
      <c r="AK119" s="348"/>
      <c r="AL119" s="357"/>
      <c r="AM119" s="350"/>
      <c r="AN119" s="350"/>
      <c r="AO119" s="350"/>
      <c r="AP119" s="350"/>
      <c r="AQ119" s="350"/>
      <c r="AR119" s="352"/>
      <c r="AS119" s="333"/>
      <c r="AT119" s="333"/>
      <c r="AU119" s="288"/>
      <c r="AV119" s="81"/>
      <c r="AW119" s="348"/>
      <c r="AX119" s="357"/>
      <c r="AY119" s="350"/>
      <c r="AZ119" s="350"/>
      <c r="BA119" s="350"/>
      <c r="BB119" s="350"/>
      <c r="BC119" s="350"/>
      <c r="BD119" s="352"/>
      <c r="BE119" s="333"/>
      <c r="BF119" s="333"/>
      <c r="BG119" s="288"/>
      <c r="BH119" s="81"/>
      <c r="BI119" s="348"/>
      <c r="BJ119" s="357"/>
      <c r="BK119" s="350"/>
      <c r="BL119" s="350"/>
      <c r="BM119" s="350"/>
      <c r="BN119" s="350"/>
      <c r="BO119" s="350"/>
      <c r="BP119" s="352"/>
      <c r="BQ119" s="333"/>
      <c r="BR119" s="333"/>
      <c r="BS119" s="288"/>
      <c r="BT119" s="81"/>
      <c r="BU119" s="348"/>
      <c r="BV119" s="357"/>
      <c r="BW119" s="350"/>
      <c r="BX119" s="350"/>
      <c r="BY119" s="350"/>
      <c r="BZ119" s="350"/>
      <c r="CA119" s="350"/>
      <c r="CB119" s="352"/>
      <c r="CC119" s="333"/>
      <c r="CD119" s="333"/>
      <c r="CE119" s="288"/>
      <c r="CF119" s="81"/>
      <c r="CG119" s="348"/>
      <c r="CH119" s="357"/>
      <c r="CI119" s="350"/>
      <c r="CJ119" s="350"/>
      <c r="CK119" s="350"/>
      <c r="CL119" s="350"/>
      <c r="CM119" s="350"/>
      <c r="CN119" s="352"/>
      <c r="CO119" s="333"/>
      <c r="CP119" s="333"/>
      <c r="CQ119" s="288"/>
      <c r="CR119" s="81"/>
      <c r="CS119" s="348"/>
      <c r="CT119" s="357"/>
      <c r="CU119" s="350"/>
      <c r="CV119" s="350"/>
      <c r="CW119" s="350"/>
      <c r="CX119" s="350"/>
      <c r="CY119" s="350"/>
      <c r="CZ119" s="352"/>
      <c r="DA119" s="333"/>
      <c r="DB119" s="333"/>
      <c r="DC119" s="288"/>
      <c r="DD119" s="81"/>
      <c r="DE119" s="348"/>
      <c r="DF119" s="357"/>
      <c r="DG119" s="350"/>
      <c r="DH119" s="350"/>
      <c r="DI119" s="350"/>
      <c r="DJ119" s="350"/>
      <c r="DK119" s="350"/>
      <c r="DL119" s="352"/>
      <c r="DM119" s="333"/>
      <c r="DN119" s="333"/>
      <c r="DO119" s="288"/>
      <c r="DP119" s="81"/>
      <c r="DQ119" s="348"/>
      <c r="DR119" s="357"/>
      <c r="DS119" s="350"/>
      <c r="DT119" s="350"/>
      <c r="DU119" s="350"/>
      <c r="DV119" s="350"/>
      <c r="DW119" s="350"/>
      <c r="DX119" s="352"/>
      <c r="DY119" s="333"/>
      <c r="DZ119" s="333"/>
      <c r="EA119" s="288"/>
      <c r="EB119" s="81"/>
      <c r="EC119" s="348"/>
      <c r="ED119" s="357"/>
      <c r="EE119" s="350"/>
      <c r="EF119" s="350"/>
      <c r="EG119" s="350"/>
      <c r="EH119" s="350"/>
      <c r="EI119" s="350"/>
      <c r="EJ119" s="352"/>
      <c r="EK119" s="333"/>
      <c r="EL119" s="333"/>
      <c r="EM119" s="288"/>
      <c r="EN119" s="81"/>
      <c r="EO119" s="348"/>
      <c r="EP119" s="357"/>
      <c r="EQ119" s="350"/>
      <c r="ER119" s="350"/>
      <c r="ES119" s="350"/>
      <c r="ET119" s="350"/>
      <c r="EU119" s="350"/>
      <c r="EV119" s="352"/>
      <c r="EW119" s="333"/>
      <c r="EX119" s="333"/>
      <c r="EY119" s="288"/>
      <c r="EZ119" s="81"/>
      <c r="FA119" s="348"/>
      <c r="FB119" s="357"/>
      <c r="FC119" s="350"/>
      <c r="FD119" s="350"/>
      <c r="FE119" s="350"/>
      <c r="FF119" s="350"/>
      <c r="FG119" s="350"/>
      <c r="FH119" s="352"/>
      <c r="FI119" s="333"/>
      <c r="FJ119" s="333"/>
      <c r="FK119" s="288"/>
      <c r="FL119" s="81"/>
      <c r="FM119" s="348"/>
      <c r="FN119" s="357"/>
      <c r="FO119" s="350"/>
      <c r="FP119" s="350"/>
      <c r="FQ119" s="350"/>
      <c r="FR119" s="350"/>
      <c r="FS119" s="350"/>
      <c r="FT119" s="352"/>
      <c r="FU119" s="333"/>
      <c r="FV119" s="333"/>
      <c r="FW119" s="288"/>
      <c r="FX119" s="81"/>
      <c r="FY119" s="348"/>
      <c r="FZ119" s="357"/>
      <c r="GA119" s="350"/>
      <c r="GB119" s="350"/>
      <c r="GC119" s="350"/>
      <c r="GD119" s="350"/>
      <c r="GE119" s="350"/>
      <c r="GF119" s="352"/>
      <c r="GG119" s="333"/>
      <c r="GH119" s="333"/>
      <c r="GI119" s="288"/>
      <c r="GJ119" s="81"/>
      <c r="GK119" s="348"/>
      <c r="GL119" s="357"/>
      <c r="GM119" s="350"/>
      <c r="GN119" s="350"/>
      <c r="GO119" s="350"/>
      <c r="GP119" s="350"/>
      <c r="GQ119" s="350"/>
      <c r="GR119" s="352"/>
      <c r="GS119" s="333"/>
      <c r="GT119" s="333"/>
      <c r="GU119" s="288"/>
      <c r="GV119" s="81"/>
      <c r="GW119" s="348"/>
      <c r="GX119" s="357"/>
      <c r="GY119" s="350"/>
      <c r="GZ119" s="350"/>
      <c r="HA119" s="350"/>
      <c r="HB119" s="350"/>
      <c r="HC119" s="350"/>
      <c r="HD119" s="352"/>
      <c r="HE119" s="333"/>
      <c r="HF119" s="333"/>
      <c r="HG119" s="288"/>
      <c r="HH119" s="81"/>
      <c r="HI119" s="75"/>
    </row>
    <row r="120" ht="15.75" customHeight="1">
      <c r="A120" s="358" t="s">
        <v>77</v>
      </c>
      <c r="B120" s="127"/>
      <c r="C120" s="359">
        <f>SUM(C113:C119)</f>
        <v>0</v>
      </c>
      <c r="D120" s="360"/>
      <c r="E120" s="359">
        <f>SUM(E113:E119)</f>
        <v>0</v>
      </c>
      <c r="F120" s="361"/>
      <c r="G120" s="359">
        <f t="shared" ref="G120:H120" si="595">SUM(G113:G119)</f>
        <v>0</v>
      </c>
      <c r="H120" s="362">
        <f t="shared" si="595"/>
        <v>0</v>
      </c>
      <c r="I120" s="363"/>
      <c r="J120" s="363"/>
      <c r="K120" s="304"/>
      <c r="L120" s="133"/>
      <c r="M120" s="358" t="s">
        <v>77</v>
      </c>
      <c r="N120" s="127"/>
      <c r="O120" s="359">
        <f>SUM(O113:O119)</f>
        <v>0</v>
      </c>
      <c r="P120" s="360"/>
      <c r="Q120" s="359">
        <f>SUM(Q113:Q119)</f>
        <v>0</v>
      </c>
      <c r="R120" s="361"/>
      <c r="S120" s="359">
        <f t="shared" ref="S120:T120" si="596">SUM(S113:S119)</f>
        <v>0</v>
      </c>
      <c r="T120" s="362">
        <f t="shared" si="596"/>
        <v>0</v>
      </c>
      <c r="U120" s="363"/>
      <c r="V120" s="363"/>
      <c r="W120" s="304"/>
      <c r="X120" s="133"/>
      <c r="Y120" s="358" t="s">
        <v>77</v>
      </c>
      <c r="Z120" s="127"/>
      <c r="AA120" s="359">
        <f>SUM(AA113:AA119)</f>
        <v>0</v>
      </c>
      <c r="AB120" s="360"/>
      <c r="AC120" s="359">
        <f>SUM(AC113:AC119)</f>
        <v>0</v>
      </c>
      <c r="AD120" s="361"/>
      <c r="AE120" s="359">
        <f t="shared" ref="AE120:AF120" si="597">SUM(AE113:AE119)</f>
        <v>0</v>
      </c>
      <c r="AF120" s="362">
        <f t="shared" si="597"/>
        <v>0</v>
      </c>
      <c r="AG120" s="363"/>
      <c r="AH120" s="363"/>
      <c r="AI120" s="304"/>
      <c r="AJ120" s="133"/>
      <c r="AK120" s="358" t="s">
        <v>77</v>
      </c>
      <c r="AL120" s="127"/>
      <c r="AM120" s="359">
        <f>SUM(AM113:AM119)</f>
        <v>0</v>
      </c>
      <c r="AN120" s="360"/>
      <c r="AO120" s="359">
        <f>SUM(AO113:AO119)</f>
        <v>0</v>
      </c>
      <c r="AP120" s="361"/>
      <c r="AQ120" s="359">
        <f t="shared" ref="AQ120:AR120" si="598">SUM(AQ113:AQ119)</f>
        <v>0</v>
      </c>
      <c r="AR120" s="362">
        <f t="shared" si="598"/>
        <v>0</v>
      </c>
      <c r="AS120" s="363"/>
      <c r="AT120" s="363"/>
      <c r="AU120" s="304"/>
      <c r="AV120" s="133"/>
      <c r="AW120" s="358" t="s">
        <v>77</v>
      </c>
      <c r="AX120" s="127"/>
      <c r="AY120" s="359">
        <f>SUM(AY113:AY119)</f>
        <v>0</v>
      </c>
      <c r="AZ120" s="360"/>
      <c r="BA120" s="359">
        <f>SUM(BA113:BA119)</f>
        <v>0</v>
      </c>
      <c r="BB120" s="361"/>
      <c r="BC120" s="359">
        <f t="shared" ref="BC120:BD120" si="599">SUM(BC113:BC119)</f>
        <v>0</v>
      </c>
      <c r="BD120" s="362">
        <f t="shared" si="599"/>
        <v>0</v>
      </c>
      <c r="BE120" s="363"/>
      <c r="BF120" s="363"/>
      <c r="BG120" s="304"/>
      <c r="BH120" s="133"/>
      <c r="BI120" s="358" t="s">
        <v>77</v>
      </c>
      <c r="BJ120" s="127"/>
      <c r="BK120" s="359">
        <f>SUM(BK113:BK119)</f>
        <v>0</v>
      </c>
      <c r="BL120" s="360"/>
      <c r="BM120" s="359">
        <f>SUM(BM113:BM119)</f>
        <v>0</v>
      </c>
      <c r="BN120" s="361"/>
      <c r="BO120" s="359">
        <f t="shared" ref="BO120:BP120" si="600">SUM(BO113:BO119)</f>
        <v>0</v>
      </c>
      <c r="BP120" s="362">
        <f t="shared" si="600"/>
        <v>0</v>
      </c>
      <c r="BQ120" s="363"/>
      <c r="BR120" s="363"/>
      <c r="BS120" s="304"/>
      <c r="BT120" s="133"/>
      <c r="BU120" s="358" t="s">
        <v>77</v>
      </c>
      <c r="BV120" s="127"/>
      <c r="BW120" s="359">
        <f>SUM(BW113:BW119)</f>
        <v>0</v>
      </c>
      <c r="BX120" s="360"/>
      <c r="BY120" s="359">
        <f>SUM(BY113:BY119)</f>
        <v>0</v>
      </c>
      <c r="BZ120" s="361"/>
      <c r="CA120" s="359">
        <f t="shared" ref="CA120:CB120" si="601">SUM(CA113:CA119)</f>
        <v>0</v>
      </c>
      <c r="CB120" s="362">
        <f t="shared" si="601"/>
        <v>0</v>
      </c>
      <c r="CC120" s="363"/>
      <c r="CD120" s="363"/>
      <c r="CE120" s="304"/>
      <c r="CF120" s="133"/>
      <c r="CG120" s="358" t="s">
        <v>77</v>
      </c>
      <c r="CH120" s="127"/>
      <c r="CI120" s="359">
        <f>SUM(CI113:CI119)</f>
        <v>0</v>
      </c>
      <c r="CJ120" s="360"/>
      <c r="CK120" s="359">
        <f>SUM(CK113:CK119)</f>
        <v>0</v>
      </c>
      <c r="CL120" s="361"/>
      <c r="CM120" s="359">
        <f t="shared" ref="CM120:CN120" si="602">SUM(CM113:CM119)</f>
        <v>0</v>
      </c>
      <c r="CN120" s="362">
        <f t="shared" si="602"/>
        <v>0</v>
      </c>
      <c r="CO120" s="363"/>
      <c r="CP120" s="363"/>
      <c r="CQ120" s="304"/>
      <c r="CR120" s="133"/>
      <c r="CS120" s="358" t="s">
        <v>77</v>
      </c>
      <c r="CT120" s="127"/>
      <c r="CU120" s="359">
        <f>SUM(CU113:CU119)</f>
        <v>0</v>
      </c>
      <c r="CV120" s="360"/>
      <c r="CW120" s="359">
        <f>SUM(CW113:CW119)</f>
        <v>0</v>
      </c>
      <c r="CX120" s="361"/>
      <c r="CY120" s="359">
        <f t="shared" ref="CY120:CZ120" si="603">SUM(CY113:CY119)</f>
        <v>0</v>
      </c>
      <c r="CZ120" s="362">
        <f t="shared" si="603"/>
        <v>0</v>
      </c>
      <c r="DA120" s="363"/>
      <c r="DB120" s="363"/>
      <c r="DC120" s="304"/>
      <c r="DD120" s="133"/>
      <c r="DE120" s="358" t="s">
        <v>77</v>
      </c>
      <c r="DF120" s="127"/>
      <c r="DG120" s="359">
        <f>SUM(DG113:DG119)</f>
        <v>4882470.088</v>
      </c>
      <c r="DH120" s="360"/>
      <c r="DI120" s="359">
        <f>SUM(DI113:DI119)</f>
        <v>56724.86005</v>
      </c>
      <c r="DJ120" s="361"/>
      <c r="DK120" s="359">
        <f t="shared" ref="DK120:DL120" si="604">SUM(DK113:DK119)</f>
        <v>9482.278837</v>
      </c>
      <c r="DL120" s="362">
        <f t="shared" si="604"/>
        <v>47242.58121</v>
      </c>
      <c r="DM120" s="363"/>
      <c r="DN120" s="363"/>
      <c r="DO120" s="304"/>
      <c r="DP120" s="133"/>
      <c r="DQ120" s="358" t="s">
        <v>77</v>
      </c>
      <c r="DR120" s="127"/>
      <c r="DS120" s="359">
        <f>SUM(DS113:DS119)</f>
        <v>4785200.646</v>
      </c>
      <c r="DT120" s="360"/>
      <c r="DU120" s="359">
        <f>SUM(DU113:DU119)</f>
        <v>55594.77724</v>
      </c>
      <c r="DV120" s="361"/>
      <c r="DW120" s="359">
        <f t="shared" ref="DW120:DX120" si="605">SUM(DW113:DW119)</f>
        <v>9293.371183</v>
      </c>
      <c r="DX120" s="362">
        <f t="shared" si="605"/>
        <v>46301.40606</v>
      </c>
      <c r="DY120" s="363"/>
      <c r="DZ120" s="363"/>
      <c r="EA120" s="304"/>
      <c r="EB120" s="133"/>
      <c r="EC120" s="358" t="s">
        <v>77</v>
      </c>
      <c r="ED120" s="127"/>
      <c r="EE120" s="359">
        <f>SUM(EE113:EE119)</f>
        <v>5032202.428</v>
      </c>
      <c r="EF120" s="360"/>
      <c r="EG120" s="359">
        <f>SUM(EG113:EG119)</f>
        <v>58464.46027</v>
      </c>
      <c r="EH120" s="361"/>
      <c r="EI120" s="359">
        <f t="shared" ref="EI120:EJ120" si="606">SUM(EI113:EI119)</f>
        <v>9773.075049</v>
      </c>
      <c r="EJ120" s="362">
        <f t="shared" si="606"/>
        <v>48691.38522</v>
      </c>
      <c r="EK120" s="363"/>
      <c r="EL120" s="363"/>
      <c r="EM120" s="304"/>
      <c r="EN120" s="133"/>
      <c r="EO120" s="358" t="s">
        <v>77</v>
      </c>
      <c r="EP120" s="127"/>
      <c r="EQ120" s="359">
        <f>SUM(EQ113:EQ119)</f>
        <v>5391553.003</v>
      </c>
      <c r="ER120" s="360"/>
      <c r="ES120" s="359">
        <f>SUM(ES113:ES119)</f>
        <v>62639.41899</v>
      </c>
      <c r="ET120" s="361"/>
      <c r="EU120" s="359">
        <f t="shared" ref="EU120:EV120" si="607">SUM(EU113:EU119)</f>
        <v>10470.97228</v>
      </c>
      <c r="EV120" s="362">
        <f t="shared" si="607"/>
        <v>52168.44672</v>
      </c>
      <c r="EW120" s="363"/>
      <c r="EX120" s="363"/>
      <c r="EY120" s="304"/>
      <c r="EZ120" s="133"/>
      <c r="FA120" s="358" t="s">
        <v>77</v>
      </c>
      <c r="FB120" s="127"/>
      <c r="FC120" s="359">
        <f>SUM(FC113:FC119)</f>
        <v>6145070.339</v>
      </c>
      <c r="FD120" s="360"/>
      <c r="FE120" s="359">
        <f>SUM(FE113:FE119)</f>
        <v>71393.83318</v>
      </c>
      <c r="FF120" s="361"/>
      <c r="FG120" s="359">
        <f t="shared" ref="FG120:FH120" si="608">SUM(FG113:FG119)</f>
        <v>11934.38349</v>
      </c>
      <c r="FH120" s="362">
        <f t="shared" si="608"/>
        <v>59459.44968</v>
      </c>
      <c r="FI120" s="363"/>
      <c r="FJ120" s="363"/>
      <c r="FK120" s="304"/>
      <c r="FL120" s="133"/>
      <c r="FM120" s="358" t="s">
        <v>77</v>
      </c>
      <c r="FN120" s="127"/>
      <c r="FO120" s="359">
        <f>SUM(FO113:FO119)</f>
        <v>7331651.531</v>
      </c>
      <c r="FP120" s="360"/>
      <c r="FQ120" s="359">
        <f>SUM(FQ113:FQ119)</f>
        <v>85179.61186</v>
      </c>
      <c r="FR120" s="361"/>
      <c r="FS120" s="359">
        <f t="shared" ref="FS120:FT120" si="609">SUM(FS113:FS119)</f>
        <v>14238.85101</v>
      </c>
      <c r="FT120" s="362">
        <f t="shared" si="609"/>
        <v>70940.76085</v>
      </c>
      <c r="FU120" s="363"/>
      <c r="FV120" s="363"/>
      <c r="FW120" s="304"/>
      <c r="FX120" s="133"/>
      <c r="FY120" s="358" t="s">
        <v>77</v>
      </c>
      <c r="FZ120" s="127"/>
      <c r="GA120" s="359">
        <f>SUM(GA113:GA119)</f>
        <v>8271341.663</v>
      </c>
      <c r="GB120" s="360"/>
      <c r="GC120" s="359">
        <f>SUM(GC113:GC119)</f>
        <v>96096.99391</v>
      </c>
      <c r="GD120" s="361"/>
      <c r="GE120" s="359">
        <f t="shared" ref="GE120:GF120" si="610">SUM(GE113:GE119)</f>
        <v>16063.8297</v>
      </c>
      <c r="GF120" s="362">
        <f t="shared" si="610"/>
        <v>80033.1642</v>
      </c>
      <c r="GG120" s="363"/>
      <c r="GH120" s="363"/>
      <c r="GI120" s="304"/>
      <c r="GJ120" s="133"/>
      <c r="GK120" s="358" t="s">
        <v>77</v>
      </c>
      <c r="GL120" s="127"/>
      <c r="GM120" s="359">
        <f>SUM(GM113:GM119)</f>
        <v>0</v>
      </c>
      <c r="GN120" s="360"/>
      <c r="GO120" s="359">
        <f>SUM(GO113:GO119)</f>
        <v>0</v>
      </c>
      <c r="GP120" s="361"/>
      <c r="GQ120" s="359">
        <f t="shared" ref="GQ120:GR120" si="611">SUM(GQ113:GQ119)</f>
        <v>0</v>
      </c>
      <c r="GR120" s="362">
        <f t="shared" si="611"/>
        <v>0</v>
      </c>
      <c r="GS120" s="363"/>
      <c r="GT120" s="363"/>
      <c r="GU120" s="304"/>
      <c r="GV120" s="133"/>
      <c r="GW120" s="358" t="s">
        <v>77</v>
      </c>
      <c r="GX120" s="127"/>
      <c r="GY120" s="359">
        <f>SUM(GY113:GY119)</f>
        <v>0</v>
      </c>
      <c r="GZ120" s="360"/>
      <c r="HA120" s="359">
        <f>SUM(HA113:HA119)</f>
        <v>0</v>
      </c>
      <c r="HB120" s="361"/>
      <c r="HC120" s="359">
        <f t="shared" ref="HC120:HD120" si="612">SUM(HC113:HC119)</f>
        <v>0</v>
      </c>
      <c r="HD120" s="362">
        <f t="shared" si="612"/>
        <v>0</v>
      </c>
      <c r="HE120" s="363"/>
      <c r="HF120" s="363"/>
      <c r="HG120" s="304"/>
      <c r="HH120" s="133"/>
      <c r="HI120" s="132"/>
    </row>
    <row r="121" ht="15.75" customHeight="1">
      <c r="A121" s="348"/>
      <c r="B121" s="349"/>
      <c r="C121" s="349"/>
      <c r="D121" s="349"/>
      <c r="E121" s="350"/>
      <c r="F121" s="350"/>
      <c r="G121" s="350"/>
      <c r="H121" s="364"/>
      <c r="I121" s="365"/>
      <c r="J121" s="365"/>
      <c r="K121" s="306"/>
      <c r="L121" s="136"/>
      <c r="M121" s="348"/>
      <c r="N121" s="349"/>
      <c r="O121" s="349"/>
      <c r="P121" s="349"/>
      <c r="Q121" s="350"/>
      <c r="R121" s="350"/>
      <c r="S121" s="350"/>
      <c r="T121" s="364"/>
      <c r="U121" s="365"/>
      <c r="V121" s="365"/>
      <c r="W121" s="306"/>
      <c r="X121" s="136"/>
      <c r="Y121" s="348"/>
      <c r="Z121" s="349"/>
      <c r="AA121" s="349"/>
      <c r="AB121" s="349"/>
      <c r="AC121" s="350"/>
      <c r="AD121" s="350"/>
      <c r="AE121" s="350"/>
      <c r="AF121" s="364"/>
      <c r="AG121" s="365"/>
      <c r="AH121" s="365"/>
      <c r="AI121" s="306"/>
      <c r="AJ121" s="136"/>
      <c r="AK121" s="348"/>
      <c r="AL121" s="349"/>
      <c r="AM121" s="349"/>
      <c r="AN121" s="349"/>
      <c r="AO121" s="350"/>
      <c r="AP121" s="350"/>
      <c r="AQ121" s="350"/>
      <c r="AR121" s="364"/>
      <c r="AS121" s="365"/>
      <c r="AT121" s="365"/>
      <c r="AU121" s="306"/>
      <c r="AV121" s="136"/>
      <c r="AW121" s="348"/>
      <c r="AX121" s="349"/>
      <c r="AY121" s="349"/>
      <c r="AZ121" s="349"/>
      <c r="BA121" s="350"/>
      <c r="BB121" s="350"/>
      <c r="BC121" s="350"/>
      <c r="BD121" s="364"/>
      <c r="BE121" s="365"/>
      <c r="BF121" s="365"/>
      <c r="BG121" s="306"/>
      <c r="BH121" s="136"/>
      <c r="BI121" s="348"/>
      <c r="BJ121" s="349"/>
      <c r="BK121" s="349"/>
      <c r="BL121" s="349"/>
      <c r="BM121" s="350"/>
      <c r="BN121" s="350"/>
      <c r="BO121" s="350"/>
      <c r="BP121" s="364"/>
      <c r="BQ121" s="365"/>
      <c r="BR121" s="365"/>
      <c r="BS121" s="306"/>
      <c r="BT121" s="136"/>
      <c r="BU121" s="348"/>
      <c r="BV121" s="349"/>
      <c r="BW121" s="349"/>
      <c r="BX121" s="349"/>
      <c r="BY121" s="350"/>
      <c r="BZ121" s="350"/>
      <c r="CA121" s="350"/>
      <c r="CB121" s="364"/>
      <c r="CC121" s="365"/>
      <c r="CD121" s="365"/>
      <c r="CE121" s="306"/>
      <c r="CF121" s="136"/>
      <c r="CG121" s="348"/>
      <c r="CH121" s="349"/>
      <c r="CI121" s="349"/>
      <c r="CJ121" s="349"/>
      <c r="CK121" s="350"/>
      <c r="CL121" s="350"/>
      <c r="CM121" s="350"/>
      <c r="CN121" s="364"/>
      <c r="CO121" s="365"/>
      <c r="CP121" s="365"/>
      <c r="CQ121" s="306"/>
      <c r="CR121" s="136"/>
      <c r="CS121" s="348"/>
      <c r="CT121" s="349"/>
      <c r="CU121" s="349"/>
      <c r="CV121" s="349"/>
      <c r="CW121" s="350"/>
      <c r="CX121" s="350"/>
      <c r="CY121" s="350"/>
      <c r="CZ121" s="364"/>
      <c r="DA121" s="365"/>
      <c r="DB121" s="365"/>
      <c r="DC121" s="306"/>
      <c r="DD121" s="136"/>
      <c r="DE121" s="348"/>
      <c r="DF121" s="349"/>
      <c r="DG121" s="349"/>
      <c r="DH121" s="349"/>
      <c r="DI121" s="350"/>
      <c r="DJ121" s="350"/>
      <c r="DK121" s="350"/>
      <c r="DL121" s="364"/>
      <c r="DM121" s="365"/>
      <c r="DN121" s="365"/>
      <c r="DO121" s="306"/>
      <c r="DP121" s="136"/>
      <c r="DQ121" s="348"/>
      <c r="DR121" s="349"/>
      <c r="DS121" s="349"/>
      <c r="DT121" s="349"/>
      <c r="DU121" s="350"/>
      <c r="DV121" s="350"/>
      <c r="DW121" s="350"/>
      <c r="DX121" s="364"/>
      <c r="DY121" s="365"/>
      <c r="DZ121" s="365"/>
      <c r="EA121" s="306"/>
      <c r="EB121" s="136"/>
      <c r="EC121" s="348"/>
      <c r="ED121" s="349"/>
      <c r="EE121" s="349"/>
      <c r="EF121" s="349"/>
      <c r="EG121" s="350"/>
      <c r="EH121" s="350"/>
      <c r="EI121" s="350"/>
      <c r="EJ121" s="364"/>
      <c r="EK121" s="365"/>
      <c r="EL121" s="365"/>
      <c r="EM121" s="306"/>
      <c r="EN121" s="136"/>
      <c r="EO121" s="348"/>
      <c r="EP121" s="349"/>
      <c r="EQ121" s="349"/>
      <c r="ER121" s="349"/>
      <c r="ES121" s="350"/>
      <c r="ET121" s="350"/>
      <c r="EU121" s="350"/>
      <c r="EV121" s="364"/>
      <c r="EW121" s="365"/>
      <c r="EX121" s="365"/>
      <c r="EY121" s="306"/>
      <c r="EZ121" s="136"/>
      <c r="FA121" s="348"/>
      <c r="FB121" s="349"/>
      <c r="FC121" s="349"/>
      <c r="FD121" s="349"/>
      <c r="FE121" s="350"/>
      <c r="FF121" s="350"/>
      <c r="FG121" s="350"/>
      <c r="FH121" s="364"/>
      <c r="FI121" s="365"/>
      <c r="FJ121" s="365"/>
      <c r="FK121" s="306"/>
      <c r="FL121" s="136"/>
      <c r="FM121" s="348"/>
      <c r="FN121" s="349"/>
      <c r="FO121" s="349"/>
      <c r="FP121" s="349"/>
      <c r="FQ121" s="350"/>
      <c r="FR121" s="350"/>
      <c r="FS121" s="350"/>
      <c r="FT121" s="364"/>
      <c r="FU121" s="365"/>
      <c r="FV121" s="365"/>
      <c r="FW121" s="306"/>
      <c r="FX121" s="136"/>
      <c r="FY121" s="348"/>
      <c r="FZ121" s="349"/>
      <c r="GA121" s="349"/>
      <c r="GB121" s="349"/>
      <c r="GC121" s="350"/>
      <c r="GD121" s="350"/>
      <c r="GE121" s="350"/>
      <c r="GF121" s="364"/>
      <c r="GG121" s="365"/>
      <c r="GH121" s="365"/>
      <c r="GI121" s="306"/>
      <c r="GJ121" s="136"/>
      <c r="GK121" s="348"/>
      <c r="GL121" s="349"/>
      <c r="GM121" s="349"/>
      <c r="GN121" s="349"/>
      <c r="GO121" s="350"/>
      <c r="GP121" s="350"/>
      <c r="GQ121" s="350"/>
      <c r="GR121" s="364"/>
      <c r="GS121" s="365"/>
      <c r="GT121" s="365"/>
      <c r="GU121" s="306"/>
      <c r="GV121" s="136"/>
      <c r="GW121" s="348"/>
      <c r="GX121" s="349"/>
      <c r="GY121" s="349"/>
      <c r="GZ121" s="349"/>
      <c r="HA121" s="350"/>
      <c r="HB121" s="350"/>
      <c r="HC121" s="350"/>
      <c r="HD121" s="364"/>
      <c r="HE121" s="365"/>
      <c r="HF121" s="365"/>
      <c r="HG121" s="306"/>
      <c r="HH121" s="136"/>
      <c r="HI121" s="135"/>
    </row>
    <row r="122" ht="15.75" customHeight="1">
      <c r="A122" s="348"/>
      <c r="B122" s="366" t="str">
        <f>"Adjusment "&amp;" %"</f>
        <v>Adjusment  %</v>
      </c>
      <c r="C122" s="367"/>
      <c r="D122" s="368"/>
      <c r="E122" s="369">
        <f>C122/100*E120</f>
        <v>0</v>
      </c>
      <c r="F122" s="370"/>
      <c r="G122" s="350">
        <f>IFERROR(+E122-H122,"")</f>
        <v>0</v>
      </c>
      <c r="H122" s="371">
        <f>C122/100*H120</f>
        <v>0</v>
      </c>
      <c r="I122" s="333"/>
      <c r="J122" s="333"/>
      <c r="K122" s="288"/>
      <c r="L122" s="81"/>
      <c r="M122" s="348"/>
      <c r="N122" s="366" t="str">
        <f>"Adjusment "&amp;" %"</f>
        <v>Adjusment  %</v>
      </c>
      <c r="O122" s="367"/>
      <c r="P122" s="368"/>
      <c r="Q122" s="369">
        <f>O122/100*Q120</f>
        <v>0</v>
      </c>
      <c r="R122" s="370"/>
      <c r="S122" s="350">
        <f>IFERROR(+Q122-T122,"")</f>
        <v>0</v>
      </c>
      <c r="T122" s="371">
        <f>O122/100*T120</f>
        <v>0</v>
      </c>
      <c r="U122" s="333"/>
      <c r="V122" s="333"/>
      <c r="W122" s="288"/>
      <c r="X122" s="81"/>
      <c r="Y122" s="348"/>
      <c r="Z122" s="366" t="str">
        <f>"Adjusment "&amp;" %"</f>
        <v>Adjusment  %</v>
      </c>
      <c r="AA122" s="367"/>
      <c r="AB122" s="368"/>
      <c r="AC122" s="369">
        <f>AA122/100*AC120</f>
        <v>0</v>
      </c>
      <c r="AD122" s="370"/>
      <c r="AE122" s="350">
        <f>IFERROR(+AC122-AF122,"")</f>
        <v>0</v>
      </c>
      <c r="AF122" s="371">
        <f>AA122/100*AF120</f>
        <v>0</v>
      </c>
      <c r="AG122" s="333"/>
      <c r="AH122" s="333"/>
      <c r="AI122" s="288"/>
      <c r="AJ122" s="81"/>
      <c r="AK122" s="348"/>
      <c r="AL122" s="366" t="str">
        <f>"Adjusment "&amp;" %"</f>
        <v>Adjusment  %</v>
      </c>
      <c r="AM122" s="367"/>
      <c r="AN122" s="368"/>
      <c r="AO122" s="369">
        <f>AM122/100*AO120</f>
        <v>0</v>
      </c>
      <c r="AP122" s="370"/>
      <c r="AQ122" s="350">
        <f>IFERROR(+AO122-AR122,"")</f>
        <v>0</v>
      </c>
      <c r="AR122" s="371">
        <f>AM122/100*AR120</f>
        <v>0</v>
      </c>
      <c r="AS122" s="333"/>
      <c r="AT122" s="333"/>
      <c r="AU122" s="288"/>
      <c r="AV122" s="81"/>
      <c r="AW122" s="348"/>
      <c r="AX122" s="366" t="str">
        <f>"Adjusment "&amp;" %"</f>
        <v>Adjusment  %</v>
      </c>
      <c r="AY122" s="367"/>
      <c r="AZ122" s="368"/>
      <c r="BA122" s="369">
        <f>AY122/100*BA120</f>
        <v>0</v>
      </c>
      <c r="BB122" s="370"/>
      <c r="BC122" s="350">
        <f>IFERROR(+BA122-BD122,"")</f>
        <v>0</v>
      </c>
      <c r="BD122" s="371">
        <f>AY122/100*BD120</f>
        <v>0</v>
      </c>
      <c r="BE122" s="333"/>
      <c r="BF122" s="333"/>
      <c r="BG122" s="288"/>
      <c r="BH122" s="81"/>
      <c r="BI122" s="348"/>
      <c r="BJ122" s="366" t="str">
        <f>"Adjusment "&amp;" %"</f>
        <v>Adjusment  %</v>
      </c>
      <c r="BK122" s="367"/>
      <c r="BL122" s="368"/>
      <c r="BM122" s="369">
        <f>BK122/100*BM120</f>
        <v>0</v>
      </c>
      <c r="BN122" s="370"/>
      <c r="BO122" s="350">
        <f>IFERROR(+BM122-BP122,"")</f>
        <v>0</v>
      </c>
      <c r="BP122" s="371">
        <f>BK122/100*BP120</f>
        <v>0</v>
      </c>
      <c r="BQ122" s="333"/>
      <c r="BR122" s="333"/>
      <c r="BS122" s="288"/>
      <c r="BT122" s="81"/>
      <c r="BU122" s="348"/>
      <c r="BV122" s="366" t="str">
        <f>"Adjusment "&amp;" %"</f>
        <v>Adjusment  %</v>
      </c>
      <c r="BW122" s="367"/>
      <c r="BX122" s="368"/>
      <c r="BY122" s="369">
        <f>BW122/100*BY120</f>
        <v>0</v>
      </c>
      <c r="BZ122" s="370"/>
      <c r="CA122" s="350">
        <f>IFERROR(+BY122-CB122,"")</f>
        <v>0</v>
      </c>
      <c r="CB122" s="371">
        <f>BW122/100*CB120</f>
        <v>0</v>
      </c>
      <c r="CC122" s="333"/>
      <c r="CD122" s="333"/>
      <c r="CE122" s="288"/>
      <c r="CF122" s="81"/>
      <c r="CG122" s="348"/>
      <c r="CH122" s="366" t="str">
        <f>"Adjusment "&amp;" %"</f>
        <v>Adjusment  %</v>
      </c>
      <c r="CI122" s="367"/>
      <c r="CJ122" s="368"/>
      <c r="CK122" s="369">
        <f>CI122/100*CK120</f>
        <v>0</v>
      </c>
      <c r="CL122" s="370"/>
      <c r="CM122" s="350">
        <f>IFERROR(+CK122-CN122,"")</f>
        <v>0</v>
      </c>
      <c r="CN122" s="371">
        <f>CI122/100*CN120</f>
        <v>0</v>
      </c>
      <c r="CO122" s="333"/>
      <c r="CP122" s="333"/>
      <c r="CQ122" s="288"/>
      <c r="CR122" s="81"/>
      <c r="CS122" s="348"/>
      <c r="CT122" s="366" t="str">
        <f>"Adjusment "&amp;" %"</f>
        <v>Adjusment  %</v>
      </c>
      <c r="CU122" s="367"/>
      <c r="CV122" s="368"/>
      <c r="CW122" s="369">
        <f>CU122/100*CW120</f>
        <v>0</v>
      </c>
      <c r="CX122" s="370"/>
      <c r="CY122" s="350">
        <f>IFERROR(+CW122-CZ122,"")</f>
        <v>0</v>
      </c>
      <c r="CZ122" s="371">
        <f>CU122/100*CZ120</f>
        <v>0</v>
      </c>
      <c r="DA122" s="333"/>
      <c r="DB122" s="333"/>
      <c r="DC122" s="288"/>
      <c r="DD122" s="81"/>
      <c r="DE122" s="348"/>
      <c r="DF122" s="366" t="str">
        <f>"Adjusment "&amp;" %"</f>
        <v>Adjusment  %</v>
      </c>
      <c r="DG122" s="367"/>
      <c r="DH122" s="368"/>
      <c r="DI122" s="369">
        <f>DG122/100*DI120</f>
        <v>0</v>
      </c>
      <c r="DJ122" s="370"/>
      <c r="DK122" s="350">
        <f>IFERROR(+DI122-DL122,"")</f>
        <v>0</v>
      </c>
      <c r="DL122" s="371">
        <f>DG122/100*DL120</f>
        <v>0</v>
      </c>
      <c r="DM122" s="333"/>
      <c r="DN122" s="333"/>
      <c r="DO122" s="288"/>
      <c r="DP122" s="81"/>
      <c r="DQ122" s="348"/>
      <c r="DR122" s="366" t="str">
        <f>"Adjusment "&amp;" %"</f>
        <v>Adjusment  %</v>
      </c>
      <c r="DS122" s="367"/>
      <c r="DT122" s="368"/>
      <c r="DU122" s="369">
        <f>DS122/100*DU120</f>
        <v>0</v>
      </c>
      <c r="DV122" s="370"/>
      <c r="DW122" s="350">
        <f>IFERROR(+DU122-DX122,"")</f>
        <v>0</v>
      </c>
      <c r="DX122" s="371">
        <f>DS122/100*DX120</f>
        <v>0</v>
      </c>
      <c r="DY122" s="333"/>
      <c r="DZ122" s="333"/>
      <c r="EA122" s="288"/>
      <c r="EB122" s="81"/>
      <c r="EC122" s="348"/>
      <c r="ED122" s="366" t="str">
        <f>"Adjusment "&amp;" %"</f>
        <v>Adjusment  %</v>
      </c>
      <c r="EE122" s="367"/>
      <c r="EF122" s="368"/>
      <c r="EG122" s="369">
        <f>EE122/100*EG120</f>
        <v>0</v>
      </c>
      <c r="EH122" s="370"/>
      <c r="EI122" s="350">
        <f>IFERROR(+EG122-EJ122,"")</f>
        <v>0</v>
      </c>
      <c r="EJ122" s="371">
        <f>EE122/100*EJ120</f>
        <v>0</v>
      </c>
      <c r="EK122" s="333"/>
      <c r="EL122" s="333"/>
      <c r="EM122" s="288"/>
      <c r="EN122" s="81"/>
      <c r="EO122" s="348"/>
      <c r="EP122" s="366" t="str">
        <f>"Adjusment "&amp;" %"</f>
        <v>Adjusment  %</v>
      </c>
      <c r="EQ122" s="367"/>
      <c r="ER122" s="368"/>
      <c r="ES122" s="369">
        <f>EQ122/100*ES120</f>
        <v>0</v>
      </c>
      <c r="ET122" s="370"/>
      <c r="EU122" s="350">
        <f>IFERROR(+ES122-EV122,"")</f>
        <v>0</v>
      </c>
      <c r="EV122" s="371">
        <f>EQ122/100*EV120</f>
        <v>0</v>
      </c>
      <c r="EW122" s="333"/>
      <c r="EX122" s="333"/>
      <c r="EY122" s="288"/>
      <c r="EZ122" s="81"/>
      <c r="FA122" s="348"/>
      <c r="FB122" s="366" t="str">
        <f>"Adjusment "&amp;" %"</f>
        <v>Adjusment  %</v>
      </c>
      <c r="FC122" s="367"/>
      <c r="FD122" s="368"/>
      <c r="FE122" s="369">
        <f>FC122/100*FE120</f>
        <v>0</v>
      </c>
      <c r="FF122" s="370"/>
      <c r="FG122" s="350">
        <f>IFERROR(+FE122-FH122,"")</f>
        <v>0</v>
      </c>
      <c r="FH122" s="371">
        <f>FC122/100*FH120</f>
        <v>0</v>
      </c>
      <c r="FI122" s="333"/>
      <c r="FJ122" s="333"/>
      <c r="FK122" s="288"/>
      <c r="FL122" s="81"/>
      <c r="FM122" s="348"/>
      <c r="FN122" s="366" t="str">
        <f>"Adjusment "&amp;" %"</f>
        <v>Adjusment  %</v>
      </c>
      <c r="FO122" s="367"/>
      <c r="FP122" s="368"/>
      <c r="FQ122" s="369">
        <f>FO122/100*FQ120</f>
        <v>0</v>
      </c>
      <c r="FR122" s="370"/>
      <c r="FS122" s="350">
        <f>IFERROR(+FQ122-FT122,"")</f>
        <v>0</v>
      </c>
      <c r="FT122" s="371">
        <f>FO122/100*FT120</f>
        <v>0</v>
      </c>
      <c r="FU122" s="333"/>
      <c r="FV122" s="333"/>
      <c r="FW122" s="288"/>
      <c r="FX122" s="81"/>
      <c r="FY122" s="348"/>
      <c r="FZ122" s="366" t="str">
        <f>"Adjusment "&amp;" %"</f>
        <v>Adjusment  %</v>
      </c>
      <c r="GA122" s="367"/>
      <c r="GB122" s="368"/>
      <c r="GC122" s="369">
        <f>GA122/100*GC120</f>
        <v>0</v>
      </c>
      <c r="GD122" s="370"/>
      <c r="GE122" s="350">
        <f>IFERROR(+GC122-GF122,"")</f>
        <v>0</v>
      </c>
      <c r="GF122" s="371">
        <f>GA122/100*GF120</f>
        <v>0</v>
      </c>
      <c r="GG122" s="333"/>
      <c r="GH122" s="333"/>
      <c r="GI122" s="288"/>
      <c r="GJ122" s="81"/>
      <c r="GK122" s="348"/>
      <c r="GL122" s="366" t="str">
        <f>"Adjusment "&amp;" %"</f>
        <v>Adjusment  %</v>
      </c>
      <c r="GM122" s="367"/>
      <c r="GN122" s="368"/>
      <c r="GO122" s="369">
        <f>GM122/100*GO120</f>
        <v>0</v>
      </c>
      <c r="GP122" s="370"/>
      <c r="GQ122" s="350">
        <f>IFERROR(+GO122-GR122,"")</f>
        <v>0</v>
      </c>
      <c r="GR122" s="371">
        <f>GM122/100*GR120</f>
        <v>0</v>
      </c>
      <c r="GS122" s="333"/>
      <c r="GT122" s="333"/>
      <c r="GU122" s="288"/>
      <c r="GV122" s="81"/>
      <c r="GW122" s="348"/>
      <c r="GX122" s="366" t="str">
        <f>"Adjusment "&amp;" %"</f>
        <v>Adjusment  %</v>
      </c>
      <c r="GY122" s="367"/>
      <c r="GZ122" s="368"/>
      <c r="HA122" s="369">
        <f>GY122/100*HA120</f>
        <v>0</v>
      </c>
      <c r="HB122" s="370"/>
      <c r="HC122" s="350">
        <f>IFERROR(+HA122-HD122,"")</f>
        <v>0</v>
      </c>
      <c r="HD122" s="371">
        <f>GY122/100*HD120</f>
        <v>0</v>
      </c>
      <c r="HE122" s="333"/>
      <c r="HF122" s="333"/>
      <c r="HG122" s="288"/>
      <c r="HH122" s="81"/>
      <c r="HI122" s="75"/>
    </row>
    <row r="123" ht="15.75" customHeight="1">
      <c r="A123" s="348"/>
      <c r="B123" s="357"/>
      <c r="C123" s="350"/>
      <c r="D123" s="350"/>
      <c r="E123" s="350"/>
      <c r="F123" s="350"/>
      <c r="G123" s="350"/>
      <c r="H123" s="352"/>
      <c r="I123" s="333"/>
      <c r="J123" s="333"/>
      <c r="K123" s="288"/>
      <c r="L123" s="81"/>
      <c r="M123" s="348"/>
      <c r="N123" s="357"/>
      <c r="O123" s="350"/>
      <c r="P123" s="350"/>
      <c r="Q123" s="350"/>
      <c r="R123" s="350"/>
      <c r="S123" s="350"/>
      <c r="T123" s="352"/>
      <c r="U123" s="333"/>
      <c r="V123" s="333"/>
      <c r="W123" s="288"/>
      <c r="X123" s="81"/>
      <c r="Y123" s="348"/>
      <c r="Z123" s="357"/>
      <c r="AA123" s="350"/>
      <c r="AB123" s="350"/>
      <c r="AC123" s="350"/>
      <c r="AD123" s="350"/>
      <c r="AE123" s="350"/>
      <c r="AF123" s="352"/>
      <c r="AG123" s="333"/>
      <c r="AH123" s="333"/>
      <c r="AI123" s="288"/>
      <c r="AJ123" s="81"/>
      <c r="AK123" s="348"/>
      <c r="AL123" s="357"/>
      <c r="AM123" s="350"/>
      <c r="AN123" s="350"/>
      <c r="AO123" s="350"/>
      <c r="AP123" s="350"/>
      <c r="AQ123" s="350"/>
      <c r="AR123" s="352"/>
      <c r="AS123" s="333"/>
      <c r="AT123" s="333"/>
      <c r="AU123" s="288"/>
      <c r="AV123" s="81"/>
      <c r="AW123" s="348"/>
      <c r="AX123" s="357"/>
      <c r="AY123" s="350"/>
      <c r="AZ123" s="350"/>
      <c r="BA123" s="350"/>
      <c r="BB123" s="350"/>
      <c r="BC123" s="350"/>
      <c r="BD123" s="352"/>
      <c r="BE123" s="333"/>
      <c r="BF123" s="333"/>
      <c r="BG123" s="288"/>
      <c r="BH123" s="81"/>
      <c r="BI123" s="348"/>
      <c r="BJ123" s="357"/>
      <c r="BK123" s="350"/>
      <c r="BL123" s="350"/>
      <c r="BM123" s="350"/>
      <c r="BN123" s="350"/>
      <c r="BO123" s="350"/>
      <c r="BP123" s="352"/>
      <c r="BQ123" s="333"/>
      <c r="BR123" s="333"/>
      <c r="BS123" s="288"/>
      <c r="BT123" s="81"/>
      <c r="BU123" s="348"/>
      <c r="BV123" s="357"/>
      <c r="BW123" s="350"/>
      <c r="BX123" s="350"/>
      <c r="BY123" s="350"/>
      <c r="BZ123" s="350"/>
      <c r="CA123" s="350"/>
      <c r="CB123" s="352"/>
      <c r="CC123" s="333"/>
      <c r="CD123" s="333"/>
      <c r="CE123" s="288"/>
      <c r="CF123" s="81"/>
      <c r="CG123" s="348"/>
      <c r="CH123" s="357"/>
      <c r="CI123" s="350"/>
      <c r="CJ123" s="350"/>
      <c r="CK123" s="350"/>
      <c r="CL123" s="350"/>
      <c r="CM123" s="350"/>
      <c r="CN123" s="352"/>
      <c r="CO123" s="333"/>
      <c r="CP123" s="333"/>
      <c r="CQ123" s="288"/>
      <c r="CR123" s="81"/>
      <c r="CS123" s="348"/>
      <c r="CT123" s="357"/>
      <c r="CU123" s="350"/>
      <c r="CV123" s="350"/>
      <c r="CW123" s="350"/>
      <c r="CX123" s="350"/>
      <c r="CY123" s="350"/>
      <c r="CZ123" s="352"/>
      <c r="DA123" s="333"/>
      <c r="DB123" s="333"/>
      <c r="DC123" s="288"/>
      <c r="DD123" s="81"/>
      <c r="DE123" s="348"/>
      <c r="DF123" s="357"/>
      <c r="DG123" s="350"/>
      <c r="DH123" s="350"/>
      <c r="DI123" s="350"/>
      <c r="DJ123" s="350"/>
      <c r="DK123" s="350"/>
      <c r="DL123" s="352"/>
      <c r="DM123" s="333"/>
      <c r="DN123" s="333"/>
      <c r="DO123" s="288"/>
      <c r="DP123" s="81"/>
      <c r="DQ123" s="348"/>
      <c r="DR123" s="357"/>
      <c r="DS123" s="350"/>
      <c r="DT123" s="350"/>
      <c r="DU123" s="350"/>
      <c r="DV123" s="350"/>
      <c r="DW123" s="350"/>
      <c r="DX123" s="352"/>
      <c r="DY123" s="333"/>
      <c r="DZ123" s="333"/>
      <c r="EA123" s="288"/>
      <c r="EB123" s="81"/>
      <c r="EC123" s="348"/>
      <c r="ED123" s="357"/>
      <c r="EE123" s="350"/>
      <c r="EF123" s="350"/>
      <c r="EG123" s="350"/>
      <c r="EH123" s="350"/>
      <c r="EI123" s="350"/>
      <c r="EJ123" s="352"/>
      <c r="EK123" s="333"/>
      <c r="EL123" s="333"/>
      <c r="EM123" s="288"/>
      <c r="EN123" s="81"/>
      <c r="EO123" s="348"/>
      <c r="EP123" s="357"/>
      <c r="EQ123" s="350"/>
      <c r="ER123" s="350"/>
      <c r="ES123" s="350"/>
      <c r="ET123" s="350"/>
      <c r="EU123" s="350"/>
      <c r="EV123" s="352"/>
      <c r="EW123" s="333"/>
      <c r="EX123" s="333"/>
      <c r="EY123" s="288"/>
      <c r="EZ123" s="81"/>
      <c r="FA123" s="348"/>
      <c r="FB123" s="357"/>
      <c r="FC123" s="350"/>
      <c r="FD123" s="350"/>
      <c r="FE123" s="350"/>
      <c r="FF123" s="350"/>
      <c r="FG123" s="350"/>
      <c r="FH123" s="352"/>
      <c r="FI123" s="333"/>
      <c r="FJ123" s="333"/>
      <c r="FK123" s="288"/>
      <c r="FL123" s="81"/>
      <c r="FM123" s="348"/>
      <c r="FN123" s="357"/>
      <c r="FO123" s="350"/>
      <c r="FP123" s="350"/>
      <c r="FQ123" s="350"/>
      <c r="FR123" s="350"/>
      <c r="FS123" s="350"/>
      <c r="FT123" s="352"/>
      <c r="FU123" s="333"/>
      <c r="FV123" s="333"/>
      <c r="FW123" s="288"/>
      <c r="FX123" s="81"/>
      <c r="FY123" s="348"/>
      <c r="FZ123" s="357"/>
      <c r="GA123" s="350"/>
      <c r="GB123" s="350"/>
      <c r="GC123" s="350"/>
      <c r="GD123" s="350"/>
      <c r="GE123" s="350"/>
      <c r="GF123" s="352"/>
      <c r="GG123" s="333"/>
      <c r="GH123" s="333"/>
      <c r="GI123" s="288"/>
      <c r="GJ123" s="81"/>
      <c r="GK123" s="348"/>
      <c r="GL123" s="357"/>
      <c r="GM123" s="350"/>
      <c r="GN123" s="350"/>
      <c r="GO123" s="350"/>
      <c r="GP123" s="350"/>
      <c r="GQ123" s="350"/>
      <c r="GR123" s="352"/>
      <c r="GS123" s="333"/>
      <c r="GT123" s="333"/>
      <c r="GU123" s="288"/>
      <c r="GV123" s="81"/>
      <c r="GW123" s="348"/>
      <c r="GX123" s="357"/>
      <c r="GY123" s="350"/>
      <c r="GZ123" s="350"/>
      <c r="HA123" s="350"/>
      <c r="HB123" s="350"/>
      <c r="HC123" s="350"/>
      <c r="HD123" s="352"/>
      <c r="HE123" s="333"/>
      <c r="HF123" s="333"/>
      <c r="HG123" s="288"/>
      <c r="HH123" s="81"/>
      <c r="HI123" s="75"/>
    </row>
    <row r="124" ht="24.0" customHeight="1">
      <c r="A124" s="372" t="s">
        <v>78</v>
      </c>
      <c r="B124" s="144"/>
      <c r="C124" s="373">
        <f>SUM(C120:C123)</f>
        <v>0</v>
      </c>
      <c r="D124" s="374"/>
      <c r="E124" s="373">
        <f>SUM(E120:E123)</f>
        <v>0</v>
      </c>
      <c r="F124" s="374"/>
      <c r="G124" s="373">
        <f t="shared" ref="G124:H124" si="613">SUM(G120:G123)</f>
        <v>0</v>
      </c>
      <c r="H124" s="375">
        <f t="shared" si="613"/>
        <v>0</v>
      </c>
      <c r="I124" s="333"/>
      <c r="J124" s="333"/>
      <c r="K124" s="288"/>
      <c r="L124" s="81"/>
      <c r="M124" s="372" t="s">
        <v>78</v>
      </c>
      <c r="N124" s="144"/>
      <c r="O124" s="373">
        <f>SUM(O120:O123)</f>
        <v>0</v>
      </c>
      <c r="P124" s="374"/>
      <c r="Q124" s="373">
        <f>SUM(Q120:Q123)</f>
        <v>0</v>
      </c>
      <c r="R124" s="374"/>
      <c r="S124" s="373">
        <f t="shared" ref="S124:T124" si="614">SUM(S120:S123)</f>
        <v>0</v>
      </c>
      <c r="T124" s="375">
        <f t="shared" si="614"/>
        <v>0</v>
      </c>
      <c r="U124" s="333"/>
      <c r="V124" s="333"/>
      <c r="W124" s="288"/>
      <c r="X124" s="81"/>
      <c r="Y124" s="372" t="s">
        <v>78</v>
      </c>
      <c r="Z124" s="144"/>
      <c r="AA124" s="373">
        <f>SUM(AA120:AA123)</f>
        <v>0</v>
      </c>
      <c r="AB124" s="374"/>
      <c r="AC124" s="373">
        <f>SUM(AC120:AC123)</f>
        <v>0</v>
      </c>
      <c r="AD124" s="374"/>
      <c r="AE124" s="373">
        <f t="shared" ref="AE124:AF124" si="615">SUM(AE120:AE123)</f>
        <v>0</v>
      </c>
      <c r="AF124" s="375">
        <f t="shared" si="615"/>
        <v>0</v>
      </c>
      <c r="AG124" s="333"/>
      <c r="AH124" s="333"/>
      <c r="AI124" s="288"/>
      <c r="AJ124" s="81"/>
      <c r="AK124" s="372" t="s">
        <v>78</v>
      </c>
      <c r="AL124" s="144"/>
      <c r="AM124" s="373">
        <f>SUM(AM120:AM123)</f>
        <v>0</v>
      </c>
      <c r="AN124" s="374"/>
      <c r="AO124" s="373">
        <f>SUM(AO120:AO123)</f>
        <v>0</v>
      </c>
      <c r="AP124" s="374"/>
      <c r="AQ124" s="373">
        <f t="shared" ref="AQ124:AR124" si="616">SUM(AQ120:AQ123)</f>
        <v>0</v>
      </c>
      <c r="AR124" s="375">
        <f t="shared" si="616"/>
        <v>0</v>
      </c>
      <c r="AS124" s="333"/>
      <c r="AT124" s="333"/>
      <c r="AU124" s="288"/>
      <c r="AV124" s="81"/>
      <c r="AW124" s="372" t="s">
        <v>78</v>
      </c>
      <c r="AX124" s="144"/>
      <c r="AY124" s="373">
        <f>SUM(AY120:AY123)</f>
        <v>0</v>
      </c>
      <c r="AZ124" s="374"/>
      <c r="BA124" s="373">
        <f>SUM(BA120:BA123)</f>
        <v>0</v>
      </c>
      <c r="BB124" s="374"/>
      <c r="BC124" s="373">
        <f t="shared" ref="BC124:BD124" si="617">SUM(BC120:BC123)</f>
        <v>0</v>
      </c>
      <c r="BD124" s="375">
        <f t="shared" si="617"/>
        <v>0</v>
      </c>
      <c r="BE124" s="333"/>
      <c r="BF124" s="333"/>
      <c r="BG124" s="288"/>
      <c r="BH124" s="81"/>
      <c r="BI124" s="372" t="s">
        <v>78</v>
      </c>
      <c r="BJ124" s="144"/>
      <c r="BK124" s="373">
        <f>SUM(BK120:BK123)</f>
        <v>0</v>
      </c>
      <c r="BL124" s="374"/>
      <c r="BM124" s="373">
        <f>SUM(BM120:BM123)</f>
        <v>0</v>
      </c>
      <c r="BN124" s="374"/>
      <c r="BO124" s="373">
        <f t="shared" ref="BO124:BP124" si="618">SUM(BO120:BO123)</f>
        <v>0</v>
      </c>
      <c r="BP124" s="375">
        <f t="shared" si="618"/>
        <v>0</v>
      </c>
      <c r="BQ124" s="333"/>
      <c r="BR124" s="333"/>
      <c r="BS124" s="288"/>
      <c r="BT124" s="81"/>
      <c r="BU124" s="372" t="s">
        <v>78</v>
      </c>
      <c r="BV124" s="144"/>
      <c r="BW124" s="373">
        <f>SUM(BW120:BW123)</f>
        <v>0</v>
      </c>
      <c r="BX124" s="374"/>
      <c r="BY124" s="373">
        <f>SUM(BY120:BY123)</f>
        <v>0</v>
      </c>
      <c r="BZ124" s="374"/>
      <c r="CA124" s="373">
        <f t="shared" ref="CA124:CB124" si="619">SUM(CA120:CA123)</f>
        <v>0</v>
      </c>
      <c r="CB124" s="375">
        <f t="shared" si="619"/>
        <v>0</v>
      </c>
      <c r="CC124" s="333"/>
      <c r="CD124" s="333"/>
      <c r="CE124" s="288"/>
      <c r="CF124" s="81"/>
      <c r="CG124" s="372" t="s">
        <v>78</v>
      </c>
      <c r="CH124" s="144"/>
      <c r="CI124" s="373">
        <f>SUM(CI120:CI123)</f>
        <v>0</v>
      </c>
      <c r="CJ124" s="374"/>
      <c r="CK124" s="373">
        <f>SUM(CK120:CK123)</f>
        <v>0</v>
      </c>
      <c r="CL124" s="374"/>
      <c r="CM124" s="373">
        <f t="shared" ref="CM124:CN124" si="620">SUM(CM120:CM123)</f>
        <v>0</v>
      </c>
      <c r="CN124" s="375">
        <f t="shared" si="620"/>
        <v>0</v>
      </c>
      <c r="CO124" s="333"/>
      <c r="CP124" s="333"/>
      <c r="CQ124" s="288"/>
      <c r="CR124" s="81"/>
      <c r="CS124" s="372" t="s">
        <v>78</v>
      </c>
      <c r="CT124" s="144"/>
      <c r="CU124" s="373">
        <f>SUM(CU120:CU123)</f>
        <v>0</v>
      </c>
      <c r="CV124" s="374"/>
      <c r="CW124" s="373">
        <f>SUM(CW120:CW123)</f>
        <v>0</v>
      </c>
      <c r="CX124" s="374"/>
      <c r="CY124" s="373">
        <f t="shared" ref="CY124:CZ124" si="621">SUM(CY120:CY123)</f>
        <v>0</v>
      </c>
      <c r="CZ124" s="375">
        <f t="shared" si="621"/>
        <v>0</v>
      </c>
      <c r="DA124" s="333"/>
      <c r="DB124" s="333"/>
      <c r="DC124" s="288"/>
      <c r="DD124" s="81"/>
      <c r="DE124" s="372" t="s">
        <v>78</v>
      </c>
      <c r="DF124" s="144"/>
      <c r="DG124" s="373">
        <f>SUM(DG120:DG123)</f>
        <v>4882470.088</v>
      </c>
      <c r="DH124" s="374"/>
      <c r="DI124" s="373">
        <f>SUM(DI120:DI123)</f>
        <v>56724.86005</v>
      </c>
      <c r="DJ124" s="374"/>
      <c r="DK124" s="373">
        <f t="shared" ref="DK124:DL124" si="622">SUM(DK120:DK123)</f>
        <v>9482.278837</v>
      </c>
      <c r="DL124" s="375">
        <f t="shared" si="622"/>
        <v>47242.58121</v>
      </c>
      <c r="DM124" s="333"/>
      <c r="DN124" s="333"/>
      <c r="DO124" s="288"/>
      <c r="DP124" s="81"/>
      <c r="DQ124" s="372" t="s">
        <v>78</v>
      </c>
      <c r="DR124" s="144"/>
      <c r="DS124" s="373">
        <f>SUM(DS120:DS123)</f>
        <v>4785200.646</v>
      </c>
      <c r="DT124" s="374"/>
      <c r="DU124" s="373">
        <f>SUM(DU120:DU123)</f>
        <v>55594.77724</v>
      </c>
      <c r="DV124" s="374"/>
      <c r="DW124" s="373">
        <f t="shared" ref="DW124:DX124" si="623">SUM(DW120:DW123)</f>
        <v>9293.371183</v>
      </c>
      <c r="DX124" s="375">
        <f t="shared" si="623"/>
        <v>46301.40606</v>
      </c>
      <c r="DY124" s="333"/>
      <c r="DZ124" s="333"/>
      <c r="EA124" s="288"/>
      <c r="EB124" s="81"/>
      <c r="EC124" s="372" t="s">
        <v>78</v>
      </c>
      <c r="ED124" s="144"/>
      <c r="EE124" s="373">
        <f>SUM(EE120:EE123)</f>
        <v>5032202.428</v>
      </c>
      <c r="EF124" s="374"/>
      <c r="EG124" s="373">
        <f>SUM(EG120:EG123)</f>
        <v>58464.46027</v>
      </c>
      <c r="EH124" s="374"/>
      <c r="EI124" s="373">
        <f t="shared" ref="EI124:EJ124" si="624">SUM(EI120:EI123)</f>
        <v>9773.075049</v>
      </c>
      <c r="EJ124" s="375">
        <f t="shared" si="624"/>
        <v>48691.38522</v>
      </c>
      <c r="EK124" s="333"/>
      <c r="EL124" s="333"/>
      <c r="EM124" s="288"/>
      <c r="EN124" s="81"/>
      <c r="EO124" s="372" t="s">
        <v>78</v>
      </c>
      <c r="EP124" s="144"/>
      <c r="EQ124" s="373">
        <f>SUM(EQ120:EQ123)</f>
        <v>5391553.003</v>
      </c>
      <c r="ER124" s="374"/>
      <c r="ES124" s="373">
        <f>SUM(ES120:ES123)</f>
        <v>62639.41899</v>
      </c>
      <c r="ET124" s="374"/>
      <c r="EU124" s="373">
        <f t="shared" ref="EU124:EV124" si="625">SUM(EU120:EU123)</f>
        <v>10470.97228</v>
      </c>
      <c r="EV124" s="375">
        <f t="shared" si="625"/>
        <v>52168.44672</v>
      </c>
      <c r="EW124" s="333"/>
      <c r="EX124" s="333"/>
      <c r="EY124" s="288"/>
      <c r="EZ124" s="81"/>
      <c r="FA124" s="372" t="s">
        <v>78</v>
      </c>
      <c r="FB124" s="144"/>
      <c r="FC124" s="373">
        <f>SUM(FC120:FC123)</f>
        <v>6145070.339</v>
      </c>
      <c r="FD124" s="374"/>
      <c r="FE124" s="373">
        <f>SUM(FE120:FE123)</f>
        <v>71393.83318</v>
      </c>
      <c r="FF124" s="374"/>
      <c r="FG124" s="373">
        <f t="shared" ref="FG124:FH124" si="626">SUM(FG120:FG123)</f>
        <v>11934.38349</v>
      </c>
      <c r="FH124" s="375">
        <f t="shared" si="626"/>
        <v>59459.44968</v>
      </c>
      <c r="FI124" s="333"/>
      <c r="FJ124" s="333"/>
      <c r="FK124" s="288"/>
      <c r="FL124" s="81"/>
      <c r="FM124" s="372" t="s">
        <v>78</v>
      </c>
      <c r="FN124" s="144"/>
      <c r="FO124" s="373">
        <f>SUM(FO120:FO123)</f>
        <v>7331651.531</v>
      </c>
      <c r="FP124" s="374"/>
      <c r="FQ124" s="373">
        <f>SUM(FQ120:FQ123)</f>
        <v>85179.61186</v>
      </c>
      <c r="FR124" s="374"/>
      <c r="FS124" s="373">
        <f t="shared" ref="FS124:FT124" si="627">SUM(FS120:FS123)</f>
        <v>14238.85101</v>
      </c>
      <c r="FT124" s="375">
        <f t="shared" si="627"/>
        <v>70940.76085</v>
      </c>
      <c r="FU124" s="333"/>
      <c r="FV124" s="333"/>
      <c r="FW124" s="288"/>
      <c r="FX124" s="81"/>
      <c r="FY124" s="372" t="s">
        <v>78</v>
      </c>
      <c r="FZ124" s="144"/>
      <c r="GA124" s="373">
        <f>SUM(GA120:GA123)</f>
        <v>8271341.663</v>
      </c>
      <c r="GB124" s="374"/>
      <c r="GC124" s="373">
        <f>SUM(GC120:GC123)</f>
        <v>96096.99391</v>
      </c>
      <c r="GD124" s="374"/>
      <c r="GE124" s="373">
        <f t="shared" ref="GE124:GF124" si="628">SUM(GE120:GE123)</f>
        <v>16063.8297</v>
      </c>
      <c r="GF124" s="375">
        <f t="shared" si="628"/>
        <v>80033.1642</v>
      </c>
      <c r="GG124" s="333"/>
      <c r="GH124" s="333"/>
      <c r="GI124" s="288"/>
      <c r="GJ124" s="81"/>
      <c r="GK124" s="372" t="s">
        <v>78</v>
      </c>
      <c r="GL124" s="144"/>
      <c r="GM124" s="373">
        <f>SUM(GM120:GM123)</f>
        <v>0</v>
      </c>
      <c r="GN124" s="374"/>
      <c r="GO124" s="373">
        <f>SUM(GO120:GO123)</f>
        <v>0</v>
      </c>
      <c r="GP124" s="374"/>
      <c r="GQ124" s="373">
        <f t="shared" ref="GQ124:GR124" si="629">SUM(GQ120:GQ123)</f>
        <v>0</v>
      </c>
      <c r="GR124" s="375">
        <f t="shared" si="629"/>
        <v>0</v>
      </c>
      <c r="GS124" s="333"/>
      <c r="GT124" s="333"/>
      <c r="GU124" s="288"/>
      <c r="GV124" s="81"/>
      <c r="GW124" s="372" t="s">
        <v>78</v>
      </c>
      <c r="GX124" s="144"/>
      <c r="GY124" s="373">
        <f>SUM(GY120:GY123)</f>
        <v>0</v>
      </c>
      <c r="GZ124" s="374"/>
      <c r="HA124" s="373">
        <f>SUM(HA120:HA123)</f>
        <v>0</v>
      </c>
      <c r="HB124" s="374"/>
      <c r="HC124" s="373">
        <f t="shared" ref="HC124:HD124" si="630">SUM(HC120:HC123)</f>
        <v>0</v>
      </c>
      <c r="HD124" s="375">
        <f t="shared" si="630"/>
        <v>0</v>
      </c>
      <c r="HE124" s="333"/>
      <c r="HF124" s="333"/>
      <c r="HG124" s="288"/>
      <c r="HH124" s="81"/>
      <c r="HI124" s="75"/>
    </row>
    <row r="125" ht="15.0" customHeight="1">
      <c r="A125" s="74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81"/>
      <c r="M125" s="74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81"/>
      <c r="Y125" s="74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81"/>
      <c r="AK125" s="74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81"/>
      <c r="AW125" s="74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81"/>
      <c r="BI125" s="74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81"/>
      <c r="BU125" s="74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81"/>
      <c r="CG125" s="74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81"/>
      <c r="CS125" s="74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81"/>
      <c r="DE125" s="74"/>
      <c r="DF125" s="75"/>
      <c r="DG125" s="75"/>
      <c r="DH125" s="75"/>
      <c r="DI125" s="75"/>
      <c r="DJ125" s="75"/>
      <c r="DK125" s="75"/>
      <c r="DL125" s="75"/>
      <c r="DM125" s="75"/>
      <c r="DN125" s="75"/>
      <c r="DO125" s="75"/>
      <c r="DP125" s="81"/>
      <c r="DQ125" s="74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81"/>
      <c r="EC125" s="74"/>
      <c r="ED125" s="75"/>
      <c r="EE125" s="75"/>
      <c r="EF125" s="75"/>
      <c r="EG125" s="75"/>
      <c r="EH125" s="75"/>
      <c r="EI125" s="75"/>
      <c r="EJ125" s="75"/>
      <c r="EK125" s="75"/>
      <c r="EL125" s="75"/>
      <c r="EM125" s="75"/>
      <c r="EN125" s="81"/>
      <c r="EO125" s="74"/>
      <c r="EP125" s="75"/>
      <c r="EQ125" s="75"/>
      <c r="ER125" s="75"/>
      <c r="ES125" s="75"/>
      <c r="ET125" s="75"/>
      <c r="EU125" s="75"/>
      <c r="EV125" s="75"/>
      <c r="EW125" s="75"/>
      <c r="EX125" s="75"/>
      <c r="EY125" s="75"/>
      <c r="EZ125" s="81"/>
      <c r="FA125" s="74"/>
      <c r="FB125" s="75"/>
      <c r="FC125" s="75"/>
      <c r="FD125" s="75"/>
      <c r="FE125" s="75"/>
      <c r="FF125" s="75"/>
      <c r="FG125" s="75"/>
      <c r="FH125" s="75"/>
      <c r="FI125" s="75"/>
      <c r="FJ125" s="75"/>
      <c r="FK125" s="75"/>
      <c r="FL125" s="81"/>
      <c r="FM125" s="74"/>
      <c r="FN125" s="75"/>
      <c r="FO125" s="75"/>
      <c r="FP125" s="75"/>
      <c r="FQ125" s="75"/>
      <c r="FR125" s="75"/>
      <c r="FS125" s="75"/>
      <c r="FT125" s="75"/>
      <c r="FU125" s="75"/>
      <c r="FV125" s="75"/>
      <c r="FW125" s="75"/>
      <c r="FX125" s="81"/>
      <c r="FY125" s="74"/>
      <c r="FZ125" s="75"/>
      <c r="GA125" s="75"/>
      <c r="GB125" s="75"/>
      <c r="GC125" s="75"/>
      <c r="GD125" s="75"/>
      <c r="GE125" s="75"/>
      <c r="GF125" s="75"/>
      <c r="GG125" s="75"/>
      <c r="GH125" s="75"/>
      <c r="GI125" s="75"/>
      <c r="GJ125" s="81"/>
      <c r="GK125" s="74"/>
      <c r="GL125" s="75"/>
      <c r="GM125" s="75"/>
      <c r="GN125" s="75"/>
      <c r="GO125" s="75"/>
      <c r="GP125" s="75"/>
      <c r="GQ125" s="75"/>
      <c r="GR125" s="75"/>
      <c r="GS125" s="75"/>
      <c r="GT125" s="75"/>
      <c r="GU125" s="75"/>
      <c r="GV125" s="81"/>
      <c r="GW125" s="74"/>
      <c r="GX125" s="75"/>
      <c r="GY125" s="75"/>
      <c r="GZ125" s="75"/>
      <c r="HA125" s="75"/>
      <c r="HB125" s="75"/>
      <c r="HC125" s="75"/>
      <c r="HD125" s="75"/>
      <c r="HE125" s="75"/>
      <c r="HF125" s="75"/>
      <c r="HG125" s="75"/>
      <c r="HH125" s="81"/>
      <c r="HI125" s="75"/>
    </row>
    <row r="126" ht="15.0" customHeight="1">
      <c r="A126" s="74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81"/>
      <c r="M126" s="74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81"/>
      <c r="Y126" s="74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81"/>
      <c r="AK126" s="74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81"/>
      <c r="AW126" s="74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81"/>
      <c r="BI126" s="74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81"/>
      <c r="BU126" s="74"/>
      <c r="BV126" s="75"/>
      <c r="BW126" s="75"/>
      <c r="BX126" s="75"/>
      <c r="BY126" s="75"/>
      <c r="BZ126" s="75"/>
      <c r="CA126" s="75"/>
      <c r="CB126" s="75"/>
      <c r="CC126" s="75"/>
      <c r="CD126" s="75"/>
      <c r="CE126" s="75"/>
      <c r="CF126" s="81"/>
      <c r="CG126" s="74"/>
      <c r="CH126" s="75"/>
      <c r="CI126" s="75"/>
      <c r="CJ126" s="75"/>
      <c r="CK126" s="75"/>
      <c r="CL126" s="75"/>
      <c r="CM126" s="75"/>
      <c r="CN126" s="75"/>
      <c r="CO126" s="75"/>
      <c r="CP126" s="75"/>
      <c r="CQ126" s="75"/>
      <c r="CR126" s="81"/>
      <c r="CS126" s="74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81"/>
      <c r="DE126" s="74"/>
      <c r="DF126" s="75"/>
      <c r="DG126" s="75"/>
      <c r="DH126" s="75"/>
      <c r="DI126" s="75"/>
      <c r="DJ126" s="75"/>
      <c r="DK126" s="75"/>
      <c r="DL126" s="75"/>
      <c r="DM126" s="75"/>
      <c r="DN126" s="75"/>
      <c r="DO126" s="75"/>
      <c r="DP126" s="81"/>
      <c r="DQ126" s="74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81"/>
      <c r="EC126" s="74"/>
      <c r="ED126" s="75"/>
      <c r="EE126" s="75"/>
      <c r="EF126" s="75"/>
      <c r="EG126" s="75"/>
      <c r="EH126" s="75"/>
      <c r="EI126" s="75"/>
      <c r="EJ126" s="75"/>
      <c r="EK126" s="75"/>
      <c r="EL126" s="75"/>
      <c r="EM126" s="75"/>
      <c r="EN126" s="81"/>
      <c r="EO126" s="74"/>
      <c r="EP126" s="75"/>
      <c r="EQ126" s="75"/>
      <c r="ER126" s="75"/>
      <c r="ES126" s="75"/>
      <c r="ET126" s="75"/>
      <c r="EU126" s="75"/>
      <c r="EV126" s="75"/>
      <c r="EW126" s="75"/>
      <c r="EX126" s="75"/>
      <c r="EY126" s="75"/>
      <c r="EZ126" s="81"/>
      <c r="FA126" s="74"/>
      <c r="FB126" s="75"/>
      <c r="FC126" s="75"/>
      <c r="FD126" s="75"/>
      <c r="FE126" s="75"/>
      <c r="FF126" s="75"/>
      <c r="FG126" s="75"/>
      <c r="FH126" s="75"/>
      <c r="FI126" s="75"/>
      <c r="FJ126" s="75"/>
      <c r="FK126" s="75"/>
      <c r="FL126" s="81"/>
      <c r="FM126" s="74"/>
      <c r="FN126" s="75"/>
      <c r="FO126" s="75"/>
      <c r="FP126" s="75"/>
      <c r="FQ126" s="75"/>
      <c r="FR126" s="75"/>
      <c r="FS126" s="75"/>
      <c r="FT126" s="75"/>
      <c r="FU126" s="75"/>
      <c r="FV126" s="75"/>
      <c r="FW126" s="75"/>
      <c r="FX126" s="81"/>
      <c r="FY126" s="74"/>
      <c r="FZ126" s="75"/>
      <c r="GA126" s="75"/>
      <c r="GB126" s="75"/>
      <c r="GC126" s="75"/>
      <c r="GD126" s="75"/>
      <c r="GE126" s="75"/>
      <c r="GF126" s="75"/>
      <c r="GG126" s="75"/>
      <c r="GH126" s="75"/>
      <c r="GI126" s="75"/>
      <c r="GJ126" s="81"/>
      <c r="GK126" s="74"/>
      <c r="GL126" s="75"/>
      <c r="GM126" s="75"/>
      <c r="GN126" s="75"/>
      <c r="GO126" s="75"/>
      <c r="GP126" s="75"/>
      <c r="GQ126" s="75"/>
      <c r="GR126" s="75"/>
      <c r="GS126" s="75"/>
      <c r="GT126" s="75"/>
      <c r="GU126" s="75"/>
      <c r="GV126" s="81"/>
      <c r="GW126" s="74"/>
      <c r="GX126" s="75"/>
      <c r="GY126" s="75"/>
      <c r="GZ126" s="75"/>
      <c r="HA126" s="75"/>
      <c r="HB126" s="75"/>
      <c r="HC126" s="75"/>
      <c r="HD126" s="75"/>
      <c r="HE126" s="75"/>
      <c r="HF126" s="75"/>
      <c r="HG126" s="75"/>
      <c r="HH126" s="81"/>
      <c r="HI126" s="75"/>
    </row>
    <row r="127" ht="15.0" customHeight="1">
      <c r="A127" s="74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81"/>
      <c r="M127" s="74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81"/>
      <c r="Y127" s="74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81"/>
      <c r="AK127" s="74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81"/>
      <c r="AW127" s="74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81"/>
      <c r="BI127" s="74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81"/>
      <c r="BU127" s="74"/>
      <c r="BV127" s="75"/>
      <c r="BW127" s="75"/>
      <c r="BX127" s="75"/>
      <c r="BY127" s="75"/>
      <c r="BZ127" s="75"/>
      <c r="CA127" s="75"/>
      <c r="CB127" s="75"/>
      <c r="CC127" s="75"/>
      <c r="CD127" s="75"/>
      <c r="CE127" s="75"/>
      <c r="CF127" s="81"/>
      <c r="CG127" s="74"/>
      <c r="CH127" s="75"/>
      <c r="CI127" s="75"/>
      <c r="CJ127" s="75"/>
      <c r="CK127" s="75"/>
      <c r="CL127" s="75"/>
      <c r="CM127" s="75"/>
      <c r="CN127" s="75"/>
      <c r="CO127" s="75"/>
      <c r="CP127" s="75"/>
      <c r="CQ127" s="75"/>
      <c r="CR127" s="81"/>
      <c r="CS127" s="74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81"/>
      <c r="DE127" s="74"/>
      <c r="DF127" s="75"/>
      <c r="DG127" s="75"/>
      <c r="DH127" s="75"/>
      <c r="DI127" s="75"/>
      <c r="DJ127" s="75"/>
      <c r="DK127" s="75"/>
      <c r="DL127" s="75"/>
      <c r="DM127" s="75"/>
      <c r="DN127" s="75"/>
      <c r="DO127" s="75"/>
      <c r="DP127" s="81"/>
      <c r="DQ127" s="74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81"/>
      <c r="EC127" s="74"/>
      <c r="ED127" s="75"/>
      <c r="EE127" s="75"/>
      <c r="EF127" s="75"/>
      <c r="EG127" s="75"/>
      <c r="EH127" s="75"/>
      <c r="EI127" s="75"/>
      <c r="EJ127" s="75"/>
      <c r="EK127" s="75"/>
      <c r="EL127" s="75"/>
      <c r="EM127" s="75"/>
      <c r="EN127" s="81"/>
      <c r="EO127" s="74"/>
      <c r="EP127" s="75"/>
      <c r="EQ127" s="75"/>
      <c r="ER127" s="75"/>
      <c r="ES127" s="75"/>
      <c r="ET127" s="75"/>
      <c r="EU127" s="75"/>
      <c r="EV127" s="75"/>
      <c r="EW127" s="75"/>
      <c r="EX127" s="75"/>
      <c r="EY127" s="75"/>
      <c r="EZ127" s="81"/>
      <c r="FA127" s="74"/>
      <c r="FB127" s="75"/>
      <c r="FC127" s="75"/>
      <c r="FD127" s="75"/>
      <c r="FE127" s="75"/>
      <c r="FF127" s="75"/>
      <c r="FG127" s="75"/>
      <c r="FH127" s="75"/>
      <c r="FI127" s="75"/>
      <c r="FJ127" s="75"/>
      <c r="FK127" s="75"/>
      <c r="FL127" s="81"/>
      <c r="FM127" s="74"/>
      <c r="FN127" s="75"/>
      <c r="FO127" s="75"/>
      <c r="FP127" s="75"/>
      <c r="FQ127" s="75"/>
      <c r="FR127" s="75"/>
      <c r="FS127" s="75"/>
      <c r="FT127" s="75"/>
      <c r="FU127" s="75"/>
      <c r="FV127" s="75"/>
      <c r="FW127" s="75"/>
      <c r="FX127" s="81"/>
      <c r="FY127" s="74"/>
      <c r="FZ127" s="75"/>
      <c r="GA127" s="75"/>
      <c r="GB127" s="75"/>
      <c r="GC127" s="75"/>
      <c r="GD127" s="75"/>
      <c r="GE127" s="75"/>
      <c r="GF127" s="75"/>
      <c r="GG127" s="75"/>
      <c r="GH127" s="75"/>
      <c r="GI127" s="75"/>
      <c r="GJ127" s="81"/>
      <c r="GK127" s="74"/>
      <c r="GL127" s="75"/>
      <c r="GM127" s="75"/>
      <c r="GN127" s="75"/>
      <c r="GO127" s="75"/>
      <c r="GP127" s="75"/>
      <c r="GQ127" s="75"/>
      <c r="GR127" s="75"/>
      <c r="GS127" s="75"/>
      <c r="GT127" s="75"/>
      <c r="GU127" s="75"/>
      <c r="GV127" s="81"/>
      <c r="GW127" s="74"/>
      <c r="GX127" s="75"/>
      <c r="GY127" s="75"/>
      <c r="GZ127" s="75"/>
      <c r="HA127" s="75"/>
      <c r="HB127" s="75"/>
      <c r="HC127" s="75"/>
      <c r="HD127" s="75"/>
      <c r="HE127" s="75"/>
      <c r="HF127" s="75"/>
      <c r="HG127" s="75"/>
      <c r="HH127" s="81"/>
      <c r="HI127" s="75"/>
    </row>
    <row r="128" ht="15.0" customHeight="1">
      <c r="A128" s="74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81"/>
      <c r="M128" s="74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81"/>
      <c r="Y128" s="74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81"/>
      <c r="AK128" s="74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81"/>
      <c r="AW128" s="74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81"/>
      <c r="BI128" s="74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81"/>
      <c r="BU128" s="74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81"/>
      <c r="CG128" s="74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81"/>
      <c r="CS128" s="74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81"/>
      <c r="DE128" s="74"/>
      <c r="DF128" s="75"/>
      <c r="DG128" s="75"/>
      <c r="DH128" s="75"/>
      <c r="DI128" s="75"/>
      <c r="DJ128" s="75"/>
      <c r="DK128" s="75"/>
      <c r="DL128" s="75"/>
      <c r="DM128" s="75"/>
      <c r="DN128" s="75"/>
      <c r="DO128" s="75"/>
      <c r="DP128" s="81"/>
      <c r="DQ128" s="74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81"/>
      <c r="EC128" s="74"/>
      <c r="ED128" s="75"/>
      <c r="EE128" s="75"/>
      <c r="EF128" s="75"/>
      <c r="EG128" s="75"/>
      <c r="EH128" s="75"/>
      <c r="EI128" s="75"/>
      <c r="EJ128" s="75"/>
      <c r="EK128" s="75"/>
      <c r="EL128" s="75"/>
      <c r="EM128" s="75"/>
      <c r="EN128" s="81"/>
      <c r="EO128" s="74"/>
      <c r="EP128" s="75"/>
      <c r="EQ128" s="75"/>
      <c r="ER128" s="75"/>
      <c r="ES128" s="75"/>
      <c r="ET128" s="75"/>
      <c r="EU128" s="75"/>
      <c r="EV128" s="75"/>
      <c r="EW128" s="75"/>
      <c r="EX128" s="75"/>
      <c r="EY128" s="75"/>
      <c r="EZ128" s="81"/>
      <c r="FA128" s="74"/>
      <c r="FB128" s="75"/>
      <c r="FC128" s="75"/>
      <c r="FD128" s="75"/>
      <c r="FE128" s="75"/>
      <c r="FF128" s="75"/>
      <c r="FG128" s="75"/>
      <c r="FH128" s="75"/>
      <c r="FI128" s="75"/>
      <c r="FJ128" s="75"/>
      <c r="FK128" s="75"/>
      <c r="FL128" s="81"/>
      <c r="FM128" s="74"/>
      <c r="FN128" s="75"/>
      <c r="FO128" s="75"/>
      <c r="FP128" s="75"/>
      <c r="FQ128" s="75"/>
      <c r="FR128" s="75"/>
      <c r="FS128" s="75"/>
      <c r="FT128" s="75"/>
      <c r="FU128" s="75"/>
      <c r="FV128" s="75"/>
      <c r="FW128" s="75"/>
      <c r="FX128" s="81"/>
      <c r="FY128" s="74"/>
      <c r="FZ128" s="75"/>
      <c r="GA128" s="75"/>
      <c r="GB128" s="75"/>
      <c r="GC128" s="75"/>
      <c r="GD128" s="75"/>
      <c r="GE128" s="75"/>
      <c r="GF128" s="75"/>
      <c r="GG128" s="75"/>
      <c r="GH128" s="75"/>
      <c r="GI128" s="75"/>
      <c r="GJ128" s="81"/>
      <c r="GK128" s="74"/>
      <c r="GL128" s="75"/>
      <c r="GM128" s="75"/>
      <c r="GN128" s="75"/>
      <c r="GO128" s="75"/>
      <c r="GP128" s="75"/>
      <c r="GQ128" s="75"/>
      <c r="GR128" s="75"/>
      <c r="GS128" s="75"/>
      <c r="GT128" s="75"/>
      <c r="GU128" s="75"/>
      <c r="GV128" s="81"/>
      <c r="GW128" s="74"/>
      <c r="GX128" s="75"/>
      <c r="GY128" s="75"/>
      <c r="GZ128" s="75"/>
      <c r="HA128" s="75"/>
      <c r="HB128" s="75"/>
      <c r="HC128" s="75"/>
      <c r="HD128" s="75"/>
      <c r="HE128" s="75"/>
      <c r="HF128" s="75"/>
      <c r="HG128" s="75"/>
      <c r="HH128" s="81"/>
      <c r="HI128" s="75"/>
    </row>
    <row r="129" ht="15.0" customHeight="1">
      <c r="A129" s="74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81"/>
      <c r="M129" s="74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81"/>
      <c r="Y129" s="74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81"/>
      <c r="AK129" s="74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81"/>
      <c r="AW129" s="74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81"/>
      <c r="BI129" s="74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81"/>
      <c r="BU129" s="74"/>
      <c r="BV129" s="75"/>
      <c r="BW129" s="75"/>
      <c r="BX129" s="75"/>
      <c r="BY129" s="75"/>
      <c r="BZ129" s="75"/>
      <c r="CA129" s="75"/>
      <c r="CB129" s="75"/>
      <c r="CC129" s="75"/>
      <c r="CD129" s="75"/>
      <c r="CE129" s="75"/>
      <c r="CF129" s="81"/>
      <c r="CG129" s="74"/>
      <c r="CH129" s="75"/>
      <c r="CI129" s="75"/>
      <c r="CJ129" s="75"/>
      <c r="CK129" s="75"/>
      <c r="CL129" s="75"/>
      <c r="CM129" s="75"/>
      <c r="CN129" s="75"/>
      <c r="CO129" s="75"/>
      <c r="CP129" s="75"/>
      <c r="CQ129" s="75"/>
      <c r="CR129" s="81"/>
      <c r="CS129" s="74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81"/>
      <c r="DE129" s="74"/>
      <c r="DF129" s="75"/>
      <c r="DG129" s="75"/>
      <c r="DH129" s="75"/>
      <c r="DI129" s="75"/>
      <c r="DJ129" s="75"/>
      <c r="DK129" s="75"/>
      <c r="DL129" s="75"/>
      <c r="DM129" s="75"/>
      <c r="DN129" s="75"/>
      <c r="DO129" s="75"/>
      <c r="DP129" s="81"/>
      <c r="DQ129" s="74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81"/>
      <c r="EC129" s="74"/>
      <c r="ED129" s="75"/>
      <c r="EE129" s="75"/>
      <c r="EF129" s="75"/>
      <c r="EG129" s="75"/>
      <c r="EH129" s="75"/>
      <c r="EI129" s="75"/>
      <c r="EJ129" s="75"/>
      <c r="EK129" s="75"/>
      <c r="EL129" s="75"/>
      <c r="EM129" s="75"/>
      <c r="EN129" s="81"/>
      <c r="EO129" s="74"/>
      <c r="EP129" s="75"/>
      <c r="EQ129" s="75"/>
      <c r="ER129" s="75"/>
      <c r="ES129" s="75"/>
      <c r="ET129" s="75"/>
      <c r="EU129" s="75"/>
      <c r="EV129" s="75"/>
      <c r="EW129" s="75"/>
      <c r="EX129" s="75"/>
      <c r="EY129" s="75"/>
      <c r="EZ129" s="81"/>
      <c r="FA129" s="74"/>
      <c r="FB129" s="75"/>
      <c r="FC129" s="75"/>
      <c r="FD129" s="75"/>
      <c r="FE129" s="75"/>
      <c r="FF129" s="75"/>
      <c r="FG129" s="75"/>
      <c r="FH129" s="75"/>
      <c r="FI129" s="75"/>
      <c r="FJ129" s="75"/>
      <c r="FK129" s="75"/>
      <c r="FL129" s="81"/>
      <c r="FM129" s="74"/>
      <c r="FN129" s="75"/>
      <c r="FO129" s="75"/>
      <c r="FP129" s="75"/>
      <c r="FQ129" s="75"/>
      <c r="FR129" s="75"/>
      <c r="FS129" s="75"/>
      <c r="FT129" s="75"/>
      <c r="FU129" s="75"/>
      <c r="FV129" s="75"/>
      <c r="FW129" s="75"/>
      <c r="FX129" s="81"/>
      <c r="FY129" s="74"/>
      <c r="FZ129" s="75"/>
      <c r="GA129" s="75"/>
      <c r="GB129" s="75"/>
      <c r="GC129" s="75"/>
      <c r="GD129" s="75"/>
      <c r="GE129" s="75"/>
      <c r="GF129" s="75"/>
      <c r="GG129" s="75"/>
      <c r="GH129" s="75"/>
      <c r="GI129" s="75"/>
      <c r="GJ129" s="81"/>
      <c r="GK129" s="74"/>
      <c r="GL129" s="75"/>
      <c r="GM129" s="75"/>
      <c r="GN129" s="75"/>
      <c r="GO129" s="75"/>
      <c r="GP129" s="75"/>
      <c r="GQ129" s="75"/>
      <c r="GR129" s="75"/>
      <c r="GS129" s="75"/>
      <c r="GT129" s="75"/>
      <c r="GU129" s="75"/>
      <c r="GV129" s="81"/>
      <c r="GW129" s="74"/>
      <c r="GX129" s="75"/>
      <c r="GY129" s="75"/>
      <c r="GZ129" s="75"/>
      <c r="HA129" s="75"/>
      <c r="HB129" s="75"/>
      <c r="HC129" s="75"/>
      <c r="HD129" s="75"/>
      <c r="HE129" s="75"/>
      <c r="HF129" s="75"/>
      <c r="HG129" s="75"/>
      <c r="HH129" s="81"/>
      <c r="HI129" s="75"/>
    </row>
    <row r="130" ht="15.0" customHeight="1">
      <c r="A130" s="74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81"/>
      <c r="M130" s="74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81"/>
      <c r="Y130" s="74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81"/>
      <c r="AK130" s="74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81"/>
      <c r="AW130" s="74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81"/>
      <c r="BI130" s="74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81"/>
      <c r="BU130" s="74"/>
      <c r="BV130" s="75"/>
      <c r="BW130" s="75"/>
      <c r="BX130" s="75"/>
      <c r="BY130" s="75"/>
      <c r="BZ130" s="75"/>
      <c r="CA130" s="75"/>
      <c r="CB130" s="75"/>
      <c r="CC130" s="75"/>
      <c r="CD130" s="75"/>
      <c r="CE130" s="75"/>
      <c r="CF130" s="81"/>
      <c r="CG130" s="74"/>
      <c r="CH130" s="75"/>
      <c r="CI130" s="75"/>
      <c r="CJ130" s="75"/>
      <c r="CK130" s="75"/>
      <c r="CL130" s="75"/>
      <c r="CM130" s="75"/>
      <c r="CN130" s="75"/>
      <c r="CO130" s="75"/>
      <c r="CP130" s="75"/>
      <c r="CQ130" s="75"/>
      <c r="CR130" s="81"/>
      <c r="CS130" s="74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81"/>
      <c r="DE130" s="74"/>
      <c r="DF130" s="75"/>
      <c r="DG130" s="75"/>
      <c r="DH130" s="75"/>
      <c r="DI130" s="75"/>
      <c r="DJ130" s="75"/>
      <c r="DK130" s="75"/>
      <c r="DL130" s="75"/>
      <c r="DM130" s="75"/>
      <c r="DN130" s="75"/>
      <c r="DO130" s="75"/>
      <c r="DP130" s="81"/>
      <c r="DQ130" s="74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81"/>
      <c r="EC130" s="74"/>
      <c r="ED130" s="75"/>
      <c r="EE130" s="75"/>
      <c r="EF130" s="75"/>
      <c r="EG130" s="75"/>
      <c r="EH130" s="75"/>
      <c r="EI130" s="75"/>
      <c r="EJ130" s="75"/>
      <c r="EK130" s="75"/>
      <c r="EL130" s="75"/>
      <c r="EM130" s="75"/>
      <c r="EN130" s="81"/>
      <c r="EO130" s="74"/>
      <c r="EP130" s="75"/>
      <c r="EQ130" s="75"/>
      <c r="ER130" s="75"/>
      <c r="ES130" s="75"/>
      <c r="ET130" s="75"/>
      <c r="EU130" s="75"/>
      <c r="EV130" s="75"/>
      <c r="EW130" s="75"/>
      <c r="EX130" s="75"/>
      <c r="EY130" s="75"/>
      <c r="EZ130" s="81"/>
      <c r="FA130" s="74"/>
      <c r="FB130" s="75"/>
      <c r="FC130" s="75"/>
      <c r="FD130" s="75"/>
      <c r="FE130" s="75"/>
      <c r="FF130" s="75"/>
      <c r="FG130" s="75"/>
      <c r="FH130" s="75"/>
      <c r="FI130" s="75"/>
      <c r="FJ130" s="75"/>
      <c r="FK130" s="75"/>
      <c r="FL130" s="81"/>
      <c r="FM130" s="74"/>
      <c r="FN130" s="75"/>
      <c r="FO130" s="75"/>
      <c r="FP130" s="75"/>
      <c r="FQ130" s="75"/>
      <c r="FR130" s="75"/>
      <c r="FS130" s="75"/>
      <c r="FT130" s="75"/>
      <c r="FU130" s="75"/>
      <c r="FV130" s="75"/>
      <c r="FW130" s="75"/>
      <c r="FX130" s="81"/>
      <c r="FY130" s="74"/>
      <c r="FZ130" s="75"/>
      <c r="GA130" s="75"/>
      <c r="GB130" s="75"/>
      <c r="GC130" s="75"/>
      <c r="GD130" s="75"/>
      <c r="GE130" s="75"/>
      <c r="GF130" s="75"/>
      <c r="GG130" s="75"/>
      <c r="GH130" s="75"/>
      <c r="GI130" s="75"/>
      <c r="GJ130" s="81"/>
      <c r="GK130" s="74"/>
      <c r="GL130" s="75"/>
      <c r="GM130" s="75"/>
      <c r="GN130" s="75"/>
      <c r="GO130" s="75"/>
      <c r="GP130" s="75"/>
      <c r="GQ130" s="75"/>
      <c r="GR130" s="75"/>
      <c r="GS130" s="75"/>
      <c r="GT130" s="75"/>
      <c r="GU130" s="75"/>
      <c r="GV130" s="81"/>
      <c r="GW130" s="74"/>
      <c r="GX130" s="75"/>
      <c r="GY130" s="75"/>
      <c r="GZ130" s="75"/>
      <c r="HA130" s="75"/>
      <c r="HB130" s="75"/>
      <c r="HC130" s="75"/>
      <c r="HD130" s="75"/>
      <c r="HE130" s="75"/>
      <c r="HF130" s="75"/>
      <c r="HG130" s="75"/>
      <c r="HH130" s="81"/>
      <c r="HI130" s="75"/>
    </row>
    <row r="131" ht="15.0" customHeight="1">
      <c r="A131" s="74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81"/>
      <c r="M131" s="74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81"/>
      <c r="Y131" s="74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81"/>
      <c r="AK131" s="74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81"/>
      <c r="AW131" s="74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81"/>
      <c r="BI131" s="74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81"/>
      <c r="BU131" s="74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81"/>
      <c r="CG131" s="74"/>
      <c r="CH131" s="75"/>
      <c r="CI131" s="75"/>
      <c r="CJ131" s="75"/>
      <c r="CK131" s="75"/>
      <c r="CL131" s="75"/>
      <c r="CM131" s="75"/>
      <c r="CN131" s="75"/>
      <c r="CO131" s="75"/>
      <c r="CP131" s="75"/>
      <c r="CQ131" s="75"/>
      <c r="CR131" s="81"/>
      <c r="CS131" s="74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81"/>
      <c r="DE131" s="74"/>
      <c r="DF131" s="75"/>
      <c r="DG131" s="75"/>
      <c r="DH131" s="75"/>
      <c r="DI131" s="75"/>
      <c r="DJ131" s="75"/>
      <c r="DK131" s="75"/>
      <c r="DL131" s="75"/>
      <c r="DM131" s="75"/>
      <c r="DN131" s="75"/>
      <c r="DO131" s="75"/>
      <c r="DP131" s="81"/>
      <c r="DQ131" s="74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81"/>
      <c r="EC131" s="74"/>
      <c r="ED131" s="75"/>
      <c r="EE131" s="75"/>
      <c r="EF131" s="75"/>
      <c r="EG131" s="75"/>
      <c r="EH131" s="75"/>
      <c r="EI131" s="75"/>
      <c r="EJ131" s="75"/>
      <c r="EK131" s="75"/>
      <c r="EL131" s="75"/>
      <c r="EM131" s="75"/>
      <c r="EN131" s="81"/>
      <c r="EO131" s="74"/>
      <c r="EP131" s="75"/>
      <c r="EQ131" s="75"/>
      <c r="ER131" s="75"/>
      <c r="ES131" s="75"/>
      <c r="ET131" s="75"/>
      <c r="EU131" s="75"/>
      <c r="EV131" s="75"/>
      <c r="EW131" s="75"/>
      <c r="EX131" s="75"/>
      <c r="EY131" s="75"/>
      <c r="EZ131" s="81"/>
      <c r="FA131" s="74"/>
      <c r="FB131" s="75"/>
      <c r="FC131" s="75"/>
      <c r="FD131" s="75"/>
      <c r="FE131" s="75"/>
      <c r="FF131" s="75"/>
      <c r="FG131" s="75"/>
      <c r="FH131" s="75"/>
      <c r="FI131" s="75"/>
      <c r="FJ131" s="75"/>
      <c r="FK131" s="75"/>
      <c r="FL131" s="81"/>
      <c r="FM131" s="74"/>
      <c r="FN131" s="75"/>
      <c r="FO131" s="75"/>
      <c r="FP131" s="75"/>
      <c r="FQ131" s="75"/>
      <c r="FR131" s="75"/>
      <c r="FS131" s="75"/>
      <c r="FT131" s="75"/>
      <c r="FU131" s="75"/>
      <c r="FV131" s="75"/>
      <c r="FW131" s="75"/>
      <c r="FX131" s="81"/>
      <c r="FY131" s="74"/>
      <c r="FZ131" s="75"/>
      <c r="GA131" s="75"/>
      <c r="GB131" s="75"/>
      <c r="GC131" s="75"/>
      <c r="GD131" s="75"/>
      <c r="GE131" s="75"/>
      <c r="GF131" s="75"/>
      <c r="GG131" s="75"/>
      <c r="GH131" s="75"/>
      <c r="GI131" s="75"/>
      <c r="GJ131" s="81"/>
      <c r="GK131" s="74"/>
      <c r="GL131" s="75"/>
      <c r="GM131" s="75"/>
      <c r="GN131" s="75"/>
      <c r="GO131" s="75"/>
      <c r="GP131" s="75"/>
      <c r="GQ131" s="75"/>
      <c r="GR131" s="75"/>
      <c r="GS131" s="75"/>
      <c r="GT131" s="75"/>
      <c r="GU131" s="75"/>
      <c r="GV131" s="81"/>
      <c r="GW131" s="74"/>
      <c r="GX131" s="75"/>
      <c r="GY131" s="75"/>
      <c r="GZ131" s="75"/>
      <c r="HA131" s="75"/>
      <c r="HB131" s="75"/>
      <c r="HC131" s="75"/>
      <c r="HD131" s="75"/>
      <c r="HE131" s="75"/>
      <c r="HF131" s="75"/>
      <c r="HG131" s="75"/>
      <c r="HH131" s="81"/>
      <c r="HI131" s="75"/>
    </row>
    <row r="132" ht="15.0" customHeight="1">
      <c r="A132" s="74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81"/>
      <c r="M132" s="74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81"/>
      <c r="Y132" s="74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81"/>
      <c r="AK132" s="74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81"/>
      <c r="AW132" s="74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81"/>
      <c r="BI132" s="74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81"/>
      <c r="BU132" s="74"/>
      <c r="BV132" s="75"/>
      <c r="BW132" s="75"/>
      <c r="BX132" s="75"/>
      <c r="BY132" s="75"/>
      <c r="BZ132" s="75"/>
      <c r="CA132" s="75"/>
      <c r="CB132" s="75"/>
      <c r="CC132" s="75"/>
      <c r="CD132" s="75"/>
      <c r="CE132" s="75"/>
      <c r="CF132" s="81"/>
      <c r="CG132" s="74"/>
      <c r="CH132" s="75"/>
      <c r="CI132" s="75"/>
      <c r="CJ132" s="75"/>
      <c r="CK132" s="75"/>
      <c r="CL132" s="75"/>
      <c r="CM132" s="75"/>
      <c r="CN132" s="75"/>
      <c r="CO132" s="75"/>
      <c r="CP132" s="75"/>
      <c r="CQ132" s="75"/>
      <c r="CR132" s="81"/>
      <c r="CS132" s="74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81"/>
      <c r="DE132" s="74"/>
      <c r="DF132" s="75"/>
      <c r="DG132" s="75"/>
      <c r="DH132" s="75"/>
      <c r="DI132" s="75"/>
      <c r="DJ132" s="75"/>
      <c r="DK132" s="75"/>
      <c r="DL132" s="75"/>
      <c r="DM132" s="75"/>
      <c r="DN132" s="75"/>
      <c r="DO132" s="75"/>
      <c r="DP132" s="81"/>
      <c r="DQ132" s="74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81"/>
      <c r="EC132" s="74"/>
      <c r="ED132" s="75"/>
      <c r="EE132" s="75"/>
      <c r="EF132" s="75"/>
      <c r="EG132" s="75"/>
      <c r="EH132" s="75"/>
      <c r="EI132" s="75"/>
      <c r="EJ132" s="75"/>
      <c r="EK132" s="75"/>
      <c r="EL132" s="75"/>
      <c r="EM132" s="75"/>
      <c r="EN132" s="81"/>
      <c r="EO132" s="74"/>
      <c r="EP132" s="75"/>
      <c r="EQ132" s="75"/>
      <c r="ER132" s="75"/>
      <c r="ES132" s="75"/>
      <c r="ET132" s="75"/>
      <c r="EU132" s="75"/>
      <c r="EV132" s="75"/>
      <c r="EW132" s="75"/>
      <c r="EX132" s="75"/>
      <c r="EY132" s="75"/>
      <c r="EZ132" s="81"/>
      <c r="FA132" s="74"/>
      <c r="FB132" s="75"/>
      <c r="FC132" s="75"/>
      <c r="FD132" s="75"/>
      <c r="FE132" s="75"/>
      <c r="FF132" s="75"/>
      <c r="FG132" s="75"/>
      <c r="FH132" s="75"/>
      <c r="FI132" s="75"/>
      <c r="FJ132" s="75"/>
      <c r="FK132" s="75"/>
      <c r="FL132" s="81"/>
      <c r="FM132" s="74"/>
      <c r="FN132" s="75"/>
      <c r="FO132" s="75"/>
      <c r="FP132" s="75"/>
      <c r="FQ132" s="75"/>
      <c r="FR132" s="75"/>
      <c r="FS132" s="75"/>
      <c r="FT132" s="75"/>
      <c r="FU132" s="75"/>
      <c r="FV132" s="75"/>
      <c r="FW132" s="75"/>
      <c r="FX132" s="81"/>
      <c r="FY132" s="74"/>
      <c r="FZ132" s="75"/>
      <c r="GA132" s="75"/>
      <c r="GB132" s="75"/>
      <c r="GC132" s="75"/>
      <c r="GD132" s="75"/>
      <c r="GE132" s="75"/>
      <c r="GF132" s="75"/>
      <c r="GG132" s="75"/>
      <c r="GH132" s="75"/>
      <c r="GI132" s="75"/>
      <c r="GJ132" s="81"/>
      <c r="GK132" s="74"/>
      <c r="GL132" s="75"/>
      <c r="GM132" s="75"/>
      <c r="GN132" s="75"/>
      <c r="GO132" s="75"/>
      <c r="GP132" s="75"/>
      <c r="GQ132" s="75"/>
      <c r="GR132" s="75"/>
      <c r="GS132" s="75"/>
      <c r="GT132" s="75"/>
      <c r="GU132" s="75"/>
      <c r="GV132" s="81"/>
      <c r="GW132" s="74"/>
      <c r="GX132" s="75"/>
      <c r="GY132" s="75"/>
      <c r="GZ132" s="75"/>
      <c r="HA132" s="75"/>
      <c r="HB132" s="75"/>
      <c r="HC132" s="75"/>
      <c r="HD132" s="75"/>
      <c r="HE132" s="75"/>
      <c r="HF132" s="75"/>
      <c r="HG132" s="75"/>
      <c r="HH132" s="81"/>
      <c r="HI132" s="75"/>
    </row>
    <row r="133" ht="15.0" customHeight="1">
      <c r="A133" s="74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81"/>
      <c r="M133" s="74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81"/>
      <c r="Y133" s="74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81"/>
      <c r="AK133" s="74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81"/>
      <c r="AW133" s="74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81"/>
      <c r="BI133" s="74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81"/>
      <c r="BU133" s="74"/>
      <c r="BV133" s="75"/>
      <c r="BW133" s="75"/>
      <c r="BX133" s="75"/>
      <c r="BY133" s="75"/>
      <c r="BZ133" s="75"/>
      <c r="CA133" s="75"/>
      <c r="CB133" s="75"/>
      <c r="CC133" s="75"/>
      <c r="CD133" s="75"/>
      <c r="CE133" s="75"/>
      <c r="CF133" s="81"/>
      <c r="CG133" s="74"/>
      <c r="CH133" s="75"/>
      <c r="CI133" s="75"/>
      <c r="CJ133" s="75"/>
      <c r="CK133" s="75"/>
      <c r="CL133" s="75"/>
      <c r="CM133" s="75"/>
      <c r="CN133" s="75"/>
      <c r="CO133" s="75"/>
      <c r="CP133" s="75"/>
      <c r="CQ133" s="75"/>
      <c r="CR133" s="81"/>
      <c r="CS133" s="74"/>
      <c r="CT133" s="75"/>
      <c r="CU133" s="75"/>
      <c r="CV133" s="75"/>
      <c r="CW133" s="75"/>
      <c r="CX133" s="75"/>
      <c r="CY133" s="75"/>
      <c r="CZ133" s="75"/>
      <c r="DA133" s="75"/>
      <c r="DB133" s="75"/>
      <c r="DC133" s="75"/>
      <c r="DD133" s="81"/>
      <c r="DE133" s="74"/>
      <c r="DF133" s="75"/>
      <c r="DG133" s="75"/>
      <c r="DH133" s="75"/>
      <c r="DI133" s="75"/>
      <c r="DJ133" s="75"/>
      <c r="DK133" s="75"/>
      <c r="DL133" s="75"/>
      <c r="DM133" s="75"/>
      <c r="DN133" s="75"/>
      <c r="DO133" s="75"/>
      <c r="DP133" s="81"/>
      <c r="DQ133" s="74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81"/>
      <c r="EC133" s="74"/>
      <c r="ED133" s="75"/>
      <c r="EE133" s="75"/>
      <c r="EF133" s="75"/>
      <c r="EG133" s="75"/>
      <c r="EH133" s="75"/>
      <c r="EI133" s="75"/>
      <c r="EJ133" s="75"/>
      <c r="EK133" s="75"/>
      <c r="EL133" s="75"/>
      <c r="EM133" s="75"/>
      <c r="EN133" s="81"/>
      <c r="EO133" s="74"/>
      <c r="EP133" s="75"/>
      <c r="EQ133" s="75"/>
      <c r="ER133" s="75"/>
      <c r="ES133" s="75"/>
      <c r="ET133" s="75"/>
      <c r="EU133" s="75"/>
      <c r="EV133" s="75"/>
      <c r="EW133" s="75"/>
      <c r="EX133" s="75"/>
      <c r="EY133" s="75"/>
      <c r="EZ133" s="81"/>
      <c r="FA133" s="74"/>
      <c r="FB133" s="75"/>
      <c r="FC133" s="75"/>
      <c r="FD133" s="75"/>
      <c r="FE133" s="75"/>
      <c r="FF133" s="75"/>
      <c r="FG133" s="75"/>
      <c r="FH133" s="75"/>
      <c r="FI133" s="75"/>
      <c r="FJ133" s="75"/>
      <c r="FK133" s="75"/>
      <c r="FL133" s="81"/>
      <c r="FM133" s="74"/>
      <c r="FN133" s="75"/>
      <c r="FO133" s="75"/>
      <c r="FP133" s="75"/>
      <c r="FQ133" s="75"/>
      <c r="FR133" s="75"/>
      <c r="FS133" s="75"/>
      <c r="FT133" s="75"/>
      <c r="FU133" s="75"/>
      <c r="FV133" s="75"/>
      <c r="FW133" s="75"/>
      <c r="FX133" s="81"/>
      <c r="FY133" s="74"/>
      <c r="FZ133" s="75"/>
      <c r="GA133" s="75"/>
      <c r="GB133" s="75"/>
      <c r="GC133" s="75"/>
      <c r="GD133" s="75"/>
      <c r="GE133" s="75"/>
      <c r="GF133" s="75"/>
      <c r="GG133" s="75"/>
      <c r="GH133" s="75"/>
      <c r="GI133" s="75"/>
      <c r="GJ133" s="81"/>
      <c r="GK133" s="74"/>
      <c r="GL133" s="75"/>
      <c r="GM133" s="75"/>
      <c r="GN133" s="75"/>
      <c r="GO133" s="75"/>
      <c r="GP133" s="75"/>
      <c r="GQ133" s="75"/>
      <c r="GR133" s="75"/>
      <c r="GS133" s="75"/>
      <c r="GT133" s="75"/>
      <c r="GU133" s="75"/>
      <c r="GV133" s="81"/>
      <c r="GW133" s="74"/>
      <c r="GX133" s="75"/>
      <c r="GY133" s="75"/>
      <c r="GZ133" s="75"/>
      <c r="HA133" s="75"/>
      <c r="HB133" s="75"/>
      <c r="HC133" s="75"/>
      <c r="HD133" s="75"/>
      <c r="HE133" s="75"/>
      <c r="HF133" s="75"/>
      <c r="HG133" s="75"/>
      <c r="HH133" s="81"/>
      <c r="HI133" s="75"/>
    </row>
    <row r="134" ht="15.0" customHeight="1">
      <c r="A134" s="74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81"/>
      <c r="M134" s="74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81"/>
      <c r="Y134" s="74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81"/>
      <c r="AK134" s="74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81"/>
      <c r="AW134" s="74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81"/>
      <c r="BI134" s="74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81"/>
      <c r="BU134" s="74"/>
      <c r="BV134" s="75"/>
      <c r="BW134" s="75"/>
      <c r="BX134" s="75"/>
      <c r="BY134" s="75"/>
      <c r="BZ134" s="75"/>
      <c r="CA134" s="75"/>
      <c r="CB134" s="75"/>
      <c r="CC134" s="75"/>
      <c r="CD134" s="75"/>
      <c r="CE134" s="75"/>
      <c r="CF134" s="81"/>
      <c r="CG134" s="74"/>
      <c r="CH134" s="75"/>
      <c r="CI134" s="75"/>
      <c r="CJ134" s="75"/>
      <c r="CK134" s="75"/>
      <c r="CL134" s="75"/>
      <c r="CM134" s="75"/>
      <c r="CN134" s="75"/>
      <c r="CO134" s="75"/>
      <c r="CP134" s="75"/>
      <c r="CQ134" s="75"/>
      <c r="CR134" s="81"/>
      <c r="CS134" s="74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81"/>
      <c r="DE134" s="74"/>
      <c r="DF134" s="75"/>
      <c r="DG134" s="75"/>
      <c r="DH134" s="75"/>
      <c r="DI134" s="75"/>
      <c r="DJ134" s="75"/>
      <c r="DK134" s="75"/>
      <c r="DL134" s="75"/>
      <c r="DM134" s="75"/>
      <c r="DN134" s="75"/>
      <c r="DO134" s="75"/>
      <c r="DP134" s="81"/>
      <c r="DQ134" s="74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81"/>
      <c r="EC134" s="74"/>
      <c r="ED134" s="75"/>
      <c r="EE134" s="75"/>
      <c r="EF134" s="75"/>
      <c r="EG134" s="75"/>
      <c r="EH134" s="75"/>
      <c r="EI134" s="75"/>
      <c r="EJ134" s="75"/>
      <c r="EK134" s="75"/>
      <c r="EL134" s="75"/>
      <c r="EM134" s="75"/>
      <c r="EN134" s="81"/>
      <c r="EO134" s="74"/>
      <c r="EP134" s="75"/>
      <c r="EQ134" s="75"/>
      <c r="ER134" s="75"/>
      <c r="ES134" s="75"/>
      <c r="ET134" s="75"/>
      <c r="EU134" s="75"/>
      <c r="EV134" s="75"/>
      <c r="EW134" s="75"/>
      <c r="EX134" s="75"/>
      <c r="EY134" s="75"/>
      <c r="EZ134" s="81"/>
      <c r="FA134" s="74"/>
      <c r="FB134" s="75"/>
      <c r="FC134" s="75"/>
      <c r="FD134" s="75"/>
      <c r="FE134" s="75"/>
      <c r="FF134" s="75"/>
      <c r="FG134" s="75"/>
      <c r="FH134" s="75"/>
      <c r="FI134" s="75"/>
      <c r="FJ134" s="75"/>
      <c r="FK134" s="75"/>
      <c r="FL134" s="81"/>
      <c r="FM134" s="74"/>
      <c r="FN134" s="75"/>
      <c r="FO134" s="75"/>
      <c r="FP134" s="75"/>
      <c r="FQ134" s="75"/>
      <c r="FR134" s="75"/>
      <c r="FS134" s="75"/>
      <c r="FT134" s="75"/>
      <c r="FU134" s="75"/>
      <c r="FV134" s="75"/>
      <c r="FW134" s="75"/>
      <c r="FX134" s="81"/>
      <c r="FY134" s="74"/>
      <c r="FZ134" s="75"/>
      <c r="GA134" s="75"/>
      <c r="GB134" s="75"/>
      <c r="GC134" s="75"/>
      <c r="GD134" s="75"/>
      <c r="GE134" s="75"/>
      <c r="GF134" s="75"/>
      <c r="GG134" s="75"/>
      <c r="GH134" s="75"/>
      <c r="GI134" s="75"/>
      <c r="GJ134" s="81"/>
      <c r="GK134" s="74"/>
      <c r="GL134" s="75"/>
      <c r="GM134" s="75"/>
      <c r="GN134" s="75"/>
      <c r="GO134" s="75"/>
      <c r="GP134" s="75"/>
      <c r="GQ134" s="75"/>
      <c r="GR134" s="75"/>
      <c r="GS134" s="75"/>
      <c r="GT134" s="75"/>
      <c r="GU134" s="75"/>
      <c r="GV134" s="81"/>
      <c r="GW134" s="74"/>
      <c r="GX134" s="75"/>
      <c r="GY134" s="75"/>
      <c r="GZ134" s="75"/>
      <c r="HA134" s="75"/>
      <c r="HB134" s="75"/>
      <c r="HC134" s="75"/>
      <c r="HD134" s="75"/>
      <c r="HE134" s="75"/>
      <c r="HF134" s="75"/>
      <c r="HG134" s="75"/>
      <c r="HH134" s="81"/>
      <c r="HI134" s="75"/>
    </row>
    <row r="135" ht="15.0" customHeight="1">
      <c r="A135" s="74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81"/>
      <c r="M135" s="74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81"/>
      <c r="Y135" s="74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81"/>
      <c r="AK135" s="74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81"/>
      <c r="AW135" s="74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81"/>
      <c r="BI135" s="74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81"/>
      <c r="BU135" s="74"/>
      <c r="BV135" s="75"/>
      <c r="BW135" s="75"/>
      <c r="BX135" s="75"/>
      <c r="BY135" s="75"/>
      <c r="BZ135" s="75"/>
      <c r="CA135" s="75"/>
      <c r="CB135" s="75"/>
      <c r="CC135" s="75"/>
      <c r="CD135" s="75"/>
      <c r="CE135" s="75"/>
      <c r="CF135" s="81"/>
      <c r="CG135" s="74"/>
      <c r="CH135" s="75"/>
      <c r="CI135" s="75"/>
      <c r="CJ135" s="75"/>
      <c r="CK135" s="75"/>
      <c r="CL135" s="75"/>
      <c r="CM135" s="75"/>
      <c r="CN135" s="75"/>
      <c r="CO135" s="75"/>
      <c r="CP135" s="75"/>
      <c r="CQ135" s="75"/>
      <c r="CR135" s="81"/>
      <c r="CS135" s="74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81"/>
      <c r="DE135" s="74"/>
      <c r="DF135" s="75"/>
      <c r="DG135" s="75"/>
      <c r="DH135" s="75"/>
      <c r="DI135" s="75"/>
      <c r="DJ135" s="75"/>
      <c r="DK135" s="75"/>
      <c r="DL135" s="75"/>
      <c r="DM135" s="75"/>
      <c r="DN135" s="75"/>
      <c r="DO135" s="75"/>
      <c r="DP135" s="81"/>
      <c r="DQ135" s="74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81"/>
      <c r="EC135" s="74"/>
      <c r="ED135" s="75"/>
      <c r="EE135" s="75"/>
      <c r="EF135" s="75"/>
      <c r="EG135" s="75"/>
      <c r="EH135" s="75"/>
      <c r="EI135" s="75"/>
      <c r="EJ135" s="75"/>
      <c r="EK135" s="75"/>
      <c r="EL135" s="75"/>
      <c r="EM135" s="75"/>
      <c r="EN135" s="81"/>
      <c r="EO135" s="74"/>
      <c r="EP135" s="75"/>
      <c r="EQ135" s="75"/>
      <c r="ER135" s="75"/>
      <c r="ES135" s="75"/>
      <c r="ET135" s="75"/>
      <c r="EU135" s="75"/>
      <c r="EV135" s="75"/>
      <c r="EW135" s="75"/>
      <c r="EX135" s="75"/>
      <c r="EY135" s="75"/>
      <c r="EZ135" s="81"/>
      <c r="FA135" s="74"/>
      <c r="FB135" s="75"/>
      <c r="FC135" s="75"/>
      <c r="FD135" s="75"/>
      <c r="FE135" s="75"/>
      <c r="FF135" s="75"/>
      <c r="FG135" s="75"/>
      <c r="FH135" s="75"/>
      <c r="FI135" s="75"/>
      <c r="FJ135" s="75"/>
      <c r="FK135" s="75"/>
      <c r="FL135" s="81"/>
      <c r="FM135" s="74"/>
      <c r="FN135" s="75"/>
      <c r="FO135" s="75"/>
      <c r="FP135" s="75"/>
      <c r="FQ135" s="75"/>
      <c r="FR135" s="75"/>
      <c r="FS135" s="75"/>
      <c r="FT135" s="75"/>
      <c r="FU135" s="75"/>
      <c r="FV135" s="75"/>
      <c r="FW135" s="75"/>
      <c r="FX135" s="81"/>
      <c r="FY135" s="74"/>
      <c r="FZ135" s="75"/>
      <c r="GA135" s="75"/>
      <c r="GB135" s="75"/>
      <c r="GC135" s="75"/>
      <c r="GD135" s="75"/>
      <c r="GE135" s="75"/>
      <c r="GF135" s="75"/>
      <c r="GG135" s="75"/>
      <c r="GH135" s="75"/>
      <c r="GI135" s="75"/>
      <c r="GJ135" s="81"/>
      <c r="GK135" s="74"/>
      <c r="GL135" s="75"/>
      <c r="GM135" s="75"/>
      <c r="GN135" s="75"/>
      <c r="GO135" s="75"/>
      <c r="GP135" s="75"/>
      <c r="GQ135" s="75"/>
      <c r="GR135" s="75"/>
      <c r="GS135" s="75"/>
      <c r="GT135" s="75"/>
      <c r="GU135" s="75"/>
      <c r="GV135" s="81"/>
      <c r="GW135" s="74"/>
      <c r="GX135" s="75"/>
      <c r="GY135" s="75"/>
      <c r="GZ135" s="75"/>
      <c r="HA135" s="75"/>
      <c r="HB135" s="75"/>
      <c r="HC135" s="75"/>
      <c r="HD135" s="75"/>
      <c r="HE135" s="75"/>
      <c r="HF135" s="75"/>
      <c r="HG135" s="75"/>
      <c r="HH135" s="81"/>
      <c r="HI135" s="75"/>
    </row>
    <row r="136" ht="15.0" customHeight="1">
      <c r="A136" s="74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81"/>
      <c r="M136" s="74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81"/>
      <c r="Y136" s="74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81"/>
      <c r="AK136" s="74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81"/>
      <c r="AW136" s="74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81"/>
      <c r="BI136" s="74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81"/>
      <c r="BU136" s="74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81"/>
      <c r="CG136" s="74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81"/>
      <c r="CS136" s="74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81"/>
      <c r="DE136" s="74"/>
      <c r="DF136" s="75"/>
      <c r="DG136" s="75"/>
      <c r="DH136" s="75"/>
      <c r="DI136" s="75"/>
      <c r="DJ136" s="75"/>
      <c r="DK136" s="75"/>
      <c r="DL136" s="75"/>
      <c r="DM136" s="75"/>
      <c r="DN136" s="75"/>
      <c r="DO136" s="75"/>
      <c r="DP136" s="81"/>
      <c r="DQ136" s="74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81"/>
      <c r="EC136" s="74"/>
      <c r="ED136" s="75"/>
      <c r="EE136" s="75"/>
      <c r="EF136" s="75"/>
      <c r="EG136" s="75"/>
      <c r="EH136" s="75"/>
      <c r="EI136" s="75"/>
      <c r="EJ136" s="75"/>
      <c r="EK136" s="75"/>
      <c r="EL136" s="75"/>
      <c r="EM136" s="75"/>
      <c r="EN136" s="81"/>
      <c r="EO136" s="74"/>
      <c r="EP136" s="75"/>
      <c r="EQ136" s="75"/>
      <c r="ER136" s="75"/>
      <c r="ES136" s="75"/>
      <c r="ET136" s="75"/>
      <c r="EU136" s="75"/>
      <c r="EV136" s="75"/>
      <c r="EW136" s="75"/>
      <c r="EX136" s="75"/>
      <c r="EY136" s="75"/>
      <c r="EZ136" s="81"/>
      <c r="FA136" s="74"/>
      <c r="FB136" s="75"/>
      <c r="FC136" s="75"/>
      <c r="FD136" s="75"/>
      <c r="FE136" s="75"/>
      <c r="FF136" s="75"/>
      <c r="FG136" s="75"/>
      <c r="FH136" s="75"/>
      <c r="FI136" s="75"/>
      <c r="FJ136" s="75"/>
      <c r="FK136" s="75"/>
      <c r="FL136" s="81"/>
      <c r="FM136" s="74"/>
      <c r="FN136" s="75"/>
      <c r="FO136" s="75"/>
      <c r="FP136" s="75"/>
      <c r="FQ136" s="75"/>
      <c r="FR136" s="75"/>
      <c r="FS136" s="75"/>
      <c r="FT136" s="75"/>
      <c r="FU136" s="75"/>
      <c r="FV136" s="75"/>
      <c r="FW136" s="75"/>
      <c r="FX136" s="81"/>
      <c r="FY136" s="74"/>
      <c r="FZ136" s="75"/>
      <c r="GA136" s="75"/>
      <c r="GB136" s="75"/>
      <c r="GC136" s="75"/>
      <c r="GD136" s="75"/>
      <c r="GE136" s="75"/>
      <c r="GF136" s="75"/>
      <c r="GG136" s="75"/>
      <c r="GH136" s="75"/>
      <c r="GI136" s="75"/>
      <c r="GJ136" s="81"/>
      <c r="GK136" s="74"/>
      <c r="GL136" s="75"/>
      <c r="GM136" s="75"/>
      <c r="GN136" s="75"/>
      <c r="GO136" s="75"/>
      <c r="GP136" s="75"/>
      <c r="GQ136" s="75"/>
      <c r="GR136" s="75"/>
      <c r="GS136" s="75"/>
      <c r="GT136" s="75"/>
      <c r="GU136" s="75"/>
      <c r="GV136" s="81"/>
      <c r="GW136" s="74"/>
      <c r="GX136" s="75"/>
      <c r="GY136" s="75"/>
      <c r="GZ136" s="75"/>
      <c r="HA136" s="75"/>
      <c r="HB136" s="75"/>
      <c r="HC136" s="75"/>
      <c r="HD136" s="75"/>
      <c r="HE136" s="75"/>
      <c r="HF136" s="75"/>
      <c r="HG136" s="75"/>
      <c r="HH136" s="81"/>
      <c r="HI136" s="75"/>
    </row>
    <row r="137" ht="15.0" customHeight="1">
      <c r="A137" s="74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81"/>
      <c r="M137" s="74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81"/>
      <c r="Y137" s="74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81"/>
      <c r="AK137" s="74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81"/>
      <c r="AW137" s="74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81"/>
      <c r="BI137" s="74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81"/>
      <c r="BU137" s="74"/>
      <c r="BV137" s="75"/>
      <c r="BW137" s="75"/>
      <c r="BX137" s="75"/>
      <c r="BY137" s="75"/>
      <c r="BZ137" s="75"/>
      <c r="CA137" s="75"/>
      <c r="CB137" s="75"/>
      <c r="CC137" s="75"/>
      <c r="CD137" s="75"/>
      <c r="CE137" s="75"/>
      <c r="CF137" s="81"/>
      <c r="CG137" s="74"/>
      <c r="CH137" s="75"/>
      <c r="CI137" s="75"/>
      <c r="CJ137" s="75"/>
      <c r="CK137" s="75"/>
      <c r="CL137" s="75"/>
      <c r="CM137" s="75"/>
      <c r="CN137" s="75"/>
      <c r="CO137" s="75"/>
      <c r="CP137" s="75"/>
      <c r="CQ137" s="75"/>
      <c r="CR137" s="81"/>
      <c r="CS137" s="74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81"/>
      <c r="DE137" s="74"/>
      <c r="DF137" s="75"/>
      <c r="DG137" s="75"/>
      <c r="DH137" s="75"/>
      <c r="DI137" s="75"/>
      <c r="DJ137" s="75"/>
      <c r="DK137" s="75"/>
      <c r="DL137" s="75"/>
      <c r="DM137" s="75"/>
      <c r="DN137" s="75"/>
      <c r="DO137" s="75"/>
      <c r="DP137" s="81"/>
      <c r="DQ137" s="74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81"/>
      <c r="EC137" s="74"/>
      <c r="ED137" s="75"/>
      <c r="EE137" s="75"/>
      <c r="EF137" s="75"/>
      <c r="EG137" s="75"/>
      <c r="EH137" s="75"/>
      <c r="EI137" s="75"/>
      <c r="EJ137" s="75"/>
      <c r="EK137" s="75"/>
      <c r="EL137" s="75"/>
      <c r="EM137" s="75"/>
      <c r="EN137" s="81"/>
      <c r="EO137" s="74"/>
      <c r="EP137" s="75"/>
      <c r="EQ137" s="75"/>
      <c r="ER137" s="75"/>
      <c r="ES137" s="75"/>
      <c r="ET137" s="75"/>
      <c r="EU137" s="75"/>
      <c r="EV137" s="75"/>
      <c r="EW137" s="75"/>
      <c r="EX137" s="75"/>
      <c r="EY137" s="75"/>
      <c r="EZ137" s="81"/>
      <c r="FA137" s="74"/>
      <c r="FB137" s="75"/>
      <c r="FC137" s="75"/>
      <c r="FD137" s="75"/>
      <c r="FE137" s="75"/>
      <c r="FF137" s="75"/>
      <c r="FG137" s="75"/>
      <c r="FH137" s="75"/>
      <c r="FI137" s="75"/>
      <c r="FJ137" s="75"/>
      <c r="FK137" s="75"/>
      <c r="FL137" s="81"/>
      <c r="FM137" s="74"/>
      <c r="FN137" s="75"/>
      <c r="FO137" s="75"/>
      <c r="FP137" s="75"/>
      <c r="FQ137" s="75"/>
      <c r="FR137" s="75"/>
      <c r="FS137" s="75"/>
      <c r="FT137" s="75"/>
      <c r="FU137" s="75"/>
      <c r="FV137" s="75"/>
      <c r="FW137" s="75"/>
      <c r="FX137" s="81"/>
      <c r="FY137" s="74"/>
      <c r="FZ137" s="75"/>
      <c r="GA137" s="75"/>
      <c r="GB137" s="75"/>
      <c r="GC137" s="75"/>
      <c r="GD137" s="75"/>
      <c r="GE137" s="75"/>
      <c r="GF137" s="75"/>
      <c r="GG137" s="75"/>
      <c r="GH137" s="75"/>
      <c r="GI137" s="75"/>
      <c r="GJ137" s="81"/>
      <c r="GK137" s="74"/>
      <c r="GL137" s="75"/>
      <c r="GM137" s="75"/>
      <c r="GN137" s="75"/>
      <c r="GO137" s="75"/>
      <c r="GP137" s="75"/>
      <c r="GQ137" s="75"/>
      <c r="GR137" s="75"/>
      <c r="GS137" s="75"/>
      <c r="GT137" s="75"/>
      <c r="GU137" s="75"/>
      <c r="GV137" s="81"/>
      <c r="GW137" s="74"/>
      <c r="GX137" s="75"/>
      <c r="GY137" s="75"/>
      <c r="GZ137" s="75"/>
      <c r="HA137" s="75"/>
      <c r="HB137" s="75"/>
      <c r="HC137" s="75"/>
      <c r="HD137" s="75"/>
      <c r="HE137" s="75"/>
      <c r="HF137" s="75"/>
      <c r="HG137" s="75"/>
      <c r="HH137" s="81"/>
      <c r="HI137" s="75"/>
    </row>
    <row r="138" ht="15.0" customHeight="1">
      <c r="A138" s="74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81"/>
      <c r="M138" s="74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81"/>
      <c r="Y138" s="74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81"/>
      <c r="AK138" s="74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81"/>
      <c r="AW138" s="74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81"/>
      <c r="BI138" s="74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81"/>
      <c r="BU138" s="74"/>
      <c r="BV138" s="75"/>
      <c r="BW138" s="75"/>
      <c r="BX138" s="75"/>
      <c r="BY138" s="75"/>
      <c r="BZ138" s="75"/>
      <c r="CA138" s="75"/>
      <c r="CB138" s="75"/>
      <c r="CC138" s="75"/>
      <c r="CD138" s="75"/>
      <c r="CE138" s="75"/>
      <c r="CF138" s="81"/>
      <c r="CG138" s="74"/>
      <c r="CH138" s="75"/>
      <c r="CI138" s="75"/>
      <c r="CJ138" s="75"/>
      <c r="CK138" s="75"/>
      <c r="CL138" s="75"/>
      <c r="CM138" s="75"/>
      <c r="CN138" s="75"/>
      <c r="CO138" s="75"/>
      <c r="CP138" s="75"/>
      <c r="CQ138" s="75"/>
      <c r="CR138" s="81"/>
      <c r="CS138" s="74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81"/>
      <c r="DE138" s="74"/>
      <c r="DF138" s="75"/>
      <c r="DG138" s="75"/>
      <c r="DH138" s="75"/>
      <c r="DI138" s="75"/>
      <c r="DJ138" s="75"/>
      <c r="DK138" s="75"/>
      <c r="DL138" s="75"/>
      <c r="DM138" s="75"/>
      <c r="DN138" s="75"/>
      <c r="DO138" s="75"/>
      <c r="DP138" s="81"/>
      <c r="DQ138" s="74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81"/>
      <c r="EC138" s="74"/>
      <c r="ED138" s="75"/>
      <c r="EE138" s="75"/>
      <c r="EF138" s="75"/>
      <c r="EG138" s="75"/>
      <c r="EH138" s="75"/>
      <c r="EI138" s="75"/>
      <c r="EJ138" s="75"/>
      <c r="EK138" s="75"/>
      <c r="EL138" s="75"/>
      <c r="EM138" s="75"/>
      <c r="EN138" s="81"/>
      <c r="EO138" s="74"/>
      <c r="EP138" s="75"/>
      <c r="EQ138" s="75"/>
      <c r="ER138" s="75"/>
      <c r="ES138" s="75"/>
      <c r="ET138" s="75"/>
      <c r="EU138" s="75"/>
      <c r="EV138" s="75"/>
      <c r="EW138" s="75"/>
      <c r="EX138" s="75"/>
      <c r="EY138" s="75"/>
      <c r="EZ138" s="81"/>
      <c r="FA138" s="74"/>
      <c r="FB138" s="75"/>
      <c r="FC138" s="75"/>
      <c r="FD138" s="75"/>
      <c r="FE138" s="75"/>
      <c r="FF138" s="75"/>
      <c r="FG138" s="75"/>
      <c r="FH138" s="75"/>
      <c r="FI138" s="75"/>
      <c r="FJ138" s="75"/>
      <c r="FK138" s="75"/>
      <c r="FL138" s="81"/>
      <c r="FM138" s="74"/>
      <c r="FN138" s="75"/>
      <c r="FO138" s="75"/>
      <c r="FP138" s="75"/>
      <c r="FQ138" s="75"/>
      <c r="FR138" s="75"/>
      <c r="FS138" s="75"/>
      <c r="FT138" s="75"/>
      <c r="FU138" s="75"/>
      <c r="FV138" s="75"/>
      <c r="FW138" s="75"/>
      <c r="FX138" s="81"/>
      <c r="FY138" s="74"/>
      <c r="FZ138" s="75"/>
      <c r="GA138" s="75"/>
      <c r="GB138" s="75"/>
      <c r="GC138" s="75"/>
      <c r="GD138" s="75"/>
      <c r="GE138" s="75"/>
      <c r="GF138" s="75"/>
      <c r="GG138" s="75"/>
      <c r="GH138" s="75"/>
      <c r="GI138" s="75"/>
      <c r="GJ138" s="81"/>
      <c r="GK138" s="74"/>
      <c r="GL138" s="75"/>
      <c r="GM138" s="75"/>
      <c r="GN138" s="75"/>
      <c r="GO138" s="75"/>
      <c r="GP138" s="75"/>
      <c r="GQ138" s="75"/>
      <c r="GR138" s="75"/>
      <c r="GS138" s="75"/>
      <c r="GT138" s="75"/>
      <c r="GU138" s="75"/>
      <c r="GV138" s="81"/>
      <c r="GW138" s="74"/>
      <c r="GX138" s="75"/>
      <c r="GY138" s="75"/>
      <c r="GZ138" s="75"/>
      <c r="HA138" s="75"/>
      <c r="HB138" s="75"/>
      <c r="HC138" s="75"/>
      <c r="HD138" s="75"/>
      <c r="HE138" s="75"/>
      <c r="HF138" s="75"/>
      <c r="HG138" s="75"/>
      <c r="HH138" s="81"/>
      <c r="HI138" s="75"/>
    </row>
    <row r="139" ht="15.0" customHeight="1">
      <c r="A139" s="74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81"/>
      <c r="M139" s="74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81"/>
      <c r="Y139" s="74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81"/>
      <c r="AK139" s="74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81"/>
      <c r="AW139" s="74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81"/>
      <c r="BI139" s="74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81"/>
      <c r="BU139" s="74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81"/>
      <c r="CG139" s="74"/>
      <c r="CH139" s="75"/>
      <c r="CI139" s="75"/>
      <c r="CJ139" s="75"/>
      <c r="CK139" s="75"/>
      <c r="CL139" s="75"/>
      <c r="CM139" s="75"/>
      <c r="CN139" s="75"/>
      <c r="CO139" s="75"/>
      <c r="CP139" s="75"/>
      <c r="CQ139" s="75"/>
      <c r="CR139" s="81"/>
      <c r="CS139" s="74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81"/>
      <c r="DE139" s="74"/>
      <c r="DF139" s="75"/>
      <c r="DG139" s="75"/>
      <c r="DH139" s="75"/>
      <c r="DI139" s="75"/>
      <c r="DJ139" s="75"/>
      <c r="DK139" s="75"/>
      <c r="DL139" s="75"/>
      <c r="DM139" s="75"/>
      <c r="DN139" s="75"/>
      <c r="DO139" s="75"/>
      <c r="DP139" s="81"/>
      <c r="DQ139" s="74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81"/>
      <c r="EC139" s="74"/>
      <c r="ED139" s="75"/>
      <c r="EE139" s="75"/>
      <c r="EF139" s="75"/>
      <c r="EG139" s="75"/>
      <c r="EH139" s="75"/>
      <c r="EI139" s="75"/>
      <c r="EJ139" s="75"/>
      <c r="EK139" s="75"/>
      <c r="EL139" s="75"/>
      <c r="EM139" s="75"/>
      <c r="EN139" s="81"/>
      <c r="EO139" s="74"/>
      <c r="EP139" s="75"/>
      <c r="EQ139" s="75"/>
      <c r="ER139" s="75"/>
      <c r="ES139" s="75"/>
      <c r="ET139" s="75"/>
      <c r="EU139" s="75"/>
      <c r="EV139" s="75"/>
      <c r="EW139" s="75"/>
      <c r="EX139" s="75"/>
      <c r="EY139" s="75"/>
      <c r="EZ139" s="81"/>
      <c r="FA139" s="74"/>
      <c r="FB139" s="75"/>
      <c r="FC139" s="75"/>
      <c r="FD139" s="75"/>
      <c r="FE139" s="75"/>
      <c r="FF139" s="75"/>
      <c r="FG139" s="75"/>
      <c r="FH139" s="75"/>
      <c r="FI139" s="75"/>
      <c r="FJ139" s="75"/>
      <c r="FK139" s="75"/>
      <c r="FL139" s="81"/>
      <c r="FM139" s="74"/>
      <c r="FN139" s="75"/>
      <c r="FO139" s="75"/>
      <c r="FP139" s="75"/>
      <c r="FQ139" s="75"/>
      <c r="FR139" s="75"/>
      <c r="FS139" s="75"/>
      <c r="FT139" s="75"/>
      <c r="FU139" s="75"/>
      <c r="FV139" s="75"/>
      <c r="FW139" s="75"/>
      <c r="FX139" s="81"/>
      <c r="FY139" s="74"/>
      <c r="FZ139" s="75"/>
      <c r="GA139" s="75"/>
      <c r="GB139" s="75"/>
      <c r="GC139" s="75"/>
      <c r="GD139" s="75"/>
      <c r="GE139" s="75"/>
      <c r="GF139" s="75"/>
      <c r="GG139" s="75"/>
      <c r="GH139" s="75"/>
      <c r="GI139" s="75"/>
      <c r="GJ139" s="81"/>
      <c r="GK139" s="74"/>
      <c r="GL139" s="75"/>
      <c r="GM139" s="75"/>
      <c r="GN139" s="75"/>
      <c r="GO139" s="75"/>
      <c r="GP139" s="75"/>
      <c r="GQ139" s="75"/>
      <c r="GR139" s="75"/>
      <c r="GS139" s="75"/>
      <c r="GT139" s="75"/>
      <c r="GU139" s="75"/>
      <c r="GV139" s="81"/>
      <c r="GW139" s="74"/>
      <c r="GX139" s="75"/>
      <c r="GY139" s="75"/>
      <c r="GZ139" s="75"/>
      <c r="HA139" s="75"/>
      <c r="HB139" s="75"/>
      <c r="HC139" s="75"/>
      <c r="HD139" s="75"/>
      <c r="HE139" s="75"/>
      <c r="HF139" s="75"/>
      <c r="HG139" s="75"/>
      <c r="HH139" s="81"/>
      <c r="HI139" s="75"/>
    </row>
    <row r="140" ht="15.0" customHeight="1">
      <c r="A140" s="74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81"/>
      <c r="M140" s="74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81"/>
      <c r="Y140" s="74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81"/>
      <c r="AK140" s="74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81"/>
      <c r="AW140" s="74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81"/>
      <c r="BI140" s="74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81"/>
      <c r="BU140" s="74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81"/>
      <c r="CG140" s="74"/>
      <c r="CH140" s="75"/>
      <c r="CI140" s="75"/>
      <c r="CJ140" s="75"/>
      <c r="CK140" s="75"/>
      <c r="CL140" s="75"/>
      <c r="CM140" s="75"/>
      <c r="CN140" s="75"/>
      <c r="CO140" s="75"/>
      <c r="CP140" s="75"/>
      <c r="CQ140" s="75"/>
      <c r="CR140" s="81"/>
      <c r="CS140" s="74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81"/>
      <c r="DE140" s="74"/>
      <c r="DF140" s="75"/>
      <c r="DG140" s="75"/>
      <c r="DH140" s="75"/>
      <c r="DI140" s="75"/>
      <c r="DJ140" s="75"/>
      <c r="DK140" s="75"/>
      <c r="DL140" s="75"/>
      <c r="DM140" s="75"/>
      <c r="DN140" s="75"/>
      <c r="DO140" s="75"/>
      <c r="DP140" s="81"/>
      <c r="DQ140" s="74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81"/>
      <c r="EC140" s="74"/>
      <c r="ED140" s="75"/>
      <c r="EE140" s="75"/>
      <c r="EF140" s="75"/>
      <c r="EG140" s="75"/>
      <c r="EH140" s="75"/>
      <c r="EI140" s="75"/>
      <c r="EJ140" s="75"/>
      <c r="EK140" s="75"/>
      <c r="EL140" s="75"/>
      <c r="EM140" s="75"/>
      <c r="EN140" s="81"/>
      <c r="EO140" s="74"/>
      <c r="EP140" s="75"/>
      <c r="EQ140" s="75"/>
      <c r="ER140" s="75"/>
      <c r="ES140" s="75"/>
      <c r="ET140" s="75"/>
      <c r="EU140" s="75"/>
      <c r="EV140" s="75"/>
      <c r="EW140" s="75"/>
      <c r="EX140" s="75"/>
      <c r="EY140" s="75"/>
      <c r="EZ140" s="81"/>
      <c r="FA140" s="74"/>
      <c r="FB140" s="75"/>
      <c r="FC140" s="75"/>
      <c r="FD140" s="75"/>
      <c r="FE140" s="75"/>
      <c r="FF140" s="75"/>
      <c r="FG140" s="75"/>
      <c r="FH140" s="75"/>
      <c r="FI140" s="75"/>
      <c r="FJ140" s="75"/>
      <c r="FK140" s="75"/>
      <c r="FL140" s="81"/>
      <c r="FM140" s="74"/>
      <c r="FN140" s="75"/>
      <c r="FO140" s="75"/>
      <c r="FP140" s="75"/>
      <c r="FQ140" s="75"/>
      <c r="FR140" s="75"/>
      <c r="FS140" s="75"/>
      <c r="FT140" s="75"/>
      <c r="FU140" s="75"/>
      <c r="FV140" s="75"/>
      <c r="FW140" s="75"/>
      <c r="FX140" s="81"/>
      <c r="FY140" s="74"/>
      <c r="FZ140" s="75"/>
      <c r="GA140" s="75"/>
      <c r="GB140" s="75"/>
      <c r="GC140" s="75"/>
      <c r="GD140" s="75"/>
      <c r="GE140" s="75"/>
      <c r="GF140" s="75"/>
      <c r="GG140" s="75"/>
      <c r="GH140" s="75"/>
      <c r="GI140" s="75"/>
      <c r="GJ140" s="81"/>
      <c r="GK140" s="74"/>
      <c r="GL140" s="75"/>
      <c r="GM140" s="75"/>
      <c r="GN140" s="75"/>
      <c r="GO140" s="75"/>
      <c r="GP140" s="75"/>
      <c r="GQ140" s="75"/>
      <c r="GR140" s="75"/>
      <c r="GS140" s="75"/>
      <c r="GT140" s="75"/>
      <c r="GU140" s="75"/>
      <c r="GV140" s="81"/>
      <c r="GW140" s="74"/>
      <c r="GX140" s="75"/>
      <c r="GY140" s="75"/>
      <c r="GZ140" s="75"/>
      <c r="HA140" s="75"/>
      <c r="HB140" s="75"/>
      <c r="HC140" s="75"/>
      <c r="HD140" s="75"/>
      <c r="HE140" s="75"/>
      <c r="HF140" s="75"/>
      <c r="HG140" s="75"/>
      <c r="HH140" s="81"/>
      <c r="HI140" s="75"/>
    </row>
    <row r="141" ht="15.0" customHeight="1">
      <c r="A141" s="74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81"/>
      <c r="M141" s="74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81"/>
      <c r="Y141" s="74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81"/>
      <c r="AK141" s="74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81"/>
      <c r="AW141" s="74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81"/>
      <c r="BI141" s="74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81"/>
      <c r="BU141" s="74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81"/>
      <c r="CG141" s="74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81"/>
      <c r="CS141" s="74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81"/>
      <c r="DE141" s="74"/>
      <c r="DF141" s="75"/>
      <c r="DG141" s="75"/>
      <c r="DH141" s="75"/>
      <c r="DI141" s="75"/>
      <c r="DJ141" s="75"/>
      <c r="DK141" s="75"/>
      <c r="DL141" s="75"/>
      <c r="DM141" s="75"/>
      <c r="DN141" s="75"/>
      <c r="DO141" s="75"/>
      <c r="DP141" s="81"/>
      <c r="DQ141" s="74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81"/>
      <c r="EC141" s="74"/>
      <c r="ED141" s="75"/>
      <c r="EE141" s="75"/>
      <c r="EF141" s="75"/>
      <c r="EG141" s="75"/>
      <c r="EH141" s="75"/>
      <c r="EI141" s="75"/>
      <c r="EJ141" s="75"/>
      <c r="EK141" s="75"/>
      <c r="EL141" s="75"/>
      <c r="EM141" s="75"/>
      <c r="EN141" s="81"/>
      <c r="EO141" s="74"/>
      <c r="EP141" s="75"/>
      <c r="EQ141" s="75"/>
      <c r="ER141" s="75"/>
      <c r="ES141" s="75"/>
      <c r="ET141" s="75"/>
      <c r="EU141" s="75"/>
      <c r="EV141" s="75"/>
      <c r="EW141" s="75"/>
      <c r="EX141" s="75"/>
      <c r="EY141" s="75"/>
      <c r="EZ141" s="81"/>
      <c r="FA141" s="74"/>
      <c r="FB141" s="75"/>
      <c r="FC141" s="75"/>
      <c r="FD141" s="75"/>
      <c r="FE141" s="75"/>
      <c r="FF141" s="75"/>
      <c r="FG141" s="75"/>
      <c r="FH141" s="75"/>
      <c r="FI141" s="75"/>
      <c r="FJ141" s="75"/>
      <c r="FK141" s="75"/>
      <c r="FL141" s="81"/>
      <c r="FM141" s="74"/>
      <c r="FN141" s="75"/>
      <c r="FO141" s="75"/>
      <c r="FP141" s="75"/>
      <c r="FQ141" s="75"/>
      <c r="FR141" s="75"/>
      <c r="FS141" s="75"/>
      <c r="FT141" s="75"/>
      <c r="FU141" s="75"/>
      <c r="FV141" s="75"/>
      <c r="FW141" s="75"/>
      <c r="FX141" s="81"/>
      <c r="FY141" s="74"/>
      <c r="FZ141" s="75"/>
      <c r="GA141" s="75"/>
      <c r="GB141" s="75"/>
      <c r="GC141" s="75"/>
      <c r="GD141" s="75"/>
      <c r="GE141" s="75"/>
      <c r="GF141" s="75"/>
      <c r="GG141" s="75"/>
      <c r="GH141" s="75"/>
      <c r="GI141" s="75"/>
      <c r="GJ141" s="81"/>
      <c r="GK141" s="74"/>
      <c r="GL141" s="75"/>
      <c r="GM141" s="75"/>
      <c r="GN141" s="75"/>
      <c r="GO141" s="75"/>
      <c r="GP141" s="75"/>
      <c r="GQ141" s="75"/>
      <c r="GR141" s="75"/>
      <c r="GS141" s="75"/>
      <c r="GT141" s="75"/>
      <c r="GU141" s="75"/>
      <c r="GV141" s="81"/>
      <c r="GW141" s="74"/>
      <c r="GX141" s="75"/>
      <c r="GY141" s="75"/>
      <c r="GZ141" s="75"/>
      <c r="HA141" s="75"/>
      <c r="HB141" s="75"/>
      <c r="HC141" s="75"/>
      <c r="HD141" s="75"/>
      <c r="HE141" s="75"/>
      <c r="HF141" s="75"/>
      <c r="HG141" s="75"/>
      <c r="HH141" s="81"/>
      <c r="HI141" s="75"/>
    </row>
    <row r="142" ht="15.0" customHeight="1">
      <c r="A142" s="74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81"/>
      <c r="M142" s="74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81"/>
      <c r="Y142" s="74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81"/>
      <c r="AK142" s="74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81"/>
      <c r="AW142" s="74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81"/>
      <c r="BI142" s="74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81"/>
      <c r="BU142" s="74"/>
      <c r="BV142" s="75"/>
      <c r="BW142" s="75"/>
      <c r="BX142" s="75"/>
      <c r="BY142" s="75"/>
      <c r="BZ142" s="75"/>
      <c r="CA142" s="75"/>
      <c r="CB142" s="75"/>
      <c r="CC142" s="75"/>
      <c r="CD142" s="75"/>
      <c r="CE142" s="75"/>
      <c r="CF142" s="81"/>
      <c r="CG142" s="74"/>
      <c r="CH142" s="75"/>
      <c r="CI142" s="75"/>
      <c r="CJ142" s="75"/>
      <c r="CK142" s="75"/>
      <c r="CL142" s="75"/>
      <c r="CM142" s="75"/>
      <c r="CN142" s="75"/>
      <c r="CO142" s="75"/>
      <c r="CP142" s="75"/>
      <c r="CQ142" s="75"/>
      <c r="CR142" s="81"/>
      <c r="CS142" s="74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81"/>
      <c r="DE142" s="74"/>
      <c r="DF142" s="75"/>
      <c r="DG142" s="75"/>
      <c r="DH142" s="75"/>
      <c r="DI142" s="75"/>
      <c r="DJ142" s="75"/>
      <c r="DK142" s="75"/>
      <c r="DL142" s="75"/>
      <c r="DM142" s="75"/>
      <c r="DN142" s="75"/>
      <c r="DO142" s="75"/>
      <c r="DP142" s="81"/>
      <c r="DQ142" s="74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81"/>
      <c r="EC142" s="74"/>
      <c r="ED142" s="75"/>
      <c r="EE142" s="75"/>
      <c r="EF142" s="75"/>
      <c r="EG142" s="75"/>
      <c r="EH142" s="75"/>
      <c r="EI142" s="75"/>
      <c r="EJ142" s="75"/>
      <c r="EK142" s="75"/>
      <c r="EL142" s="75"/>
      <c r="EM142" s="75"/>
      <c r="EN142" s="81"/>
      <c r="EO142" s="74"/>
      <c r="EP142" s="75"/>
      <c r="EQ142" s="75"/>
      <c r="ER142" s="75"/>
      <c r="ES142" s="75"/>
      <c r="ET142" s="75"/>
      <c r="EU142" s="75"/>
      <c r="EV142" s="75"/>
      <c r="EW142" s="75"/>
      <c r="EX142" s="75"/>
      <c r="EY142" s="75"/>
      <c r="EZ142" s="81"/>
      <c r="FA142" s="74"/>
      <c r="FB142" s="75"/>
      <c r="FC142" s="75"/>
      <c r="FD142" s="75"/>
      <c r="FE142" s="75"/>
      <c r="FF142" s="75"/>
      <c r="FG142" s="75"/>
      <c r="FH142" s="75"/>
      <c r="FI142" s="75"/>
      <c r="FJ142" s="75"/>
      <c r="FK142" s="75"/>
      <c r="FL142" s="81"/>
      <c r="FM142" s="74"/>
      <c r="FN142" s="75"/>
      <c r="FO142" s="75"/>
      <c r="FP142" s="75"/>
      <c r="FQ142" s="75"/>
      <c r="FR142" s="75"/>
      <c r="FS142" s="75"/>
      <c r="FT142" s="75"/>
      <c r="FU142" s="75"/>
      <c r="FV142" s="75"/>
      <c r="FW142" s="75"/>
      <c r="FX142" s="81"/>
      <c r="FY142" s="74"/>
      <c r="FZ142" s="75"/>
      <c r="GA142" s="75"/>
      <c r="GB142" s="75"/>
      <c r="GC142" s="75"/>
      <c r="GD142" s="75"/>
      <c r="GE142" s="75"/>
      <c r="GF142" s="75"/>
      <c r="GG142" s="75"/>
      <c r="GH142" s="75"/>
      <c r="GI142" s="75"/>
      <c r="GJ142" s="81"/>
      <c r="GK142" s="74"/>
      <c r="GL142" s="75"/>
      <c r="GM142" s="75"/>
      <c r="GN142" s="75"/>
      <c r="GO142" s="75"/>
      <c r="GP142" s="75"/>
      <c r="GQ142" s="75"/>
      <c r="GR142" s="75"/>
      <c r="GS142" s="75"/>
      <c r="GT142" s="75"/>
      <c r="GU142" s="75"/>
      <c r="GV142" s="81"/>
      <c r="GW142" s="74"/>
      <c r="GX142" s="75"/>
      <c r="GY142" s="75"/>
      <c r="GZ142" s="75"/>
      <c r="HA142" s="75"/>
      <c r="HB142" s="75"/>
      <c r="HC142" s="75"/>
      <c r="HD142" s="75"/>
      <c r="HE142" s="75"/>
      <c r="HF142" s="75"/>
      <c r="HG142" s="75"/>
      <c r="HH142" s="81"/>
      <c r="HI142" s="75"/>
    </row>
    <row r="143" ht="15.0" customHeight="1">
      <c r="A143" s="74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81"/>
      <c r="M143" s="74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81"/>
      <c r="Y143" s="74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81"/>
      <c r="AK143" s="74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81"/>
      <c r="AW143" s="74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81"/>
      <c r="BI143" s="74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81"/>
      <c r="BU143" s="74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81"/>
      <c r="CG143" s="74"/>
      <c r="CH143" s="75"/>
      <c r="CI143" s="75"/>
      <c r="CJ143" s="75"/>
      <c r="CK143" s="75"/>
      <c r="CL143" s="75"/>
      <c r="CM143" s="75"/>
      <c r="CN143" s="75"/>
      <c r="CO143" s="75"/>
      <c r="CP143" s="75"/>
      <c r="CQ143" s="75"/>
      <c r="CR143" s="81"/>
      <c r="CS143" s="74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81"/>
      <c r="DE143" s="74"/>
      <c r="DF143" s="75"/>
      <c r="DG143" s="75"/>
      <c r="DH143" s="75"/>
      <c r="DI143" s="75"/>
      <c r="DJ143" s="75"/>
      <c r="DK143" s="75"/>
      <c r="DL143" s="75"/>
      <c r="DM143" s="75"/>
      <c r="DN143" s="75"/>
      <c r="DO143" s="75"/>
      <c r="DP143" s="81"/>
      <c r="DQ143" s="74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81"/>
      <c r="EC143" s="74"/>
      <c r="ED143" s="75"/>
      <c r="EE143" s="75"/>
      <c r="EF143" s="75"/>
      <c r="EG143" s="75"/>
      <c r="EH143" s="75"/>
      <c r="EI143" s="75"/>
      <c r="EJ143" s="75"/>
      <c r="EK143" s="75"/>
      <c r="EL143" s="75"/>
      <c r="EM143" s="75"/>
      <c r="EN143" s="81"/>
      <c r="EO143" s="74"/>
      <c r="EP143" s="75"/>
      <c r="EQ143" s="75"/>
      <c r="ER143" s="75"/>
      <c r="ES143" s="75"/>
      <c r="ET143" s="75"/>
      <c r="EU143" s="75"/>
      <c r="EV143" s="75"/>
      <c r="EW143" s="75"/>
      <c r="EX143" s="75"/>
      <c r="EY143" s="75"/>
      <c r="EZ143" s="81"/>
      <c r="FA143" s="74"/>
      <c r="FB143" s="75"/>
      <c r="FC143" s="75"/>
      <c r="FD143" s="75"/>
      <c r="FE143" s="75"/>
      <c r="FF143" s="75"/>
      <c r="FG143" s="75"/>
      <c r="FH143" s="75"/>
      <c r="FI143" s="75"/>
      <c r="FJ143" s="75"/>
      <c r="FK143" s="75"/>
      <c r="FL143" s="81"/>
      <c r="FM143" s="74"/>
      <c r="FN143" s="75"/>
      <c r="FO143" s="75"/>
      <c r="FP143" s="75"/>
      <c r="FQ143" s="75"/>
      <c r="FR143" s="75"/>
      <c r="FS143" s="75"/>
      <c r="FT143" s="75"/>
      <c r="FU143" s="75"/>
      <c r="FV143" s="75"/>
      <c r="FW143" s="75"/>
      <c r="FX143" s="81"/>
      <c r="FY143" s="74"/>
      <c r="FZ143" s="75"/>
      <c r="GA143" s="75"/>
      <c r="GB143" s="75"/>
      <c r="GC143" s="75"/>
      <c r="GD143" s="75"/>
      <c r="GE143" s="75"/>
      <c r="GF143" s="75"/>
      <c r="GG143" s="75"/>
      <c r="GH143" s="75"/>
      <c r="GI143" s="75"/>
      <c r="GJ143" s="81"/>
      <c r="GK143" s="74"/>
      <c r="GL143" s="75"/>
      <c r="GM143" s="75"/>
      <c r="GN143" s="75"/>
      <c r="GO143" s="75"/>
      <c r="GP143" s="75"/>
      <c r="GQ143" s="75"/>
      <c r="GR143" s="75"/>
      <c r="GS143" s="75"/>
      <c r="GT143" s="75"/>
      <c r="GU143" s="75"/>
      <c r="GV143" s="81"/>
      <c r="GW143" s="74"/>
      <c r="GX143" s="75"/>
      <c r="GY143" s="75"/>
      <c r="GZ143" s="75"/>
      <c r="HA143" s="75"/>
      <c r="HB143" s="75"/>
      <c r="HC143" s="75"/>
      <c r="HD143" s="75"/>
      <c r="HE143" s="75"/>
      <c r="HF143" s="75"/>
      <c r="HG143" s="75"/>
      <c r="HH143" s="81"/>
      <c r="HI143" s="75"/>
    </row>
    <row r="144" ht="15.0" customHeight="1">
      <c r="A144" s="74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81"/>
      <c r="M144" s="74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81"/>
      <c r="Y144" s="74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81"/>
      <c r="AK144" s="74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81"/>
      <c r="AW144" s="74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81"/>
      <c r="BI144" s="74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81"/>
      <c r="BU144" s="74"/>
      <c r="BV144" s="75"/>
      <c r="BW144" s="75"/>
      <c r="BX144" s="75"/>
      <c r="BY144" s="75"/>
      <c r="BZ144" s="75"/>
      <c r="CA144" s="75"/>
      <c r="CB144" s="75"/>
      <c r="CC144" s="75"/>
      <c r="CD144" s="75"/>
      <c r="CE144" s="75"/>
      <c r="CF144" s="81"/>
      <c r="CG144" s="74"/>
      <c r="CH144" s="75"/>
      <c r="CI144" s="75"/>
      <c r="CJ144" s="75"/>
      <c r="CK144" s="75"/>
      <c r="CL144" s="75"/>
      <c r="CM144" s="75"/>
      <c r="CN144" s="75"/>
      <c r="CO144" s="75"/>
      <c r="CP144" s="75"/>
      <c r="CQ144" s="75"/>
      <c r="CR144" s="81"/>
      <c r="CS144" s="74"/>
      <c r="CT144" s="75"/>
      <c r="CU144" s="75"/>
      <c r="CV144" s="75"/>
      <c r="CW144" s="75"/>
      <c r="CX144" s="75"/>
      <c r="CY144" s="75"/>
      <c r="CZ144" s="75"/>
      <c r="DA144" s="75"/>
      <c r="DB144" s="75"/>
      <c r="DC144" s="75"/>
      <c r="DD144" s="81"/>
      <c r="DE144" s="74"/>
      <c r="DF144" s="75"/>
      <c r="DG144" s="75"/>
      <c r="DH144" s="75"/>
      <c r="DI144" s="75"/>
      <c r="DJ144" s="75"/>
      <c r="DK144" s="75"/>
      <c r="DL144" s="75"/>
      <c r="DM144" s="75"/>
      <c r="DN144" s="75"/>
      <c r="DO144" s="75"/>
      <c r="DP144" s="81"/>
      <c r="DQ144" s="74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81"/>
      <c r="EC144" s="74"/>
      <c r="ED144" s="75"/>
      <c r="EE144" s="75"/>
      <c r="EF144" s="75"/>
      <c r="EG144" s="75"/>
      <c r="EH144" s="75"/>
      <c r="EI144" s="75"/>
      <c r="EJ144" s="75"/>
      <c r="EK144" s="75"/>
      <c r="EL144" s="75"/>
      <c r="EM144" s="75"/>
      <c r="EN144" s="81"/>
      <c r="EO144" s="74"/>
      <c r="EP144" s="75"/>
      <c r="EQ144" s="75"/>
      <c r="ER144" s="75"/>
      <c r="ES144" s="75"/>
      <c r="ET144" s="75"/>
      <c r="EU144" s="75"/>
      <c r="EV144" s="75"/>
      <c r="EW144" s="75"/>
      <c r="EX144" s="75"/>
      <c r="EY144" s="75"/>
      <c r="EZ144" s="81"/>
      <c r="FA144" s="74"/>
      <c r="FB144" s="75"/>
      <c r="FC144" s="75"/>
      <c r="FD144" s="75"/>
      <c r="FE144" s="75"/>
      <c r="FF144" s="75"/>
      <c r="FG144" s="75"/>
      <c r="FH144" s="75"/>
      <c r="FI144" s="75"/>
      <c r="FJ144" s="75"/>
      <c r="FK144" s="75"/>
      <c r="FL144" s="81"/>
      <c r="FM144" s="74"/>
      <c r="FN144" s="75"/>
      <c r="FO144" s="75"/>
      <c r="FP144" s="75"/>
      <c r="FQ144" s="75"/>
      <c r="FR144" s="75"/>
      <c r="FS144" s="75"/>
      <c r="FT144" s="75"/>
      <c r="FU144" s="75"/>
      <c r="FV144" s="75"/>
      <c r="FW144" s="75"/>
      <c r="FX144" s="81"/>
      <c r="FY144" s="74"/>
      <c r="FZ144" s="75"/>
      <c r="GA144" s="75"/>
      <c r="GB144" s="75"/>
      <c r="GC144" s="75"/>
      <c r="GD144" s="75"/>
      <c r="GE144" s="75"/>
      <c r="GF144" s="75"/>
      <c r="GG144" s="75"/>
      <c r="GH144" s="75"/>
      <c r="GI144" s="75"/>
      <c r="GJ144" s="81"/>
      <c r="GK144" s="74"/>
      <c r="GL144" s="75"/>
      <c r="GM144" s="75"/>
      <c r="GN144" s="75"/>
      <c r="GO144" s="75"/>
      <c r="GP144" s="75"/>
      <c r="GQ144" s="75"/>
      <c r="GR144" s="75"/>
      <c r="GS144" s="75"/>
      <c r="GT144" s="75"/>
      <c r="GU144" s="75"/>
      <c r="GV144" s="81"/>
      <c r="GW144" s="74"/>
      <c r="GX144" s="75"/>
      <c r="GY144" s="75"/>
      <c r="GZ144" s="75"/>
      <c r="HA144" s="75"/>
      <c r="HB144" s="75"/>
      <c r="HC144" s="75"/>
      <c r="HD144" s="75"/>
      <c r="HE144" s="75"/>
      <c r="HF144" s="75"/>
      <c r="HG144" s="75"/>
      <c r="HH144" s="81"/>
      <c r="HI144" s="75"/>
    </row>
    <row r="145" ht="15.0" customHeight="1">
      <c r="A145" s="74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81"/>
      <c r="M145" s="74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81"/>
      <c r="Y145" s="74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81"/>
      <c r="AK145" s="74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81"/>
      <c r="AW145" s="74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81"/>
      <c r="BI145" s="74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81"/>
      <c r="BU145" s="74"/>
      <c r="BV145" s="75"/>
      <c r="BW145" s="75"/>
      <c r="BX145" s="75"/>
      <c r="BY145" s="75"/>
      <c r="BZ145" s="75"/>
      <c r="CA145" s="75"/>
      <c r="CB145" s="75"/>
      <c r="CC145" s="75"/>
      <c r="CD145" s="75"/>
      <c r="CE145" s="75"/>
      <c r="CF145" s="81"/>
      <c r="CG145" s="74"/>
      <c r="CH145" s="75"/>
      <c r="CI145" s="75"/>
      <c r="CJ145" s="75"/>
      <c r="CK145" s="75"/>
      <c r="CL145" s="75"/>
      <c r="CM145" s="75"/>
      <c r="CN145" s="75"/>
      <c r="CO145" s="75"/>
      <c r="CP145" s="75"/>
      <c r="CQ145" s="75"/>
      <c r="CR145" s="81"/>
      <c r="CS145" s="74"/>
      <c r="CT145" s="75"/>
      <c r="CU145" s="75"/>
      <c r="CV145" s="75"/>
      <c r="CW145" s="75"/>
      <c r="CX145" s="75"/>
      <c r="CY145" s="75"/>
      <c r="CZ145" s="75"/>
      <c r="DA145" s="75"/>
      <c r="DB145" s="75"/>
      <c r="DC145" s="75"/>
      <c r="DD145" s="81"/>
      <c r="DE145" s="74"/>
      <c r="DF145" s="75"/>
      <c r="DG145" s="75"/>
      <c r="DH145" s="75"/>
      <c r="DI145" s="75"/>
      <c r="DJ145" s="75"/>
      <c r="DK145" s="75"/>
      <c r="DL145" s="75"/>
      <c r="DM145" s="75"/>
      <c r="DN145" s="75"/>
      <c r="DO145" s="75"/>
      <c r="DP145" s="81"/>
      <c r="DQ145" s="74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81"/>
      <c r="EC145" s="74"/>
      <c r="ED145" s="75"/>
      <c r="EE145" s="75"/>
      <c r="EF145" s="75"/>
      <c r="EG145" s="75"/>
      <c r="EH145" s="75"/>
      <c r="EI145" s="75"/>
      <c r="EJ145" s="75"/>
      <c r="EK145" s="75"/>
      <c r="EL145" s="75"/>
      <c r="EM145" s="75"/>
      <c r="EN145" s="81"/>
      <c r="EO145" s="74"/>
      <c r="EP145" s="75"/>
      <c r="EQ145" s="75"/>
      <c r="ER145" s="75"/>
      <c r="ES145" s="75"/>
      <c r="ET145" s="75"/>
      <c r="EU145" s="75"/>
      <c r="EV145" s="75"/>
      <c r="EW145" s="75"/>
      <c r="EX145" s="75"/>
      <c r="EY145" s="75"/>
      <c r="EZ145" s="81"/>
      <c r="FA145" s="74"/>
      <c r="FB145" s="75"/>
      <c r="FC145" s="75"/>
      <c r="FD145" s="75"/>
      <c r="FE145" s="75"/>
      <c r="FF145" s="75"/>
      <c r="FG145" s="75"/>
      <c r="FH145" s="75"/>
      <c r="FI145" s="75"/>
      <c r="FJ145" s="75"/>
      <c r="FK145" s="75"/>
      <c r="FL145" s="81"/>
      <c r="FM145" s="74"/>
      <c r="FN145" s="75"/>
      <c r="FO145" s="75"/>
      <c r="FP145" s="75"/>
      <c r="FQ145" s="75"/>
      <c r="FR145" s="75"/>
      <c r="FS145" s="75"/>
      <c r="FT145" s="75"/>
      <c r="FU145" s="75"/>
      <c r="FV145" s="75"/>
      <c r="FW145" s="75"/>
      <c r="FX145" s="81"/>
      <c r="FY145" s="74"/>
      <c r="FZ145" s="75"/>
      <c r="GA145" s="75"/>
      <c r="GB145" s="75"/>
      <c r="GC145" s="75"/>
      <c r="GD145" s="75"/>
      <c r="GE145" s="75"/>
      <c r="GF145" s="75"/>
      <c r="GG145" s="75"/>
      <c r="GH145" s="75"/>
      <c r="GI145" s="75"/>
      <c r="GJ145" s="81"/>
      <c r="GK145" s="74"/>
      <c r="GL145" s="75"/>
      <c r="GM145" s="75"/>
      <c r="GN145" s="75"/>
      <c r="GO145" s="75"/>
      <c r="GP145" s="75"/>
      <c r="GQ145" s="75"/>
      <c r="GR145" s="75"/>
      <c r="GS145" s="75"/>
      <c r="GT145" s="75"/>
      <c r="GU145" s="75"/>
      <c r="GV145" s="81"/>
      <c r="GW145" s="74"/>
      <c r="GX145" s="75"/>
      <c r="GY145" s="75"/>
      <c r="GZ145" s="75"/>
      <c r="HA145" s="75"/>
      <c r="HB145" s="75"/>
      <c r="HC145" s="75"/>
      <c r="HD145" s="75"/>
      <c r="HE145" s="75"/>
      <c r="HF145" s="75"/>
      <c r="HG145" s="75"/>
      <c r="HH145" s="81"/>
      <c r="HI145" s="75"/>
    </row>
    <row r="146" ht="15.0" customHeight="1">
      <c r="A146" s="74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81"/>
      <c r="M146" s="74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81"/>
      <c r="Y146" s="74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81"/>
      <c r="AK146" s="74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81"/>
      <c r="AW146" s="74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81"/>
      <c r="BI146" s="74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81"/>
      <c r="BU146" s="74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81"/>
      <c r="CG146" s="74"/>
      <c r="CH146" s="75"/>
      <c r="CI146" s="75"/>
      <c r="CJ146" s="75"/>
      <c r="CK146" s="75"/>
      <c r="CL146" s="75"/>
      <c r="CM146" s="75"/>
      <c r="CN146" s="75"/>
      <c r="CO146" s="75"/>
      <c r="CP146" s="75"/>
      <c r="CQ146" s="75"/>
      <c r="CR146" s="81"/>
      <c r="CS146" s="74"/>
      <c r="CT146" s="75"/>
      <c r="CU146" s="75"/>
      <c r="CV146" s="75"/>
      <c r="CW146" s="75"/>
      <c r="CX146" s="75"/>
      <c r="CY146" s="75"/>
      <c r="CZ146" s="75"/>
      <c r="DA146" s="75"/>
      <c r="DB146" s="75"/>
      <c r="DC146" s="75"/>
      <c r="DD146" s="81"/>
      <c r="DE146" s="74"/>
      <c r="DF146" s="75"/>
      <c r="DG146" s="75"/>
      <c r="DH146" s="75"/>
      <c r="DI146" s="75"/>
      <c r="DJ146" s="75"/>
      <c r="DK146" s="75"/>
      <c r="DL146" s="75"/>
      <c r="DM146" s="75"/>
      <c r="DN146" s="75"/>
      <c r="DO146" s="75"/>
      <c r="DP146" s="81"/>
      <c r="DQ146" s="74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81"/>
      <c r="EC146" s="74"/>
      <c r="ED146" s="75"/>
      <c r="EE146" s="75"/>
      <c r="EF146" s="75"/>
      <c r="EG146" s="75"/>
      <c r="EH146" s="75"/>
      <c r="EI146" s="75"/>
      <c r="EJ146" s="75"/>
      <c r="EK146" s="75"/>
      <c r="EL146" s="75"/>
      <c r="EM146" s="75"/>
      <c r="EN146" s="81"/>
      <c r="EO146" s="74"/>
      <c r="EP146" s="75"/>
      <c r="EQ146" s="75"/>
      <c r="ER146" s="75"/>
      <c r="ES146" s="75"/>
      <c r="ET146" s="75"/>
      <c r="EU146" s="75"/>
      <c r="EV146" s="75"/>
      <c r="EW146" s="75"/>
      <c r="EX146" s="75"/>
      <c r="EY146" s="75"/>
      <c r="EZ146" s="81"/>
      <c r="FA146" s="74"/>
      <c r="FB146" s="75"/>
      <c r="FC146" s="75"/>
      <c r="FD146" s="75"/>
      <c r="FE146" s="75"/>
      <c r="FF146" s="75"/>
      <c r="FG146" s="75"/>
      <c r="FH146" s="75"/>
      <c r="FI146" s="75"/>
      <c r="FJ146" s="75"/>
      <c r="FK146" s="75"/>
      <c r="FL146" s="81"/>
      <c r="FM146" s="74"/>
      <c r="FN146" s="75"/>
      <c r="FO146" s="75"/>
      <c r="FP146" s="75"/>
      <c r="FQ146" s="75"/>
      <c r="FR146" s="75"/>
      <c r="FS146" s="75"/>
      <c r="FT146" s="75"/>
      <c r="FU146" s="75"/>
      <c r="FV146" s="75"/>
      <c r="FW146" s="75"/>
      <c r="FX146" s="81"/>
      <c r="FY146" s="74"/>
      <c r="FZ146" s="75"/>
      <c r="GA146" s="75"/>
      <c r="GB146" s="75"/>
      <c r="GC146" s="75"/>
      <c r="GD146" s="75"/>
      <c r="GE146" s="75"/>
      <c r="GF146" s="75"/>
      <c r="GG146" s="75"/>
      <c r="GH146" s="75"/>
      <c r="GI146" s="75"/>
      <c r="GJ146" s="81"/>
      <c r="GK146" s="74"/>
      <c r="GL146" s="75"/>
      <c r="GM146" s="75"/>
      <c r="GN146" s="75"/>
      <c r="GO146" s="75"/>
      <c r="GP146" s="75"/>
      <c r="GQ146" s="75"/>
      <c r="GR146" s="75"/>
      <c r="GS146" s="75"/>
      <c r="GT146" s="75"/>
      <c r="GU146" s="75"/>
      <c r="GV146" s="81"/>
      <c r="GW146" s="74"/>
      <c r="GX146" s="75"/>
      <c r="GY146" s="75"/>
      <c r="GZ146" s="75"/>
      <c r="HA146" s="75"/>
      <c r="HB146" s="75"/>
      <c r="HC146" s="75"/>
      <c r="HD146" s="75"/>
      <c r="HE146" s="75"/>
      <c r="HF146" s="75"/>
      <c r="HG146" s="75"/>
      <c r="HH146" s="81"/>
      <c r="HI146" s="75"/>
    </row>
    <row r="147" ht="15.0" customHeight="1">
      <c r="A147" s="74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81"/>
      <c r="M147" s="74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81"/>
      <c r="Y147" s="74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81"/>
      <c r="AK147" s="74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81"/>
      <c r="AW147" s="74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81"/>
      <c r="BI147" s="74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81"/>
      <c r="BU147" s="74"/>
      <c r="BV147" s="75"/>
      <c r="BW147" s="75"/>
      <c r="BX147" s="75"/>
      <c r="BY147" s="75"/>
      <c r="BZ147" s="75"/>
      <c r="CA147" s="75"/>
      <c r="CB147" s="75"/>
      <c r="CC147" s="75"/>
      <c r="CD147" s="75"/>
      <c r="CE147" s="75"/>
      <c r="CF147" s="81"/>
      <c r="CG147" s="74"/>
      <c r="CH147" s="75"/>
      <c r="CI147" s="75"/>
      <c r="CJ147" s="75"/>
      <c r="CK147" s="75"/>
      <c r="CL147" s="75"/>
      <c r="CM147" s="75"/>
      <c r="CN147" s="75"/>
      <c r="CO147" s="75"/>
      <c r="CP147" s="75"/>
      <c r="CQ147" s="75"/>
      <c r="CR147" s="81"/>
      <c r="CS147" s="74"/>
      <c r="CT147" s="75"/>
      <c r="CU147" s="75"/>
      <c r="CV147" s="75"/>
      <c r="CW147" s="75"/>
      <c r="CX147" s="75"/>
      <c r="CY147" s="75"/>
      <c r="CZ147" s="75"/>
      <c r="DA147" s="75"/>
      <c r="DB147" s="75"/>
      <c r="DC147" s="75"/>
      <c r="DD147" s="81"/>
      <c r="DE147" s="74"/>
      <c r="DF147" s="75"/>
      <c r="DG147" s="75"/>
      <c r="DH147" s="75"/>
      <c r="DI147" s="75"/>
      <c r="DJ147" s="75"/>
      <c r="DK147" s="75"/>
      <c r="DL147" s="75"/>
      <c r="DM147" s="75"/>
      <c r="DN147" s="75"/>
      <c r="DO147" s="75"/>
      <c r="DP147" s="81"/>
      <c r="DQ147" s="74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81"/>
      <c r="EC147" s="74"/>
      <c r="ED147" s="75"/>
      <c r="EE147" s="75"/>
      <c r="EF147" s="75"/>
      <c r="EG147" s="75"/>
      <c r="EH147" s="75"/>
      <c r="EI147" s="75"/>
      <c r="EJ147" s="75"/>
      <c r="EK147" s="75"/>
      <c r="EL147" s="75"/>
      <c r="EM147" s="75"/>
      <c r="EN147" s="81"/>
      <c r="EO147" s="74"/>
      <c r="EP147" s="75"/>
      <c r="EQ147" s="75"/>
      <c r="ER147" s="75"/>
      <c r="ES147" s="75"/>
      <c r="ET147" s="75"/>
      <c r="EU147" s="75"/>
      <c r="EV147" s="75"/>
      <c r="EW147" s="75"/>
      <c r="EX147" s="75"/>
      <c r="EY147" s="75"/>
      <c r="EZ147" s="81"/>
      <c r="FA147" s="74"/>
      <c r="FB147" s="75"/>
      <c r="FC147" s="75"/>
      <c r="FD147" s="75"/>
      <c r="FE147" s="75"/>
      <c r="FF147" s="75"/>
      <c r="FG147" s="75"/>
      <c r="FH147" s="75"/>
      <c r="FI147" s="75"/>
      <c r="FJ147" s="75"/>
      <c r="FK147" s="75"/>
      <c r="FL147" s="81"/>
      <c r="FM147" s="74"/>
      <c r="FN147" s="75"/>
      <c r="FO147" s="75"/>
      <c r="FP147" s="75"/>
      <c r="FQ147" s="75"/>
      <c r="FR147" s="75"/>
      <c r="FS147" s="75"/>
      <c r="FT147" s="75"/>
      <c r="FU147" s="75"/>
      <c r="FV147" s="75"/>
      <c r="FW147" s="75"/>
      <c r="FX147" s="81"/>
      <c r="FY147" s="74"/>
      <c r="FZ147" s="75"/>
      <c r="GA147" s="75"/>
      <c r="GB147" s="75"/>
      <c r="GC147" s="75"/>
      <c r="GD147" s="75"/>
      <c r="GE147" s="75"/>
      <c r="GF147" s="75"/>
      <c r="GG147" s="75"/>
      <c r="GH147" s="75"/>
      <c r="GI147" s="75"/>
      <c r="GJ147" s="81"/>
      <c r="GK147" s="74"/>
      <c r="GL147" s="75"/>
      <c r="GM147" s="75"/>
      <c r="GN147" s="75"/>
      <c r="GO147" s="75"/>
      <c r="GP147" s="75"/>
      <c r="GQ147" s="75"/>
      <c r="GR147" s="75"/>
      <c r="GS147" s="75"/>
      <c r="GT147" s="75"/>
      <c r="GU147" s="75"/>
      <c r="GV147" s="81"/>
      <c r="GW147" s="74"/>
      <c r="GX147" s="75"/>
      <c r="GY147" s="75"/>
      <c r="GZ147" s="75"/>
      <c r="HA147" s="75"/>
      <c r="HB147" s="75"/>
      <c r="HC147" s="75"/>
      <c r="HD147" s="75"/>
      <c r="HE147" s="75"/>
      <c r="HF147" s="75"/>
      <c r="HG147" s="75"/>
      <c r="HH147" s="81"/>
      <c r="HI147" s="75"/>
    </row>
    <row r="148" ht="15.0" customHeight="1">
      <c r="A148" s="74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81"/>
      <c r="M148" s="74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81"/>
      <c r="Y148" s="74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81"/>
      <c r="AK148" s="74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81"/>
      <c r="AW148" s="74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81"/>
      <c r="BI148" s="74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81"/>
      <c r="BU148" s="74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81"/>
      <c r="CG148" s="74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81"/>
      <c r="CS148" s="74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81"/>
      <c r="DE148" s="74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81"/>
      <c r="DQ148" s="74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81"/>
      <c r="EC148" s="74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81"/>
      <c r="EO148" s="74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81"/>
      <c r="FA148" s="74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81"/>
      <c r="FM148" s="74"/>
      <c r="FN148" s="75"/>
      <c r="FO148" s="75"/>
      <c r="FP148" s="75"/>
      <c r="FQ148" s="75"/>
      <c r="FR148" s="75"/>
      <c r="FS148" s="75"/>
      <c r="FT148" s="75"/>
      <c r="FU148" s="75"/>
      <c r="FV148" s="75"/>
      <c r="FW148" s="75"/>
      <c r="FX148" s="81"/>
      <c r="FY148" s="74"/>
      <c r="FZ148" s="75"/>
      <c r="GA148" s="75"/>
      <c r="GB148" s="75"/>
      <c r="GC148" s="75"/>
      <c r="GD148" s="75"/>
      <c r="GE148" s="75"/>
      <c r="GF148" s="75"/>
      <c r="GG148" s="75"/>
      <c r="GH148" s="75"/>
      <c r="GI148" s="75"/>
      <c r="GJ148" s="81"/>
      <c r="GK148" s="74"/>
      <c r="GL148" s="75"/>
      <c r="GM148" s="75"/>
      <c r="GN148" s="75"/>
      <c r="GO148" s="75"/>
      <c r="GP148" s="75"/>
      <c r="GQ148" s="75"/>
      <c r="GR148" s="75"/>
      <c r="GS148" s="75"/>
      <c r="GT148" s="75"/>
      <c r="GU148" s="75"/>
      <c r="GV148" s="81"/>
      <c r="GW148" s="74"/>
      <c r="GX148" s="75"/>
      <c r="GY148" s="75"/>
      <c r="GZ148" s="75"/>
      <c r="HA148" s="75"/>
      <c r="HB148" s="75"/>
      <c r="HC148" s="75"/>
      <c r="HD148" s="75"/>
      <c r="HE148" s="75"/>
      <c r="HF148" s="75"/>
      <c r="HG148" s="75"/>
      <c r="HH148" s="81"/>
      <c r="HI148" s="75"/>
    </row>
    <row r="149" ht="15.0" customHeight="1">
      <c r="A149" s="74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81"/>
      <c r="M149" s="74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81"/>
      <c r="Y149" s="74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81"/>
      <c r="AK149" s="74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81"/>
      <c r="AW149" s="74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81"/>
      <c r="BI149" s="74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81"/>
      <c r="BU149" s="74"/>
      <c r="BV149" s="75"/>
      <c r="BW149" s="75"/>
      <c r="BX149" s="75"/>
      <c r="BY149" s="75"/>
      <c r="BZ149" s="75"/>
      <c r="CA149" s="75"/>
      <c r="CB149" s="75"/>
      <c r="CC149" s="75"/>
      <c r="CD149" s="75"/>
      <c r="CE149" s="75"/>
      <c r="CF149" s="81"/>
      <c r="CG149" s="74"/>
      <c r="CH149" s="75"/>
      <c r="CI149" s="75"/>
      <c r="CJ149" s="75"/>
      <c r="CK149" s="75"/>
      <c r="CL149" s="75"/>
      <c r="CM149" s="75"/>
      <c r="CN149" s="75"/>
      <c r="CO149" s="75"/>
      <c r="CP149" s="75"/>
      <c r="CQ149" s="75"/>
      <c r="CR149" s="81"/>
      <c r="CS149" s="74"/>
      <c r="CT149" s="75"/>
      <c r="CU149" s="75"/>
      <c r="CV149" s="75"/>
      <c r="CW149" s="75"/>
      <c r="CX149" s="75"/>
      <c r="CY149" s="75"/>
      <c r="CZ149" s="75"/>
      <c r="DA149" s="75"/>
      <c r="DB149" s="75"/>
      <c r="DC149" s="75"/>
      <c r="DD149" s="81"/>
      <c r="DE149" s="74"/>
      <c r="DF149" s="75"/>
      <c r="DG149" s="75"/>
      <c r="DH149" s="75"/>
      <c r="DI149" s="75"/>
      <c r="DJ149" s="75"/>
      <c r="DK149" s="75"/>
      <c r="DL149" s="75"/>
      <c r="DM149" s="75"/>
      <c r="DN149" s="75"/>
      <c r="DO149" s="75"/>
      <c r="DP149" s="81"/>
      <c r="DQ149" s="74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81"/>
      <c r="EC149" s="74"/>
      <c r="ED149" s="75"/>
      <c r="EE149" s="75"/>
      <c r="EF149" s="75"/>
      <c r="EG149" s="75"/>
      <c r="EH149" s="75"/>
      <c r="EI149" s="75"/>
      <c r="EJ149" s="75"/>
      <c r="EK149" s="75"/>
      <c r="EL149" s="75"/>
      <c r="EM149" s="75"/>
      <c r="EN149" s="81"/>
      <c r="EO149" s="74"/>
      <c r="EP149" s="75"/>
      <c r="EQ149" s="75"/>
      <c r="ER149" s="75"/>
      <c r="ES149" s="75"/>
      <c r="ET149" s="75"/>
      <c r="EU149" s="75"/>
      <c r="EV149" s="75"/>
      <c r="EW149" s="75"/>
      <c r="EX149" s="75"/>
      <c r="EY149" s="75"/>
      <c r="EZ149" s="81"/>
      <c r="FA149" s="74"/>
      <c r="FB149" s="75"/>
      <c r="FC149" s="75"/>
      <c r="FD149" s="75"/>
      <c r="FE149" s="75"/>
      <c r="FF149" s="75"/>
      <c r="FG149" s="75"/>
      <c r="FH149" s="75"/>
      <c r="FI149" s="75"/>
      <c r="FJ149" s="75"/>
      <c r="FK149" s="75"/>
      <c r="FL149" s="81"/>
      <c r="FM149" s="74"/>
      <c r="FN149" s="75"/>
      <c r="FO149" s="75"/>
      <c r="FP149" s="75"/>
      <c r="FQ149" s="75"/>
      <c r="FR149" s="75"/>
      <c r="FS149" s="75"/>
      <c r="FT149" s="75"/>
      <c r="FU149" s="75"/>
      <c r="FV149" s="75"/>
      <c r="FW149" s="75"/>
      <c r="FX149" s="81"/>
      <c r="FY149" s="74"/>
      <c r="FZ149" s="75"/>
      <c r="GA149" s="75"/>
      <c r="GB149" s="75"/>
      <c r="GC149" s="75"/>
      <c r="GD149" s="75"/>
      <c r="GE149" s="75"/>
      <c r="GF149" s="75"/>
      <c r="GG149" s="75"/>
      <c r="GH149" s="75"/>
      <c r="GI149" s="75"/>
      <c r="GJ149" s="81"/>
      <c r="GK149" s="74"/>
      <c r="GL149" s="75"/>
      <c r="GM149" s="75"/>
      <c r="GN149" s="75"/>
      <c r="GO149" s="75"/>
      <c r="GP149" s="75"/>
      <c r="GQ149" s="75"/>
      <c r="GR149" s="75"/>
      <c r="GS149" s="75"/>
      <c r="GT149" s="75"/>
      <c r="GU149" s="75"/>
      <c r="GV149" s="81"/>
      <c r="GW149" s="74"/>
      <c r="GX149" s="75"/>
      <c r="GY149" s="75"/>
      <c r="GZ149" s="75"/>
      <c r="HA149" s="75"/>
      <c r="HB149" s="75"/>
      <c r="HC149" s="75"/>
      <c r="HD149" s="75"/>
      <c r="HE149" s="75"/>
      <c r="HF149" s="75"/>
      <c r="HG149" s="75"/>
      <c r="HH149" s="81"/>
      <c r="HI149" s="75"/>
    </row>
    <row r="150" ht="15.0" customHeight="1">
      <c r="A150" s="74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81"/>
      <c r="M150" s="74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81"/>
      <c r="Y150" s="74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81"/>
      <c r="AK150" s="74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81"/>
      <c r="AW150" s="74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81"/>
      <c r="BI150" s="74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81"/>
      <c r="BU150" s="74"/>
      <c r="BV150" s="75"/>
      <c r="BW150" s="75"/>
      <c r="BX150" s="75"/>
      <c r="BY150" s="75"/>
      <c r="BZ150" s="75"/>
      <c r="CA150" s="75"/>
      <c r="CB150" s="75"/>
      <c r="CC150" s="75"/>
      <c r="CD150" s="75"/>
      <c r="CE150" s="75"/>
      <c r="CF150" s="81"/>
      <c r="CG150" s="74"/>
      <c r="CH150" s="75"/>
      <c r="CI150" s="75"/>
      <c r="CJ150" s="75"/>
      <c r="CK150" s="75"/>
      <c r="CL150" s="75"/>
      <c r="CM150" s="75"/>
      <c r="CN150" s="75"/>
      <c r="CO150" s="75"/>
      <c r="CP150" s="75"/>
      <c r="CQ150" s="75"/>
      <c r="CR150" s="81"/>
      <c r="CS150" s="74"/>
      <c r="CT150" s="75"/>
      <c r="CU150" s="75"/>
      <c r="CV150" s="75"/>
      <c r="CW150" s="75"/>
      <c r="CX150" s="75"/>
      <c r="CY150" s="75"/>
      <c r="CZ150" s="75"/>
      <c r="DA150" s="75"/>
      <c r="DB150" s="75"/>
      <c r="DC150" s="75"/>
      <c r="DD150" s="81"/>
      <c r="DE150" s="74"/>
      <c r="DF150" s="75"/>
      <c r="DG150" s="75"/>
      <c r="DH150" s="75"/>
      <c r="DI150" s="75"/>
      <c r="DJ150" s="75"/>
      <c r="DK150" s="75"/>
      <c r="DL150" s="75"/>
      <c r="DM150" s="75"/>
      <c r="DN150" s="75"/>
      <c r="DO150" s="75"/>
      <c r="DP150" s="81"/>
      <c r="DQ150" s="74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81"/>
      <c r="EC150" s="74"/>
      <c r="ED150" s="75"/>
      <c r="EE150" s="75"/>
      <c r="EF150" s="75"/>
      <c r="EG150" s="75"/>
      <c r="EH150" s="75"/>
      <c r="EI150" s="75"/>
      <c r="EJ150" s="75"/>
      <c r="EK150" s="75"/>
      <c r="EL150" s="75"/>
      <c r="EM150" s="75"/>
      <c r="EN150" s="81"/>
      <c r="EO150" s="74"/>
      <c r="EP150" s="75"/>
      <c r="EQ150" s="75"/>
      <c r="ER150" s="75"/>
      <c r="ES150" s="75"/>
      <c r="ET150" s="75"/>
      <c r="EU150" s="75"/>
      <c r="EV150" s="75"/>
      <c r="EW150" s="75"/>
      <c r="EX150" s="75"/>
      <c r="EY150" s="75"/>
      <c r="EZ150" s="81"/>
      <c r="FA150" s="74"/>
      <c r="FB150" s="75"/>
      <c r="FC150" s="75"/>
      <c r="FD150" s="75"/>
      <c r="FE150" s="75"/>
      <c r="FF150" s="75"/>
      <c r="FG150" s="75"/>
      <c r="FH150" s="75"/>
      <c r="FI150" s="75"/>
      <c r="FJ150" s="75"/>
      <c r="FK150" s="75"/>
      <c r="FL150" s="81"/>
      <c r="FM150" s="74"/>
      <c r="FN150" s="75"/>
      <c r="FO150" s="75"/>
      <c r="FP150" s="75"/>
      <c r="FQ150" s="75"/>
      <c r="FR150" s="75"/>
      <c r="FS150" s="75"/>
      <c r="FT150" s="75"/>
      <c r="FU150" s="75"/>
      <c r="FV150" s="75"/>
      <c r="FW150" s="75"/>
      <c r="FX150" s="81"/>
      <c r="FY150" s="74"/>
      <c r="FZ150" s="75"/>
      <c r="GA150" s="75"/>
      <c r="GB150" s="75"/>
      <c r="GC150" s="75"/>
      <c r="GD150" s="75"/>
      <c r="GE150" s="75"/>
      <c r="GF150" s="75"/>
      <c r="GG150" s="75"/>
      <c r="GH150" s="75"/>
      <c r="GI150" s="75"/>
      <c r="GJ150" s="81"/>
      <c r="GK150" s="74"/>
      <c r="GL150" s="75"/>
      <c r="GM150" s="75"/>
      <c r="GN150" s="75"/>
      <c r="GO150" s="75"/>
      <c r="GP150" s="75"/>
      <c r="GQ150" s="75"/>
      <c r="GR150" s="75"/>
      <c r="GS150" s="75"/>
      <c r="GT150" s="75"/>
      <c r="GU150" s="75"/>
      <c r="GV150" s="81"/>
      <c r="GW150" s="74"/>
      <c r="GX150" s="75"/>
      <c r="GY150" s="75"/>
      <c r="GZ150" s="75"/>
      <c r="HA150" s="75"/>
      <c r="HB150" s="75"/>
      <c r="HC150" s="75"/>
      <c r="HD150" s="75"/>
      <c r="HE150" s="75"/>
      <c r="HF150" s="75"/>
      <c r="HG150" s="75"/>
      <c r="HH150" s="81"/>
      <c r="HI150" s="75"/>
    </row>
    <row r="151" ht="15.0" customHeight="1">
      <c r="A151" s="74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81"/>
      <c r="M151" s="74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81"/>
      <c r="Y151" s="74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81"/>
      <c r="AK151" s="74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81"/>
      <c r="AW151" s="74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81"/>
      <c r="BI151" s="74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81"/>
      <c r="BU151" s="74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81"/>
      <c r="CG151" s="74"/>
      <c r="CH151" s="75"/>
      <c r="CI151" s="75"/>
      <c r="CJ151" s="75"/>
      <c r="CK151" s="75"/>
      <c r="CL151" s="75"/>
      <c r="CM151" s="75"/>
      <c r="CN151" s="75"/>
      <c r="CO151" s="75"/>
      <c r="CP151" s="75"/>
      <c r="CQ151" s="75"/>
      <c r="CR151" s="81"/>
      <c r="CS151" s="74"/>
      <c r="CT151" s="75"/>
      <c r="CU151" s="75"/>
      <c r="CV151" s="75"/>
      <c r="CW151" s="75"/>
      <c r="CX151" s="75"/>
      <c r="CY151" s="75"/>
      <c r="CZ151" s="75"/>
      <c r="DA151" s="75"/>
      <c r="DB151" s="75"/>
      <c r="DC151" s="75"/>
      <c r="DD151" s="81"/>
      <c r="DE151" s="74"/>
      <c r="DF151" s="75"/>
      <c r="DG151" s="75"/>
      <c r="DH151" s="75"/>
      <c r="DI151" s="75"/>
      <c r="DJ151" s="75"/>
      <c r="DK151" s="75"/>
      <c r="DL151" s="75"/>
      <c r="DM151" s="75"/>
      <c r="DN151" s="75"/>
      <c r="DO151" s="75"/>
      <c r="DP151" s="81"/>
      <c r="DQ151" s="74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81"/>
      <c r="EC151" s="74"/>
      <c r="ED151" s="75"/>
      <c r="EE151" s="75"/>
      <c r="EF151" s="75"/>
      <c r="EG151" s="75"/>
      <c r="EH151" s="75"/>
      <c r="EI151" s="75"/>
      <c r="EJ151" s="75"/>
      <c r="EK151" s="75"/>
      <c r="EL151" s="75"/>
      <c r="EM151" s="75"/>
      <c r="EN151" s="81"/>
      <c r="EO151" s="74"/>
      <c r="EP151" s="75"/>
      <c r="EQ151" s="75"/>
      <c r="ER151" s="75"/>
      <c r="ES151" s="75"/>
      <c r="ET151" s="75"/>
      <c r="EU151" s="75"/>
      <c r="EV151" s="75"/>
      <c r="EW151" s="75"/>
      <c r="EX151" s="75"/>
      <c r="EY151" s="75"/>
      <c r="EZ151" s="81"/>
      <c r="FA151" s="74"/>
      <c r="FB151" s="75"/>
      <c r="FC151" s="75"/>
      <c r="FD151" s="75"/>
      <c r="FE151" s="75"/>
      <c r="FF151" s="75"/>
      <c r="FG151" s="75"/>
      <c r="FH151" s="75"/>
      <c r="FI151" s="75"/>
      <c r="FJ151" s="75"/>
      <c r="FK151" s="75"/>
      <c r="FL151" s="81"/>
      <c r="FM151" s="74"/>
      <c r="FN151" s="75"/>
      <c r="FO151" s="75"/>
      <c r="FP151" s="75"/>
      <c r="FQ151" s="75"/>
      <c r="FR151" s="75"/>
      <c r="FS151" s="75"/>
      <c r="FT151" s="75"/>
      <c r="FU151" s="75"/>
      <c r="FV151" s="75"/>
      <c r="FW151" s="75"/>
      <c r="FX151" s="81"/>
      <c r="FY151" s="74"/>
      <c r="FZ151" s="75"/>
      <c r="GA151" s="75"/>
      <c r="GB151" s="75"/>
      <c r="GC151" s="75"/>
      <c r="GD151" s="75"/>
      <c r="GE151" s="75"/>
      <c r="GF151" s="75"/>
      <c r="GG151" s="75"/>
      <c r="GH151" s="75"/>
      <c r="GI151" s="75"/>
      <c r="GJ151" s="81"/>
      <c r="GK151" s="74"/>
      <c r="GL151" s="75"/>
      <c r="GM151" s="75"/>
      <c r="GN151" s="75"/>
      <c r="GO151" s="75"/>
      <c r="GP151" s="75"/>
      <c r="GQ151" s="75"/>
      <c r="GR151" s="75"/>
      <c r="GS151" s="75"/>
      <c r="GT151" s="75"/>
      <c r="GU151" s="75"/>
      <c r="GV151" s="81"/>
      <c r="GW151" s="74"/>
      <c r="GX151" s="75"/>
      <c r="GY151" s="75"/>
      <c r="GZ151" s="75"/>
      <c r="HA151" s="75"/>
      <c r="HB151" s="75"/>
      <c r="HC151" s="75"/>
      <c r="HD151" s="75"/>
      <c r="HE151" s="75"/>
      <c r="HF151" s="75"/>
      <c r="HG151" s="75"/>
      <c r="HH151" s="81"/>
      <c r="HI151" s="75"/>
    </row>
    <row r="152" ht="15.0" customHeight="1">
      <c r="A152" s="74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81"/>
      <c r="M152" s="74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81"/>
      <c r="Y152" s="74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81"/>
      <c r="AK152" s="74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81"/>
      <c r="AW152" s="74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81"/>
      <c r="BI152" s="74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81"/>
      <c r="BU152" s="74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81"/>
      <c r="CG152" s="74"/>
      <c r="CH152" s="75"/>
      <c r="CI152" s="75"/>
      <c r="CJ152" s="75"/>
      <c r="CK152" s="75"/>
      <c r="CL152" s="75"/>
      <c r="CM152" s="75"/>
      <c r="CN152" s="75"/>
      <c r="CO152" s="75"/>
      <c r="CP152" s="75"/>
      <c r="CQ152" s="75"/>
      <c r="CR152" s="81"/>
      <c r="CS152" s="74"/>
      <c r="CT152" s="75"/>
      <c r="CU152" s="75"/>
      <c r="CV152" s="75"/>
      <c r="CW152" s="75"/>
      <c r="CX152" s="75"/>
      <c r="CY152" s="75"/>
      <c r="CZ152" s="75"/>
      <c r="DA152" s="75"/>
      <c r="DB152" s="75"/>
      <c r="DC152" s="75"/>
      <c r="DD152" s="81"/>
      <c r="DE152" s="74"/>
      <c r="DF152" s="75"/>
      <c r="DG152" s="75"/>
      <c r="DH152" s="75"/>
      <c r="DI152" s="75"/>
      <c r="DJ152" s="75"/>
      <c r="DK152" s="75"/>
      <c r="DL152" s="75"/>
      <c r="DM152" s="75"/>
      <c r="DN152" s="75"/>
      <c r="DO152" s="75"/>
      <c r="DP152" s="81"/>
      <c r="DQ152" s="74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81"/>
      <c r="EC152" s="74"/>
      <c r="ED152" s="75"/>
      <c r="EE152" s="75"/>
      <c r="EF152" s="75"/>
      <c r="EG152" s="75"/>
      <c r="EH152" s="75"/>
      <c r="EI152" s="75"/>
      <c r="EJ152" s="75"/>
      <c r="EK152" s="75"/>
      <c r="EL152" s="75"/>
      <c r="EM152" s="75"/>
      <c r="EN152" s="81"/>
      <c r="EO152" s="74"/>
      <c r="EP152" s="75"/>
      <c r="EQ152" s="75"/>
      <c r="ER152" s="75"/>
      <c r="ES152" s="75"/>
      <c r="ET152" s="75"/>
      <c r="EU152" s="75"/>
      <c r="EV152" s="75"/>
      <c r="EW152" s="75"/>
      <c r="EX152" s="75"/>
      <c r="EY152" s="75"/>
      <c r="EZ152" s="81"/>
      <c r="FA152" s="74"/>
      <c r="FB152" s="75"/>
      <c r="FC152" s="75"/>
      <c r="FD152" s="75"/>
      <c r="FE152" s="75"/>
      <c r="FF152" s="75"/>
      <c r="FG152" s="75"/>
      <c r="FH152" s="75"/>
      <c r="FI152" s="75"/>
      <c r="FJ152" s="75"/>
      <c r="FK152" s="75"/>
      <c r="FL152" s="81"/>
      <c r="FM152" s="74"/>
      <c r="FN152" s="75"/>
      <c r="FO152" s="75"/>
      <c r="FP152" s="75"/>
      <c r="FQ152" s="75"/>
      <c r="FR152" s="75"/>
      <c r="FS152" s="75"/>
      <c r="FT152" s="75"/>
      <c r="FU152" s="75"/>
      <c r="FV152" s="75"/>
      <c r="FW152" s="75"/>
      <c r="FX152" s="81"/>
      <c r="FY152" s="74"/>
      <c r="FZ152" s="75"/>
      <c r="GA152" s="75"/>
      <c r="GB152" s="75"/>
      <c r="GC152" s="75"/>
      <c r="GD152" s="75"/>
      <c r="GE152" s="75"/>
      <c r="GF152" s="75"/>
      <c r="GG152" s="75"/>
      <c r="GH152" s="75"/>
      <c r="GI152" s="75"/>
      <c r="GJ152" s="81"/>
      <c r="GK152" s="74"/>
      <c r="GL152" s="75"/>
      <c r="GM152" s="75"/>
      <c r="GN152" s="75"/>
      <c r="GO152" s="75"/>
      <c r="GP152" s="75"/>
      <c r="GQ152" s="75"/>
      <c r="GR152" s="75"/>
      <c r="GS152" s="75"/>
      <c r="GT152" s="75"/>
      <c r="GU152" s="75"/>
      <c r="GV152" s="81"/>
      <c r="GW152" s="74"/>
      <c r="GX152" s="75"/>
      <c r="GY152" s="75"/>
      <c r="GZ152" s="75"/>
      <c r="HA152" s="75"/>
      <c r="HB152" s="75"/>
      <c r="HC152" s="75"/>
      <c r="HD152" s="75"/>
      <c r="HE152" s="75"/>
      <c r="HF152" s="75"/>
      <c r="HG152" s="75"/>
      <c r="HH152" s="81"/>
      <c r="HI152" s="75"/>
    </row>
    <row r="153" ht="15.0" customHeight="1">
      <c r="A153" s="74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81"/>
      <c r="M153" s="74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81"/>
      <c r="Y153" s="74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81"/>
      <c r="AK153" s="74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81"/>
      <c r="AW153" s="74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81"/>
      <c r="BI153" s="74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81"/>
      <c r="BU153" s="74"/>
      <c r="BV153" s="75"/>
      <c r="BW153" s="75"/>
      <c r="BX153" s="75"/>
      <c r="BY153" s="75"/>
      <c r="BZ153" s="75"/>
      <c r="CA153" s="75"/>
      <c r="CB153" s="75"/>
      <c r="CC153" s="75"/>
      <c r="CD153" s="75"/>
      <c r="CE153" s="75"/>
      <c r="CF153" s="81"/>
      <c r="CG153" s="74"/>
      <c r="CH153" s="75"/>
      <c r="CI153" s="75"/>
      <c r="CJ153" s="75"/>
      <c r="CK153" s="75"/>
      <c r="CL153" s="75"/>
      <c r="CM153" s="75"/>
      <c r="CN153" s="75"/>
      <c r="CO153" s="75"/>
      <c r="CP153" s="75"/>
      <c r="CQ153" s="75"/>
      <c r="CR153" s="81"/>
      <c r="CS153" s="74"/>
      <c r="CT153" s="75"/>
      <c r="CU153" s="75"/>
      <c r="CV153" s="75"/>
      <c r="CW153" s="75"/>
      <c r="CX153" s="75"/>
      <c r="CY153" s="75"/>
      <c r="CZ153" s="75"/>
      <c r="DA153" s="75"/>
      <c r="DB153" s="75"/>
      <c r="DC153" s="75"/>
      <c r="DD153" s="81"/>
      <c r="DE153" s="74"/>
      <c r="DF153" s="75"/>
      <c r="DG153" s="75"/>
      <c r="DH153" s="75"/>
      <c r="DI153" s="75"/>
      <c r="DJ153" s="75"/>
      <c r="DK153" s="75"/>
      <c r="DL153" s="75"/>
      <c r="DM153" s="75"/>
      <c r="DN153" s="75"/>
      <c r="DO153" s="75"/>
      <c r="DP153" s="81"/>
      <c r="DQ153" s="74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81"/>
      <c r="EC153" s="74"/>
      <c r="ED153" s="75"/>
      <c r="EE153" s="75"/>
      <c r="EF153" s="75"/>
      <c r="EG153" s="75"/>
      <c r="EH153" s="75"/>
      <c r="EI153" s="75"/>
      <c r="EJ153" s="75"/>
      <c r="EK153" s="75"/>
      <c r="EL153" s="75"/>
      <c r="EM153" s="75"/>
      <c r="EN153" s="81"/>
      <c r="EO153" s="74"/>
      <c r="EP153" s="75"/>
      <c r="EQ153" s="75"/>
      <c r="ER153" s="75"/>
      <c r="ES153" s="75"/>
      <c r="ET153" s="75"/>
      <c r="EU153" s="75"/>
      <c r="EV153" s="75"/>
      <c r="EW153" s="75"/>
      <c r="EX153" s="75"/>
      <c r="EY153" s="75"/>
      <c r="EZ153" s="81"/>
      <c r="FA153" s="74"/>
      <c r="FB153" s="75"/>
      <c r="FC153" s="75"/>
      <c r="FD153" s="75"/>
      <c r="FE153" s="75"/>
      <c r="FF153" s="75"/>
      <c r="FG153" s="75"/>
      <c r="FH153" s="75"/>
      <c r="FI153" s="75"/>
      <c r="FJ153" s="75"/>
      <c r="FK153" s="75"/>
      <c r="FL153" s="81"/>
      <c r="FM153" s="74"/>
      <c r="FN153" s="75"/>
      <c r="FO153" s="75"/>
      <c r="FP153" s="75"/>
      <c r="FQ153" s="75"/>
      <c r="FR153" s="75"/>
      <c r="FS153" s="75"/>
      <c r="FT153" s="75"/>
      <c r="FU153" s="75"/>
      <c r="FV153" s="75"/>
      <c r="FW153" s="75"/>
      <c r="FX153" s="81"/>
      <c r="FY153" s="74"/>
      <c r="FZ153" s="75"/>
      <c r="GA153" s="75"/>
      <c r="GB153" s="75"/>
      <c r="GC153" s="75"/>
      <c r="GD153" s="75"/>
      <c r="GE153" s="75"/>
      <c r="GF153" s="75"/>
      <c r="GG153" s="75"/>
      <c r="GH153" s="75"/>
      <c r="GI153" s="75"/>
      <c r="GJ153" s="81"/>
      <c r="GK153" s="74"/>
      <c r="GL153" s="75"/>
      <c r="GM153" s="75"/>
      <c r="GN153" s="75"/>
      <c r="GO153" s="75"/>
      <c r="GP153" s="75"/>
      <c r="GQ153" s="75"/>
      <c r="GR153" s="75"/>
      <c r="GS153" s="75"/>
      <c r="GT153" s="75"/>
      <c r="GU153" s="75"/>
      <c r="GV153" s="81"/>
      <c r="GW153" s="74"/>
      <c r="GX153" s="75"/>
      <c r="GY153" s="75"/>
      <c r="GZ153" s="75"/>
      <c r="HA153" s="75"/>
      <c r="HB153" s="75"/>
      <c r="HC153" s="75"/>
      <c r="HD153" s="75"/>
      <c r="HE153" s="75"/>
      <c r="HF153" s="75"/>
      <c r="HG153" s="75"/>
      <c r="HH153" s="81"/>
      <c r="HI153" s="75"/>
    </row>
    <row r="154" ht="15.0" customHeight="1">
      <c r="A154" s="74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81"/>
      <c r="M154" s="74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81"/>
      <c r="Y154" s="74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81"/>
      <c r="AK154" s="74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81"/>
      <c r="AW154" s="74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81"/>
      <c r="BI154" s="74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81"/>
      <c r="BU154" s="74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81"/>
      <c r="CG154" s="74"/>
      <c r="CH154" s="75"/>
      <c r="CI154" s="75"/>
      <c r="CJ154" s="75"/>
      <c r="CK154" s="75"/>
      <c r="CL154" s="75"/>
      <c r="CM154" s="75"/>
      <c r="CN154" s="75"/>
      <c r="CO154" s="75"/>
      <c r="CP154" s="75"/>
      <c r="CQ154" s="75"/>
      <c r="CR154" s="81"/>
      <c r="CS154" s="74"/>
      <c r="CT154" s="75"/>
      <c r="CU154" s="75"/>
      <c r="CV154" s="75"/>
      <c r="CW154" s="75"/>
      <c r="CX154" s="75"/>
      <c r="CY154" s="75"/>
      <c r="CZ154" s="75"/>
      <c r="DA154" s="75"/>
      <c r="DB154" s="75"/>
      <c r="DC154" s="75"/>
      <c r="DD154" s="81"/>
      <c r="DE154" s="74"/>
      <c r="DF154" s="75"/>
      <c r="DG154" s="75"/>
      <c r="DH154" s="75"/>
      <c r="DI154" s="75"/>
      <c r="DJ154" s="75"/>
      <c r="DK154" s="75"/>
      <c r="DL154" s="75"/>
      <c r="DM154" s="75"/>
      <c r="DN154" s="75"/>
      <c r="DO154" s="75"/>
      <c r="DP154" s="81"/>
      <c r="DQ154" s="74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81"/>
      <c r="EC154" s="74"/>
      <c r="ED154" s="75"/>
      <c r="EE154" s="75"/>
      <c r="EF154" s="75"/>
      <c r="EG154" s="75"/>
      <c r="EH154" s="75"/>
      <c r="EI154" s="75"/>
      <c r="EJ154" s="75"/>
      <c r="EK154" s="75"/>
      <c r="EL154" s="75"/>
      <c r="EM154" s="75"/>
      <c r="EN154" s="81"/>
      <c r="EO154" s="74"/>
      <c r="EP154" s="75"/>
      <c r="EQ154" s="75"/>
      <c r="ER154" s="75"/>
      <c r="ES154" s="75"/>
      <c r="ET154" s="75"/>
      <c r="EU154" s="75"/>
      <c r="EV154" s="75"/>
      <c r="EW154" s="75"/>
      <c r="EX154" s="75"/>
      <c r="EY154" s="75"/>
      <c r="EZ154" s="81"/>
      <c r="FA154" s="74"/>
      <c r="FB154" s="75"/>
      <c r="FC154" s="75"/>
      <c r="FD154" s="75"/>
      <c r="FE154" s="75"/>
      <c r="FF154" s="75"/>
      <c r="FG154" s="75"/>
      <c r="FH154" s="75"/>
      <c r="FI154" s="75"/>
      <c r="FJ154" s="75"/>
      <c r="FK154" s="75"/>
      <c r="FL154" s="81"/>
      <c r="FM154" s="74"/>
      <c r="FN154" s="75"/>
      <c r="FO154" s="75"/>
      <c r="FP154" s="75"/>
      <c r="FQ154" s="75"/>
      <c r="FR154" s="75"/>
      <c r="FS154" s="75"/>
      <c r="FT154" s="75"/>
      <c r="FU154" s="75"/>
      <c r="FV154" s="75"/>
      <c r="FW154" s="75"/>
      <c r="FX154" s="81"/>
      <c r="FY154" s="74"/>
      <c r="FZ154" s="75"/>
      <c r="GA154" s="75"/>
      <c r="GB154" s="75"/>
      <c r="GC154" s="75"/>
      <c r="GD154" s="75"/>
      <c r="GE154" s="75"/>
      <c r="GF154" s="75"/>
      <c r="GG154" s="75"/>
      <c r="GH154" s="75"/>
      <c r="GI154" s="75"/>
      <c r="GJ154" s="81"/>
      <c r="GK154" s="74"/>
      <c r="GL154" s="75"/>
      <c r="GM154" s="75"/>
      <c r="GN154" s="75"/>
      <c r="GO154" s="75"/>
      <c r="GP154" s="75"/>
      <c r="GQ154" s="75"/>
      <c r="GR154" s="75"/>
      <c r="GS154" s="75"/>
      <c r="GT154" s="75"/>
      <c r="GU154" s="75"/>
      <c r="GV154" s="81"/>
      <c r="GW154" s="74"/>
      <c r="GX154" s="75"/>
      <c r="GY154" s="75"/>
      <c r="GZ154" s="75"/>
      <c r="HA154" s="75"/>
      <c r="HB154" s="75"/>
      <c r="HC154" s="75"/>
      <c r="HD154" s="75"/>
      <c r="HE154" s="75"/>
      <c r="HF154" s="75"/>
      <c r="HG154" s="75"/>
      <c r="HH154" s="81"/>
      <c r="HI154" s="75"/>
    </row>
    <row r="155" ht="15.0" customHeight="1">
      <c r="A155" s="74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81"/>
      <c r="M155" s="74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81"/>
      <c r="Y155" s="74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81"/>
      <c r="AK155" s="74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81"/>
      <c r="AW155" s="74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81"/>
      <c r="BI155" s="74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81"/>
      <c r="BU155" s="74"/>
      <c r="BV155" s="75"/>
      <c r="BW155" s="75"/>
      <c r="BX155" s="75"/>
      <c r="BY155" s="75"/>
      <c r="BZ155" s="75"/>
      <c r="CA155" s="75"/>
      <c r="CB155" s="75"/>
      <c r="CC155" s="75"/>
      <c r="CD155" s="75"/>
      <c r="CE155" s="75"/>
      <c r="CF155" s="81"/>
      <c r="CG155" s="74"/>
      <c r="CH155" s="75"/>
      <c r="CI155" s="75"/>
      <c r="CJ155" s="75"/>
      <c r="CK155" s="75"/>
      <c r="CL155" s="75"/>
      <c r="CM155" s="75"/>
      <c r="CN155" s="75"/>
      <c r="CO155" s="75"/>
      <c r="CP155" s="75"/>
      <c r="CQ155" s="75"/>
      <c r="CR155" s="81"/>
      <c r="CS155" s="74"/>
      <c r="CT155" s="75"/>
      <c r="CU155" s="75"/>
      <c r="CV155" s="75"/>
      <c r="CW155" s="75"/>
      <c r="CX155" s="75"/>
      <c r="CY155" s="75"/>
      <c r="CZ155" s="75"/>
      <c r="DA155" s="75"/>
      <c r="DB155" s="75"/>
      <c r="DC155" s="75"/>
      <c r="DD155" s="81"/>
      <c r="DE155" s="74"/>
      <c r="DF155" s="75"/>
      <c r="DG155" s="75"/>
      <c r="DH155" s="75"/>
      <c r="DI155" s="75"/>
      <c r="DJ155" s="75"/>
      <c r="DK155" s="75"/>
      <c r="DL155" s="75"/>
      <c r="DM155" s="75"/>
      <c r="DN155" s="75"/>
      <c r="DO155" s="75"/>
      <c r="DP155" s="81"/>
      <c r="DQ155" s="74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81"/>
      <c r="EC155" s="74"/>
      <c r="ED155" s="75"/>
      <c r="EE155" s="75"/>
      <c r="EF155" s="75"/>
      <c r="EG155" s="75"/>
      <c r="EH155" s="75"/>
      <c r="EI155" s="75"/>
      <c r="EJ155" s="75"/>
      <c r="EK155" s="75"/>
      <c r="EL155" s="75"/>
      <c r="EM155" s="75"/>
      <c r="EN155" s="81"/>
      <c r="EO155" s="74"/>
      <c r="EP155" s="75"/>
      <c r="EQ155" s="75"/>
      <c r="ER155" s="75"/>
      <c r="ES155" s="75"/>
      <c r="ET155" s="75"/>
      <c r="EU155" s="75"/>
      <c r="EV155" s="75"/>
      <c r="EW155" s="75"/>
      <c r="EX155" s="75"/>
      <c r="EY155" s="75"/>
      <c r="EZ155" s="81"/>
      <c r="FA155" s="74"/>
      <c r="FB155" s="75"/>
      <c r="FC155" s="75"/>
      <c r="FD155" s="75"/>
      <c r="FE155" s="75"/>
      <c r="FF155" s="75"/>
      <c r="FG155" s="75"/>
      <c r="FH155" s="75"/>
      <c r="FI155" s="75"/>
      <c r="FJ155" s="75"/>
      <c r="FK155" s="75"/>
      <c r="FL155" s="81"/>
      <c r="FM155" s="74"/>
      <c r="FN155" s="75"/>
      <c r="FO155" s="75"/>
      <c r="FP155" s="75"/>
      <c r="FQ155" s="75"/>
      <c r="FR155" s="75"/>
      <c r="FS155" s="75"/>
      <c r="FT155" s="75"/>
      <c r="FU155" s="75"/>
      <c r="FV155" s="75"/>
      <c r="FW155" s="75"/>
      <c r="FX155" s="81"/>
      <c r="FY155" s="74"/>
      <c r="FZ155" s="75"/>
      <c r="GA155" s="75"/>
      <c r="GB155" s="75"/>
      <c r="GC155" s="75"/>
      <c r="GD155" s="75"/>
      <c r="GE155" s="75"/>
      <c r="GF155" s="75"/>
      <c r="GG155" s="75"/>
      <c r="GH155" s="75"/>
      <c r="GI155" s="75"/>
      <c r="GJ155" s="81"/>
      <c r="GK155" s="74"/>
      <c r="GL155" s="75"/>
      <c r="GM155" s="75"/>
      <c r="GN155" s="75"/>
      <c r="GO155" s="75"/>
      <c r="GP155" s="75"/>
      <c r="GQ155" s="75"/>
      <c r="GR155" s="75"/>
      <c r="GS155" s="75"/>
      <c r="GT155" s="75"/>
      <c r="GU155" s="75"/>
      <c r="GV155" s="81"/>
      <c r="GW155" s="74"/>
      <c r="GX155" s="75"/>
      <c r="GY155" s="75"/>
      <c r="GZ155" s="75"/>
      <c r="HA155" s="75"/>
      <c r="HB155" s="75"/>
      <c r="HC155" s="75"/>
      <c r="HD155" s="75"/>
      <c r="HE155" s="75"/>
      <c r="HF155" s="75"/>
      <c r="HG155" s="75"/>
      <c r="HH155" s="81"/>
      <c r="HI155" s="75"/>
    </row>
    <row r="156" ht="15.0" customHeight="1">
      <c r="A156" s="74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81"/>
      <c r="M156" s="74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81"/>
      <c r="Y156" s="74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81"/>
      <c r="AK156" s="74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81"/>
      <c r="AW156" s="74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81"/>
      <c r="BI156" s="74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81"/>
      <c r="BU156" s="74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81"/>
      <c r="CG156" s="74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81"/>
      <c r="CS156" s="74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81"/>
      <c r="DE156" s="74"/>
      <c r="DF156" s="75"/>
      <c r="DG156" s="75"/>
      <c r="DH156" s="75"/>
      <c r="DI156" s="75"/>
      <c r="DJ156" s="75"/>
      <c r="DK156" s="75"/>
      <c r="DL156" s="75"/>
      <c r="DM156" s="75"/>
      <c r="DN156" s="75"/>
      <c r="DO156" s="75"/>
      <c r="DP156" s="81"/>
      <c r="DQ156" s="74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81"/>
      <c r="EC156" s="74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81"/>
      <c r="EO156" s="74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81"/>
      <c r="FA156" s="74"/>
      <c r="FB156" s="75"/>
      <c r="FC156" s="75"/>
      <c r="FD156" s="75"/>
      <c r="FE156" s="75"/>
      <c r="FF156" s="75"/>
      <c r="FG156" s="75"/>
      <c r="FH156" s="75"/>
      <c r="FI156" s="75"/>
      <c r="FJ156" s="75"/>
      <c r="FK156" s="75"/>
      <c r="FL156" s="81"/>
      <c r="FM156" s="74"/>
      <c r="FN156" s="75"/>
      <c r="FO156" s="75"/>
      <c r="FP156" s="75"/>
      <c r="FQ156" s="75"/>
      <c r="FR156" s="75"/>
      <c r="FS156" s="75"/>
      <c r="FT156" s="75"/>
      <c r="FU156" s="75"/>
      <c r="FV156" s="75"/>
      <c r="FW156" s="75"/>
      <c r="FX156" s="81"/>
      <c r="FY156" s="74"/>
      <c r="FZ156" s="75"/>
      <c r="GA156" s="75"/>
      <c r="GB156" s="75"/>
      <c r="GC156" s="75"/>
      <c r="GD156" s="75"/>
      <c r="GE156" s="75"/>
      <c r="GF156" s="75"/>
      <c r="GG156" s="75"/>
      <c r="GH156" s="75"/>
      <c r="GI156" s="75"/>
      <c r="GJ156" s="81"/>
      <c r="GK156" s="74"/>
      <c r="GL156" s="75"/>
      <c r="GM156" s="75"/>
      <c r="GN156" s="75"/>
      <c r="GO156" s="75"/>
      <c r="GP156" s="75"/>
      <c r="GQ156" s="75"/>
      <c r="GR156" s="75"/>
      <c r="GS156" s="75"/>
      <c r="GT156" s="75"/>
      <c r="GU156" s="75"/>
      <c r="GV156" s="81"/>
      <c r="GW156" s="74"/>
      <c r="GX156" s="75"/>
      <c r="GY156" s="75"/>
      <c r="GZ156" s="75"/>
      <c r="HA156" s="75"/>
      <c r="HB156" s="75"/>
      <c r="HC156" s="75"/>
      <c r="HD156" s="75"/>
      <c r="HE156" s="75"/>
      <c r="HF156" s="75"/>
      <c r="HG156" s="75"/>
      <c r="HH156" s="81"/>
      <c r="HI156" s="75"/>
    </row>
    <row r="157" ht="15.0" customHeight="1">
      <c r="A157" s="74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81"/>
      <c r="M157" s="74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81"/>
      <c r="Y157" s="74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81"/>
      <c r="AK157" s="74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81"/>
      <c r="AW157" s="74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81"/>
      <c r="BI157" s="74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81"/>
      <c r="BU157" s="74"/>
      <c r="BV157" s="75"/>
      <c r="BW157" s="75"/>
      <c r="BX157" s="75"/>
      <c r="BY157" s="75"/>
      <c r="BZ157" s="75"/>
      <c r="CA157" s="75"/>
      <c r="CB157" s="75"/>
      <c r="CC157" s="75"/>
      <c r="CD157" s="75"/>
      <c r="CE157" s="75"/>
      <c r="CF157" s="81"/>
      <c r="CG157" s="74"/>
      <c r="CH157" s="75"/>
      <c r="CI157" s="75"/>
      <c r="CJ157" s="75"/>
      <c r="CK157" s="75"/>
      <c r="CL157" s="75"/>
      <c r="CM157" s="75"/>
      <c r="CN157" s="75"/>
      <c r="CO157" s="75"/>
      <c r="CP157" s="75"/>
      <c r="CQ157" s="75"/>
      <c r="CR157" s="81"/>
      <c r="CS157" s="74"/>
      <c r="CT157" s="75"/>
      <c r="CU157" s="75"/>
      <c r="CV157" s="75"/>
      <c r="CW157" s="75"/>
      <c r="CX157" s="75"/>
      <c r="CY157" s="75"/>
      <c r="CZ157" s="75"/>
      <c r="DA157" s="75"/>
      <c r="DB157" s="75"/>
      <c r="DC157" s="75"/>
      <c r="DD157" s="81"/>
      <c r="DE157" s="74"/>
      <c r="DF157" s="75"/>
      <c r="DG157" s="75"/>
      <c r="DH157" s="75"/>
      <c r="DI157" s="75"/>
      <c r="DJ157" s="75"/>
      <c r="DK157" s="75"/>
      <c r="DL157" s="75"/>
      <c r="DM157" s="75"/>
      <c r="DN157" s="75"/>
      <c r="DO157" s="75"/>
      <c r="DP157" s="81"/>
      <c r="DQ157" s="74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81"/>
      <c r="EC157" s="74"/>
      <c r="ED157" s="75"/>
      <c r="EE157" s="75"/>
      <c r="EF157" s="75"/>
      <c r="EG157" s="75"/>
      <c r="EH157" s="75"/>
      <c r="EI157" s="75"/>
      <c r="EJ157" s="75"/>
      <c r="EK157" s="75"/>
      <c r="EL157" s="75"/>
      <c r="EM157" s="75"/>
      <c r="EN157" s="81"/>
      <c r="EO157" s="74"/>
      <c r="EP157" s="75"/>
      <c r="EQ157" s="75"/>
      <c r="ER157" s="75"/>
      <c r="ES157" s="75"/>
      <c r="ET157" s="75"/>
      <c r="EU157" s="75"/>
      <c r="EV157" s="75"/>
      <c r="EW157" s="75"/>
      <c r="EX157" s="75"/>
      <c r="EY157" s="75"/>
      <c r="EZ157" s="81"/>
      <c r="FA157" s="74"/>
      <c r="FB157" s="75"/>
      <c r="FC157" s="75"/>
      <c r="FD157" s="75"/>
      <c r="FE157" s="75"/>
      <c r="FF157" s="75"/>
      <c r="FG157" s="75"/>
      <c r="FH157" s="75"/>
      <c r="FI157" s="75"/>
      <c r="FJ157" s="75"/>
      <c r="FK157" s="75"/>
      <c r="FL157" s="81"/>
      <c r="FM157" s="74"/>
      <c r="FN157" s="75"/>
      <c r="FO157" s="75"/>
      <c r="FP157" s="75"/>
      <c r="FQ157" s="75"/>
      <c r="FR157" s="75"/>
      <c r="FS157" s="75"/>
      <c r="FT157" s="75"/>
      <c r="FU157" s="75"/>
      <c r="FV157" s="75"/>
      <c r="FW157" s="75"/>
      <c r="FX157" s="81"/>
      <c r="FY157" s="74"/>
      <c r="FZ157" s="75"/>
      <c r="GA157" s="75"/>
      <c r="GB157" s="75"/>
      <c r="GC157" s="75"/>
      <c r="GD157" s="75"/>
      <c r="GE157" s="75"/>
      <c r="GF157" s="75"/>
      <c r="GG157" s="75"/>
      <c r="GH157" s="75"/>
      <c r="GI157" s="75"/>
      <c r="GJ157" s="81"/>
      <c r="GK157" s="74"/>
      <c r="GL157" s="75"/>
      <c r="GM157" s="75"/>
      <c r="GN157" s="75"/>
      <c r="GO157" s="75"/>
      <c r="GP157" s="75"/>
      <c r="GQ157" s="75"/>
      <c r="GR157" s="75"/>
      <c r="GS157" s="75"/>
      <c r="GT157" s="75"/>
      <c r="GU157" s="75"/>
      <c r="GV157" s="81"/>
      <c r="GW157" s="74"/>
      <c r="GX157" s="75"/>
      <c r="GY157" s="75"/>
      <c r="GZ157" s="75"/>
      <c r="HA157" s="75"/>
      <c r="HB157" s="75"/>
      <c r="HC157" s="75"/>
      <c r="HD157" s="75"/>
      <c r="HE157" s="75"/>
      <c r="HF157" s="75"/>
      <c r="HG157" s="75"/>
      <c r="HH157" s="81"/>
      <c r="HI157" s="75"/>
    </row>
    <row r="158" ht="15.0" customHeight="1">
      <c r="A158" s="74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81"/>
      <c r="M158" s="74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81"/>
      <c r="Y158" s="74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81"/>
      <c r="AK158" s="74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81"/>
      <c r="AW158" s="74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81"/>
      <c r="BI158" s="74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81"/>
      <c r="BU158" s="74"/>
      <c r="BV158" s="75"/>
      <c r="BW158" s="75"/>
      <c r="BX158" s="75"/>
      <c r="BY158" s="75"/>
      <c r="BZ158" s="75"/>
      <c r="CA158" s="75"/>
      <c r="CB158" s="75"/>
      <c r="CC158" s="75"/>
      <c r="CD158" s="75"/>
      <c r="CE158" s="75"/>
      <c r="CF158" s="81"/>
      <c r="CG158" s="74"/>
      <c r="CH158" s="75"/>
      <c r="CI158" s="75"/>
      <c r="CJ158" s="75"/>
      <c r="CK158" s="75"/>
      <c r="CL158" s="75"/>
      <c r="CM158" s="75"/>
      <c r="CN158" s="75"/>
      <c r="CO158" s="75"/>
      <c r="CP158" s="75"/>
      <c r="CQ158" s="75"/>
      <c r="CR158" s="81"/>
      <c r="CS158" s="74"/>
      <c r="CT158" s="75"/>
      <c r="CU158" s="75"/>
      <c r="CV158" s="75"/>
      <c r="CW158" s="75"/>
      <c r="CX158" s="75"/>
      <c r="CY158" s="75"/>
      <c r="CZ158" s="75"/>
      <c r="DA158" s="75"/>
      <c r="DB158" s="75"/>
      <c r="DC158" s="75"/>
      <c r="DD158" s="81"/>
      <c r="DE158" s="74"/>
      <c r="DF158" s="75"/>
      <c r="DG158" s="75"/>
      <c r="DH158" s="75"/>
      <c r="DI158" s="75"/>
      <c r="DJ158" s="75"/>
      <c r="DK158" s="75"/>
      <c r="DL158" s="75"/>
      <c r="DM158" s="75"/>
      <c r="DN158" s="75"/>
      <c r="DO158" s="75"/>
      <c r="DP158" s="81"/>
      <c r="DQ158" s="74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81"/>
      <c r="EC158" s="74"/>
      <c r="ED158" s="75"/>
      <c r="EE158" s="75"/>
      <c r="EF158" s="75"/>
      <c r="EG158" s="75"/>
      <c r="EH158" s="75"/>
      <c r="EI158" s="75"/>
      <c r="EJ158" s="75"/>
      <c r="EK158" s="75"/>
      <c r="EL158" s="75"/>
      <c r="EM158" s="75"/>
      <c r="EN158" s="81"/>
      <c r="EO158" s="74"/>
      <c r="EP158" s="75"/>
      <c r="EQ158" s="75"/>
      <c r="ER158" s="75"/>
      <c r="ES158" s="75"/>
      <c r="ET158" s="75"/>
      <c r="EU158" s="75"/>
      <c r="EV158" s="75"/>
      <c r="EW158" s="75"/>
      <c r="EX158" s="75"/>
      <c r="EY158" s="75"/>
      <c r="EZ158" s="81"/>
      <c r="FA158" s="74"/>
      <c r="FB158" s="75"/>
      <c r="FC158" s="75"/>
      <c r="FD158" s="75"/>
      <c r="FE158" s="75"/>
      <c r="FF158" s="75"/>
      <c r="FG158" s="75"/>
      <c r="FH158" s="75"/>
      <c r="FI158" s="75"/>
      <c r="FJ158" s="75"/>
      <c r="FK158" s="75"/>
      <c r="FL158" s="81"/>
      <c r="FM158" s="74"/>
      <c r="FN158" s="75"/>
      <c r="FO158" s="75"/>
      <c r="FP158" s="75"/>
      <c r="FQ158" s="75"/>
      <c r="FR158" s="75"/>
      <c r="FS158" s="75"/>
      <c r="FT158" s="75"/>
      <c r="FU158" s="75"/>
      <c r="FV158" s="75"/>
      <c r="FW158" s="75"/>
      <c r="FX158" s="81"/>
      <c r="FY158" s="74"/>
      <c r="FZ158" s="75"/>
      <c r="GA158" s="75"/>
      <c r="GB158" s="75"/>
      <c r="GC158" s="75"/>
      <c r="GD158" s="75"/>
      <c r="GE158" s="75"/>
      <c r="GF158" s="75"/>
      <c r="GG158" s="75"/>
      <c r="GH158" s="75"/>
      <c r="GI158" s="75"/>
      <c r="GJ158" s="81"/>
      <c r="GK158" s="74"/>
      <c r="GL158" s="75"/>
      <c r="GM158" s="75"/>
      <c r="GN158" s="75"/>
      <c r="GO158" s="75"/>
      <c r="GP158" s="75"/>
      <c r="GQ158" s="75"/>
      <c r="GR158" s="75"/>
      <c r="GS158" s="75"/>
      <c r="GT158" s="75"/>
      <c r="GU158" s="75"/>
      <c r="GV158" s="81"/>
      <c r="GW158" s="74"/>
      <c r="GX158" s="75"/>
      <c r="GY158" s="75"/>
      <c r="GZ158" s="75"/>
      <c r="HA158" s="75"/>
      <c r="HB158" s="75"/>
      <c r="HC158" s="75"/>
      <c r="HD158" s="75"/>
      <c r="HE158" s="75"/>
      <c r="HF158" s="75"/>
      <c r="HG158" s="75"/>
      <c r="HH158" s="81"/>
      <c r="HI158" s="75"/>
    </row>
    <row r="159" ht="15.0" customHeight="1">
      <c r="A159" s="74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81"/>
      <c r="M159" s="74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81"/>
      <c r="Y159" s="74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81"/>
      <c r="AK159" s="74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81"/>
      <c r="AW159" s="74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81"/>
      <c r="BI159" s="74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81"/>
      <c r="BU159" s="74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81"/>
      <c r="CG159" s="74"/>
      <c r="CH159" s="75"/>
      <c r="CI159" s="75"/>
      <c r="CJ159" s="75"/>
      <c r="CK159" s="75"/>
      <c r="CL159" s="75"/>
      <c r="CM159" s="75"/>
      <c r="CN159" s="75"/>
      <c r="CO159" s="75"/>
      <c r="CP159" s="75"/>
      <c r="CQ159" s="75"/>
      <c r="CR159" s="81"/>
      <c r="CS159" s="74"/>
      <c r="CT159" s="75"/>
      <c r="CU159" s="75"/>
      <c r="CV159" s="75"/>
      <c r="CW159" s="75"/>
      <c r="CX159" s="75"/>
      <c r="CY159" s="75"/>
      <c r="CZ159" s="75"/>
      <c r="DA159" s="75"/>
      <c r="DB159" s="75"/>
      <c r="DC159" s="75"/>
      <c r="DD159" s="81"/>
      <c r="DE159" s="74"/>
      <c r="DF159" s="75"/>
      <c r="DG159" s="75"/>
      <c r="DH159" s="75"/>
      <c r="DI159" s="75"/>
      <c r="DJ159" s="75"/>
      <c r="DK159" s="75"/>
      <c r="DL159" s="75"/>
      <c r="DM159" s="75"/>
      <c r="DN159" s="75"/>
      <c r="DO159" s="75"/>
      <c r="DP159" s="81"/>
      <c r="DQ159" s="74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81"/>
      <c r="EC159" s="74"/>
      <c r="ED159" s="75"/>
      <c r="EE159" s="75"/>
      <c r="EF159" s="75"/>
      <c r="EG159" s="75"/>
      <c r="EH159" s="75"/>
      <c r="EI159" s="75"/>
      <c r="EJ159" s="75"/>
      <c r="EK159" s="75"/>
      <c r="EL159" s="75"/>
      <c r="EM159" s="75"/>
      <c r="EN159" s="81"/>
      <c r="EO159" s="74"/>
      <c r="EP159" s="75"/>
      <c r="EQ159" s="75"/>
      <c r="ER159" s="75"/>
      <c r="ES159" s="75"/>
      <c r="ET159" s="75"/>
      <c r="EU159" s="75"/>
      <c r="EV159" s="75"/>
      <c r="EW159" s="75"/>
      <c r="EX159" s="75"/>
      <c r="EY159" s="75"/>
      <c r="EZ159" s="81"/>
      <c r="FA159" s="74"/>
      <c r="FB159" s="75"/>
      <c r="FC159" s="75"/>
      <c r="FD159" s="75"/>
      <c r="FE159" s="75"/>
      <c r="FF159" s="75"/>
      <c r="FG159" s="75"/>
      <c r="FH159" s="75"/>
      <c r="FI159" s="75"/>
      <c r="FJ159" s="75"/>
      <c r="FK159" s="75"/>
      <c r="FL159" s="81"/>
      <c r="FM159" s="74"/>
      <c r="FN159" s="75"/>
      <c r="FO159" s="75"/>
      <c r="FP159" s="75"/>
      <c r="FQ159" s="75"/>
      <c r="FR159" s="75"/>
      <c r="FS159" s="75"/>
      <c r="FT159" s="75"/>
      <c r="FU159" s="75"/>
      <c r="FV159" s="75"/>
      <c r="FW159" s="75"/>
      <c r="FX159" s="81"/>
      <c r="FY159" s="74"/>
      <c r="FZ159" s="75"/>
      <c r="GA159" s="75"/>
      <c r="GB159" s="75"/>
      <c r="GC159" s="75"/>
      <c r="GD159" s="75"/>
      <c r="GE159" s="75"/>
      <c r="GF159" s="75"/>
      <c r="GG159" s="75"/>
      <c r="GH159" s="75"/>
      <c r="GI159" s="75"/>
      <c r="GJ159" s="81"/>
      <c r="GK159" s="74"/>
      <c r="GL159" s="75"/>
      <c r="GM159" s="75"/>
      <c r="GN159" s="75"/>
      <c r="GO159" s="75"/>
      <c r="GP159" s="75"/>
      <c r="GQ159" s="75"/>
      <c r="GR159" s="75"/>
      <c r="GS159" s="75"/>
      <c r="GT159" s="75"/>
      <c r="GU159" s="75"/>
      <c r="GV159" s="81"/>
      <c r="GW159" s="74"/>
      <c r="GX159" s="75"/>
      <c r="GY159" s="75"/>
      <c r="GZ159" s="75"/>
      <c r="HA159" s="75"/>
      <c r="HB159" s="75"/>
      <c r="HC159" s="75"/>
      <c r="HD159" s="75"/>
      <c r="HE159" s="75"/>
      <c r="HF159" s="75"/>
      <c r="HG159" s="75"/>
      <c r="HH159" s="81"/>
      <c r="HI159" s="75"/>
    </row>
    <row r="160" ht="15.0" customHeight="1">
      <c r="A160" s="74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81"/>
      <c r="M160" s="74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81"/>
      <c r="Y160" s="74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81"/>
      <c r="AK160" s="74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81"/>
      <c r="AW160" s="74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81"/>
      <c r="BI160" s="74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81"/>
      <c r="BU160" s="74"/>
      <c r="BV160" s="75"/>
      <c r="BW160" s="75"/>
      <c r="BX160" s="75"/>
      <c r="BY160" s="75"/>
      <c r="BZ160" s="75"/>
      <c r="CA160" s="75"/>
      <c r="CB160" s="75"/>
      <c r="CC160" s="75"/>
      <c r="CD160" s="75"/>
      <c r="CE160" s="75"/>
      <c r="CF160" s="81"/>
      <c r="CG160" s="74"/>
      <c r="CH160" s="75"/>
      <c r="CI160" s="75"/>
      <c r="CJ160" s="75"/>
      <c r="CK160" s="75"/>
      <c r="CL160" s="75"/>
      <c r="CM160" s="75"/>
      <c r="CN160" s="75"/>
      <c r="CO160" s="75"/>
      <c r="CP160" s="75"/>
      <c r="CQ160" s="75"/>
      <c r="CR160" s="81"/>
      <c r="CS160" s="74"/>
      <c r="CT160" s="75"/>
      <c r="CU160" s="75"/>
      <c r="CV160" s="75"/>
      <c r="CW160" s="75"/>
      <c r="CX160" s="75"/>
      <c r="CY160" s="75"/>
      <c r="CZ160" s="75"/>
      <c r="DA160" s="75"/>
      <c r="DB160" s="75"/>
      <c r="DC160" s="75"/>
      <c r="DD160" s="81"/>
      <c r="DE160" s="74"/>
      <c r="DF160" s="75"/>
      <c r="DG160" s="75"/>
      <c r="DH160" s="75"/>
      <c r="DI160" s="75"/>
      <c r="DJ160" s="75"/>
      <c r="DK160" s="75"/>
      <c r="DL160" s="75"/>
      <c r="DM160" s="75"/>
      <c r="DN160" s="75"/>
      <c r="DO160" s="75"/>
      <c r="DP160" s="81"/>
      <c r="DQ160" s="74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81"/>
      <c r="EC160" s="74"/>
      <c r="ED160" s="75"/>
      <c r="EE160" s="75"/>
      <c r="EF160" s="75"/>
      <c r="EG160" s="75"/>
      <c r="EH160" s="75"/>
      <c r="EI160" s="75"/>
      <c r="EJ160" s="75"/>
      <c r="EK160" s="75"/>
      <c r="EL160" s="75"/>
      <c r="EM160" s="75"/>
      <c r="EN160" s="81"/>
      <c r="EO160" s="74"/>
      <c r="EP160" s="75"/>
      <c r="EQ160" s="75"/>
      <c r="ER160" s="75"/>
      <c r="ES160" s="75"/>
      <c r="ET160" s="75"/>
      <c r="EU160" s="75"/>
      <c r="EV160" s="75"/>
      <c r="EW160" s="75"/>
      <c r="EX160" s="75"/>
      <c r="EY160" s="75"/>
      <c r="EZ160" s="81"/>
      <c r="FA160" s="74"/>
      <c r="FB160" s="75"/>
      <c r="FC160" s="75"/>
      <c r="FD160" s="75"/>
      <c r="FE160" s="75"/>
      <c r="FF160" s="75"/>
      <c r="FG160" s="75"/>
      <c r="FH160" s="75"/>
      <c r="FI160" s="75"/>
      <c r="FJ160" s="75"/>
      <c r="FK160" s="75"/>
      <c r="FL160" s="81"/>
      <c r="FM160" s="74"/>
      <c r="FN160" s="75"/>
      <c r="FO160" s="75"/>
      <c r="FP160" s="75"/>
      <c r="FQ160" s="75"/>
      <c r="FR160" s="75"/>
      <c r="FS160" s="75"/>
      <c r="FT160" s="75"/>
      <c r="FU160" s="75"/>
      <c r="FV160" s="75"/>
      <c r="FW160" s="75"/>
      <c r="FX160" s="81"/>
      <c r="FY160" s="74"/>
      <c r="FZ160" s="75"/>
      <c r="GA160" s="75"/>
      <c r="GB160" s="75"/>
      <c r="GC160" s="75"/>
      <c r="GD160" s="75"/>
      <c r="GE160" s="75"/>
      <c r="GF160" s="75"/>
      <c r="GG160" s="75"/>
      <c r="GH160" s="75"/>
      <c r="GI160" s="75"/>
      <c r="GJ160" s="81"/>
      <c r="GK160" s="74"/>
      <c r="GL160" s="75"/>
      <c r="GM160" s="75"/>
      <c r="GN160" s="75"/>
      <c r="GO160" s="75"/>
      <c r="GP160" s="75"/>
      <c r="GQ160" s="75"/>
      <c r="GR160" s="75"/>
      <c r="GS160" s="75"/>
      <c r="GT160" s="75"/>
      <c r="GU160" s="75"/>
      <c r="GV160" s="81"/>
      <c r="GW160" s="74"/>
      <c r="GX160" s="75"/>
      <c r="GY160" s="75"/>
      <c r="GZ160" s="75"/>
      <c r="HA160" s="75"/>
      <c r="HB160" s="75"/>
      <c r="HC160" s="75"/>
      <c r="HD160" s="75"/>
      <c r="HE160" s="75"/>
      <c r="HF160" s="75"/>
      <c r="HG160" s="75"/>
      <c r="HH160" s="81"/>
      <c r="HI160" s="75"/>
    </row>
    <row r="161" ht="15.0" customHeight="1">
      <c r="A161" s="74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81"/>
      <c r="M161" s="74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81"/>
      <c r="Y161" s="74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81"/>
      <c r="AK161" s="74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81"/>
      <c r="AW161" s="74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81"/>
      <c r="BI161" s="74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81"/>
      <c r="BU161" s="74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81"/>
      <c r="CG161" s="74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/>
      <c r="CR161" s="81"/>
      <c r="CS161" s="74"/>
      <c r="CT161" s="75"/>
      <c r="CU161" s="75"/>
      <c r="CV161" s="75"/>
      <c r="CW161" s="75"/>
      <c r="CX161" s="75"/>
      <c r="CY161" s="75"/>
      <c r="CZ161" s="75"/>
      <c r="DA161" s="75"/>
      <c r="DB161" s="75"/>
      <c r="DC161" s="75"/>
      <c r="DD161" s="81"/>
      <c r="DE161" s="74"/>
      <c r="DF161" s="75"/>
      <c r="DG161" s="75"/>
      <c r="DH161" s="75"/>
      <c r="DI161" s="75"/>
      <c r="DJ161" s="75"/>
      <c r="DK161" s="75"/>
      <c r="DL161" s="75"/>
      <c r="DM161" s="75"/>
      <c r="DN161" s="75"/>
      <c r="DO161" s="75"/>
      <c r="DP161" s="81"/>
      <c r="DQ161" s="74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81"/>
      <c r="EC161" s="74"/>
      <c r="ED161" s="75"/>
      <c r="EE161" s="75"/>
      <c r="EF161" s="75"/>
      <c r="EG161" s="75"/>
      <c r="EH161" s="75"/>
      <c r="EI161" s="75"/>
      <c r="EJ161" s="75"/>
      <c r="EK161" s="75"/>
      <c r="EL161" s="75"/>
      <c r="EM161" s="75"/>
      <c r="EN161" s="81"/>
      <c r="EO161" s="74"/>
      <c r="EP161" s="75"/>
      <c r="EQ161" s="75"/>
      <c r="ER161" s="75"/>
      <c r="ES161" s="75"/>
      <c r="ET161" s="75"/>
      <c r="EU161" s="75"/>
      <c r="EV161" s="75"/>
      <c r="EW161" s="75"/>
      <c r="EX161" s="75"/>
      <c r="EY161" s="75"/>
      <c r="EZ161" s="81"/>
      <c r="FA161" s="74"/>
      <c r="FB161" s="75"/>
      <c r="FC161" s="75"/>
      <c r="FD161" s="75"/>
      <c r="FE161" s="75"/>
      <c r="FF161" s="75"/>
      <c r="FG161" s="75"/>
      <c r="FH161" s="75"/>
      <c r="FI161" s="75"/>
      <c r="FJ161" s="75"/>
      <c r="FK161" s="75"/>
      <c r="FL161" s="81"/>
      <c r="FM161" s="74"/>
      <c r="FN161" s="75"/>
      <c r="FO161" s="75"/>
      <c r="FP161" s="75"/>
      <c r="FQ161" s="75"/>
      <c r="FR161" s="75"/>
      <c r="FS161" s="75"/>
      <c r="FT161" s="75"/>
      <c r="FU161" s="75"/>
      <c r="FV161" s="75"/>
      <c r="FW161" s="75"/>
      <c r="FX161" s="81"/>
      <c r="FY161" s="74"/>
      <c r="FZ161" s="75"/>
      <c r="GA161" s="75"/>
      <c r="GB161" s="75"/>
      <c r="GC161" s="75"/>
      <c r="GD161" s="75"/>
      <c r="GE161" s="75"/>
      <c r="GF161" s="75"/>
      <c r="GG161" s="75"/>
      <c r="GH161" s="75"/>
      <c r="GI161" s="75"/>
      <c r="GJ161" s="81"/>
      <c r="GK161" s="74"/>
      <c r="GL161" s="75"/>
      <c r="GM161" s="75"/>
      <c r="GN161" s="75"/>
      <c r="GO161" s="75"/>
      <c r="GP161" s="75"/>
      <c r="GQ161" s="75"/>
      <c r="GR161" s="75"/>
      <c r="GS161" s="75"/>
      <c r="GT161" s="75"/>
      <c r="GU161" s="75"/>
      <c r="GV161" s="81"/>
      <c r="GW161" s="74"/>
      <c r="GX161" s="75"/>
      <c r="GY161" s="75"/>
      <c r="GZ161" s="75"/>
      <c r="HA161" s="75"/>
      <c r="HB161" s="75"/>
      <c r="HC161" s="75"/>
      <c r="HD161" s="75"/>
      <c r="HE161" s="75"/>
      <c r="HF161" s="75"/>
      <c r="HG161" s="75"/>
      <c r="HH161" s="81"/>
      <c r="HI161" s="75"/>
    </row>
    <row r="162" ht="15.0" customHeight="1">
      <c r="A162" s="74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81"/>
      <c r="M162" s="74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81"/>
      <c r="Y162" s="74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81"/>
      <c r="AK162" s="74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81"/>
      <c r="AW162" s="74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81"/>
      <c r="BI162" s="74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81"/>
      <c r="BU162" s="74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81"/>
      <c r="CG162" s="74"/>
      <c r="CH162" s="75"/>
      <c r="CI162" s="75"/>
      <c r="CJ162" s="75"/>
      <c r="CK162" s="75"/>
      <c r="CL162" s="75"/>
      <c r="CM162" s="75"/>
      <c r="CN162" s="75"/>
      <c r="CO162" s="75"/>
      <c r="CP162" s="75"/>
      <c r="CQ162" s="75"/>
      <c r="CR162" s="81"/>
      <c r="CS162" s="74"/>
      <c r="CT162" s="75"/>
      <c r="CU162" s="75"/>
      <c r="CV162" s="75"/>
      <c r="CW162" s="75"/>
      <c r="CX162" s="75"/>
      <c r="CY162" s="75"/>
      <c r="CZ162" s="75"/>
      <c r="DA162" s="75"/>
      <c r="DB162" s="75"/>
      <c r="DC162" s="75"/>
      <c r="DD162" s="81"/>
      <c r="DE162" s="74"/>
      <c r="DF162" s="75"/>
      <c r="DG162" s="75"/>
      <c r="DH162" s="75"/>
      <c r="DI162" s="75"/>
      <c r="DJ162" s="75"/>
      <c r="DK162" s="75"/>
      <c r="DL162" s="75"/>
      <c r="DM162" s="75"/>
      <c r="DN162" s="75"/>
      <c r="DO162" s="75"/>
      <c r="DP162" s="81"/>
      <c r="DQ162" s="74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81"/>
      <c r="EC162" s="74"/>
      <c r="ED162" s="75"/>
      <c r="EE162" s="75"/>
      <c r="EF162" s="75"/>
      <c r="EG162" s="75"/>
      <c r="EH162" s="75"/>
      <c r="EI162" s="75"/>
      <c r="EJ162" s="75"/>
      <c r="EK162" s="75"/>
      <c r="EL162" s="75"/>
      <c r="EM162" s="75"/>
      <c r="EN162" s="81"/>
      <c r="EO162" s="74"/>
      <c r="EP162" s="75"/>
      <c r="EQ162" s="75"/>
      <c r="ER162" s="75"/>
      <c r="ES162" s="75"/>
      <c r="ET162" s="75"/>
      <c r="EU162" s="75"/>
      <c r="EV162" s="75"/>
      <c r="EW162" s="75"/>
      <c r="EX162" s="75"/>
      <c r="EY162" s="75"/>
      <c r="EZ162" s="81"/>
      <c r="FA162" s="74"/>
      <c r="FB162" s="75"/>
      <c r="FC162" s="75"/>
      <c r="FD162" s="75"/>
      <c r="FE162" s="75"/>
      <c r="FF162" s="75"/>
      <c r="FG162" s="75"/>
      <c r="FH162" s="75"/>
      <c r="FI162" s="75"/>
      <c r="FJ162" s="75"/>
      <c r="FK162" s="75"/>
      <c r="FL162" s="81"/>
      <c r="FM162" s="74"/>
      <c r="FN162" s="75"/>
      <c r="FO162" s="75"/>
      <c r="FP162" s="75"/>
      <c r="FQ162" s="75"/>
      <c r="FR162" s="75"/>
      <c r="FS162" s="75"/>
      <c r="FT162" s="75"/>
      <c r="FU162" s="75"/>
      <c r="FV162" s="75"/>
      <c r="FW162" s="75"/>
      <c r="FX162" s="81"/>
      <c r="FY162" s="74"/>
      <c r="FZ162" s="75"/>
      <c r="GA162" s="75"/>
      <c r="GB162" s="75"/>
      <c r="GC162" s="75"/>
      <c r="GD162" s="75"/>
      <c r="GE162" s="75"/>
      <c r="GF162" s="75"/>
      <c r="GG162" s="75"/>
      <c r="GH162" s="75"/>
      <c r="GI162" s="75"/>
      <c r="GJ162" s="81"/>
      <c r="GK162" s="74"/>
      <c r="GL162" s="75"/>
      <c r="GM162" s="75"/>
      <c r="GN162" s="75"/>
      <c r="GO162" s="75"/>
      <c r="GP162" s="75"/>
      <c r="GQ162" s="75"/>
      <c r="GR162" s="75"/>
      <c r="GS162" s="75"/>
      <c r="GT162" s="75"/>
      <c r="GU162" s="75"/>
      <c r="GV162" s="81"/>
      <c r="GW162" s="74"/>
      <c r="GX162" s="75"/>
      <c r="GY162" s="75"/>
      <c r="GZ162" s="75"/>
      <c r="HA162" s="75"/>
      <c r="HB162" s="75"/>
      <c r="HC162" s="75"/>
      <c r="HD162" s="75"/>
      <c r="HE162" s="75"/>
      <c r="HF162" s="75"/>
      <c r="HG162" s="75"/>
      <c r="HH162" s="81"/>
      <c r="HI162" s="75"/>
    </row>
    <row r="163" ht="15.0" customHeight="1">
      <c r="A163" s="74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81"/>
      <c r="M163" s="74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81"/>
      <c r="Y163" s="74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81"/>
      <c r="AK163" s="74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81"/>
      <c r="AW163" s="74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81"/>
      <c r="BI163" s="74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81"/>
      <c r="BU163" s="74"/>
      <c r="BV163" s="75"/>
      <c r="BW163" s="75"/>
      <c r="BX163" s="75"/>
      <c r="BY163" s="75"/>
      <c r="BZ163" s="75"/>
      <c r="CA163" s="75"/>
      <c r="CB163" s="75"/>
      <c r="CC163" s="75"/>
      <c r="CD163" s="75"/>
      <c r="CE163" s="75"/>
      <c r="CF163" s="81"/>
      <c r="CG163" s="74"/>
      <c r="CH163" s="75"/>
      <c r="CI163" s="75"/>
      <c r="CJ163" s="75"/>
      <c r="CK163" s="75"/>
      <c r="CL163" s="75"/>
      <c r="CM163" s="75"/>
      <c r="CN163" s="75"/>
      <c r="CO163" s="75"/>
      <c r="CP163" s="75"/>
      <c r="CQ163" s="75"/>
      <c r="CR163" s="81"/>
      <c r="CS163" s="74"/>
      <c r="CT163" s="75"/>
      <c r="CU163" s="75"/>
      <c r="CV163" s="75"/>
      <c r="CW163" s="75"/>
      <c r="CX163" s="75"/>
      <c r="CY163" s="75"/>
      <c r="CZ163" s="75"/>
      <c r="DA163" s="75"/>
      <c r="DB163" s="75"/>
      <c r="DC163" s="75"/>
      <c r="DD163" s="81"/>
      <c r="DE163" s="74"/>
      <c r="DF163" s="75"/>
      <c r="DG163" s="75"/>
      <c r="DH163" s="75"/>
      <c r="DI163" s="75"/>
      <c r="DJ163" s="75"/>
      <c r="DK163" s="75"/>
      <c r="DL163" s="75"/>
      <c r="DM163" s="75"/>
      <c r="DN163" s="75"/>
      <c r="DO163" s="75"/>
      <c r="DP163" s="81"/>
      <c r="DQ163" s="74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81"/>
      <c r="EC163" s="74"/>
      <c r="ED163" s="75"/>
      <c r="EE163" s="75"/>
      <c r="EF163" s="75"/>
      <c r="EG163" s="75"/>
      <c r="EH163" s="75"/>
      <c r="EI163" s="75"/>
      <c r="EJ163" s="75"/>
      <c r="EK163" s="75"/>
      <c r="EL163" s="75"/>
      <c r="EM163" s="75"/>
      <c r="EN163" s="81"/>
      <c r="EO163" s="74"/>
      <c r="EP163" s="75"/>
      <c r="EQ163" s="75"/>
      <c r="ER163" s="75"/>
      <c r="ES163" s="75"/>
      <c r="ET163" s="75"/>
      <c r="EU163" s="75"/>
      <c r="EV163" s="75"/>
      <c r="EW163" s="75"/>
      <c r="EX163" s="75"/>
      <c r="EY163" s="75"/>
      <c r="EZ163" s="81"/>
      <c r="FA163" s="74"/>
      <c r="FB163" s="75"/>
      <c r="FC163" s="75"/>
      <c r="FD163" s="75"/>
      <c r="FE163" s="75"/>
      <c r="FF163" s="75"/>
      <c r="FG163" s="75"/>
      <c r="FH163" s="75"/>
      <c r="FI163" s="75"/>
      <c r="FJ163" s="75"/>
      <c r="FK163" s="75"/>
      <c r="FL163" s="81"/>
      <c r="FM163" s="74"/>
      <c r="FN163" s="75"/>
      <c r="FO163" s="75"/>
      <c r="FP163" s="75"/>
      <c r="FQ163" s="75"/>
      <c r="FR163" s="75"/>
      <c r="FS163" s="75"/>
      <c r="FT163" s="75"/>
      <c r="FU163" s="75"/>
      <c r="FV163" s="75"/>
      <c r="FW163" s="75"/>
      <c r="FX163" s="81"/>
      <c r="FY163" s="74"/>
      <c r="FZ163" s="75"/>
      <c r="GA163" s="75"/>
      <c r="GB163" s="75"/>
      <c r="GC163" s="75"/>
      <c r="GD163" s="75"/>
      <c r="GE163" s="75"/>
      <c r="GF163" s="75"/>
      <c r="GG163" s="75"/>
      <c r="GH163" s="75"/>
      <c r="GI163" s="75"/>
      <c r="GJ163" s="81"/>
      <c r="GK163" s="74"/>
      <c r="GL163" s="75"/>
      <c r="GM163" s="75"/>
      <c r="GN163" s="75"/>
      <c r="GO163" s="75"/>
      <c r="GP163" s="75"/>
      <c r="GQ163" s="75"/>
      <c r="GR163" s="75"/>
      <c r="GS163" s="75"/>
      <c r="GT163" s="75"/>
      <c r="GU163" s="75"/>
      <c r="GV163" s="81"/>
      <c r="GW163" s="74"/>
      <c r="GX163" s="75"/>
      <c r="GY163" s="75"/>
      <c r="GZ163" s="75"/>
      <c r="HA163" s="75"/>
      <c r="HB163" s="75"/>
      <c r="HC163" s="75"/>
      <c r="HD163" s="75"/>
      <c r="HE163" s="75"/>
      <c r="HF163" s="75"/>
      <c r="HG163" s="75"/>
      <c r="HH163" s="81"/>
      <c r="HI163" s="75"/>
    </row>
    <row r="164" ht="15.0" customHeight="1">
      <c r="A164" s="74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81"/>
      <c r="M164" s="74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81"/>
      <c r="Y164" s="74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81"/>
      <c r="AK164" s="74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81"/>
      <c r="AW164" s="74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81"/>
      <c r="BI164" s="74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81"/>
      <c r="BU164" s="74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81"/>
      <c r="CG164" s="74"/>
      <c r="CH164" s="75"/>
      <c r="CI164" s="75"/>
      <c r="CJ164" s="75"/>
      <c r="CK164" s="75"/>
      <c r="CL164" s="75"/>
      <c r="CM164" s="75"/>
      <c r="CN164" s="75"/>
      <c r="CO164" s="75"/>
      <c r="CP164" s="75"/>
      <c r="CQ164" s="75"/>
      <c r="CR164" s="81"/>
      <c r="CS164" s="74"/>
      <c r="CT164" s="75"/>
      <c r="CU164" s="75"/>
      <c r="CV164" s="75"/>
      <c r="CW164" s="75"/>
      <c r="CX164" s="75"/>
      <c r="CY164" s="75"/>
      <c r="CZ164" s="75"/>
      <c r="DA164" s="75"/>
      <c r="DB164" s="75"/>
      <c r="DC164" s="75"/>
      <c r="DD164" s="81"/>
      <c r="DE164" s="74"/>
      <c r="DF164" s="75"/>
      <c r="DG164" s="75"/>
      <c r="DH164" s="75"/>
      <c r="DI164" s="75"/>
      <c r="DJ164" s="75"/>
      <c r="DK164" s="75"/>
      <c r="DL164" s="75"/>
      <c r="DM164" s="75"/>
      <c r="DN164" s="75"/>
      <c r="DO164" s="75"/>
      <c r="DP164" s="81"/>
      <c r="DQ164" s="74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81"/>
      <c r="EC164" s="74"/>
      <c r="ED164" s="75"/>
      <c r="EE164" s="75"/>
      <c r="EF164" s="75"/>
      <c r="EG164" s="75"/>
      <c r="EH164" s="75"/>
      <c r="EI164" s="75"/>
      <c r="EJ164" s="75"/>
      <c r="EK164" s="75"/>
      <c r="EL164" s="75"/>
      <c r="EM164" s="75"/>
      <c r="EN164" s="81"/>
      <c r="EO164" s="74"/>
      <c r="EP164" s="75"/>
      <c r="EQ164" s="75"/>
      <c r="ER164" s="75"/>
      <c r="ES164" s="75"/>
      <c r="ET164" s="75"/>
      <c r="EU164" s="75"/>
      <c r="EV164" s="75"/>
      <c r="EW164" s="75"/>
      <c r="EX164" s="75"/>
      <c r="EY164" s="75"/>
      <c r="EZ164" s="81"/>
      <c r="FA164" s="74"/>
      <c r="FB164" s="75"/>
      <c r="FC164" s="75"/>
      <c r="FD164" s="75"/>
      <c r="FE164" s="75"/>
      <c r="FF164" s="75"/>
      <c r="FG164" s="75"/>
      <c r="FH164" s="75"/>
      <c r="FI164" s="75"/>
      <c r="FJ164" s="75"/>
      <c r="FK164" s="75"/>
      <c r="FL164" s="81"/>
      <c r="FM164" s="74"/>
      <c r="FN164" s="75"/>
      <c r="FO164" s="75"/>
      <c r="FP164" s="75"/>
      <c r="FQ164" s="75"/>
      <c r="FR164" s="75"/>
      <c r="FS164" s="75"/>
      <c r="FT164" s="75"/>
      <c r="FU164" s="75"/>
      <c r="FV164" s="75"/>
      <c r="FW164" s="75"/>
      <c r="FX164" s="81"/>
      <c r="FY164" s="74"/>
      <c r="FZ164" s="75"/>
      <c r="GA164" s="75"/>
      <c r="GB164" s="75"/>
      <c r="GC164" s="75"/>
      <c r="GD164" s="75"/>
      <c r="GE164" s="75"/>
      <c r="GF164" s="75"/>
      <c r="GG164" s="75"/>
      <c r="GH164" s="75"/>
      <c r="GI164" s="75"/>
      <c r="GJ164" s="81"/>
      <c r="GK164" s="74"/>
      <c r="GL164" s="75"/>
      <c r="GM164" s="75"/>
      <c r="GN164" s="75"/>
      <c r="GO164" s="75"/>
      <c r="GP164" s="75"/>
      <c r="GQ164" s="75"/>
      <c r="GR164" s="75"/>
      <c r="GS164" s="75"/>
      <c r="GT164" s="75"/>
      <c r="GU164" s="75"/>
      <c r="GV164" s="81"/>
      <c r="GW164" s="74"/>
      <c r="GX164" s="75"/>
      <c r="GY164" s="75"/>
      <c r="GZ164" s="75"/>
      <c r="HA164" s="75"/>
      <c r="HB164" s="75"/>
      <c r="HC164" s="75"/>
      <c r="HD164" s="75"/>
      <c r="HE164" s="75"/>
      <c r="HF164" s="75"/>
      <c r="HG164" s="75"/>
      <c r="HH164" s="81"/>
      <c r="HI164" s="75"/>
    </row>
    <row r="165" ht="15.0" customHeight="1">
      <c r="A165" s="74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81"/>
      <c r="M165" s="74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81"/>
      <c r="Y165" s="74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81"/>
      <c r="AK165" s="74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81"/>
      <c r="AW165" s="74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81"/>
      <c r="BI165" s="74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81"/>
      <c r="BU165" s="74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81"/>
      <c r="CG165" s="74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81"/>
      <c r="CS165" s="74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81"/>
      <c r="DE165" s="74"/>
      <c r="DF165" s="75"/>
      <c r="DG165" s="75"/>
      <c r="DH165" s="75"/>
      <c r="DI165" s="75"/>
      <c r="DJ165" s="75"/>
      <c r="DK165" s="75"/>
      <c r="DL165" s="75"/>
      <c r="DM165" s="75"/>
      <c r="DN165" s="75"/>
      <c r="DO165" s="75"/>
      <c r="DP165" s="81"/>
      <c r="DQ165" s="74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81"/>
      <c r="EC165" s="74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81"/>
      <c r="EO165" s="74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81"/>
      <c r="FA165" s="74"/>
      <c r="FB165" s="75"/>
      <c r="FC165" s="75"/>
      <c r="FD165" s="75"/>
      <c r="FE165" s="75"/>
      <c r="FF165" s="75"/>
      <c r="FG165" s="75"/>
      <c r="FH165" s="75"/>
      <c r="FI165" s="75"/>
      <c r="FJ165" s="75"/>
      <c r="FK165" s="75"/>
      <c r="FL165" s="81"/>
      <c r="FM165" s="74"/>
      <c r="FN165" s="75"/>
      <c r="FO165" s="75"/>
      <c r="FP165" s="75"/>
      <c r="FQ165" s="75"/>
      <c r="FR165" s="75"/>
      <c r="FS165" s="75"/>
      <c r="FT165" s="75"/>
      <c r="FU165" s="75"/>
      <c r="FV165" s="75"/>
      <c r="FW165" s="75"/>
      <c r="FX165" s="81"/>
      <c r="FY165" s="74"/>
      <c r="FZ165" s="75"/>
      <c r="GA165" s="75"/>
      <c r="GB165" s="75"/>
      <c r="GC165" s="75"/>
      <c r="GD165" s="75"/>
      <c r="GE165" s="75"/>
      <c r="GF165" s="75"/>
      <c r="GG165" s="75"/>
      <c r="GH165" s="75"/>
      <c r="GI165" s="75"/>
      <c r="GJ165" s="81"/>
      <c r="GK165" s="74"/>
      <c r="GL165" s="75"/>
      <c r="GM165" s="75"/>
      <c r="GN165" s="75"/>
      <c r="GO165" s="75"/>
      <c r="GP165" s="75"/>
      <c r="GQ165" s="75"/>
      <c r="GR165" s="75"/>
      <c r="GS165" s="75"/>
      <c r="GT165" s="75"/>
      <c r="GU165" s="75"/>
      <c r="GV165" s="81"/>
      <c r="GW165" s="74"/>
      <c r="GX165" s="75"/>
      <c r="GY165" s="75"/>
      <c r="GZ165" s="75"/>
      <c r="HA165" s="75"/>
      <c r="HB165" s="75"/>
      <c r="HC165" s="75"/>
      <c r="HD165" s="75"/>
      <c r="HE165" s="75"/>
      <c r="HF165" s="75"/>
      <c r="HG165" s="75"/>
      <c r="HH165" s="81"/>
      <c r="HI165" s="75"/>
    </row>
    <row r="166" ht="15.0" customHeight="1">
      <c r="A166" s="74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81"/>
      <c r="M166" s="74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81"/>
      <c r="Y166" s="74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81"/>
      <c r="AK166" s="74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81"/>
      <c r="AW166" s="74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81"/>
      <c r="BI166" s="74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81"/>
      <c r="BU166" s="74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81"/>
      <c r="CG166" s="74"/>
      <c r="CH166" s="75"/>
      <c r="CI166" s="75"/>
      <c r="CJ166" s="75"/>
      <c r="CK166" s="75"/>
      <c r="CL166" s="75"/>
      <c r="CM166" s="75"/>
      <c r="CN166" s="75"/>
      <c r="CO166" s="75"/>
      <c r="CP166" s="75"/>
      <c r="CQ166" s="75"/>
      <c r="CR166" s="81"/>
      <c r="CS166" s="74"/>
      <c r="CT166" s="75"/>
      <c r="CU166" s="75"/>
      <c r="CV166" s="75"/>
      <c r="CW166" s="75"/>
      <c r="CX166" s="75"/>
      <c r="CY166" s="75"/>
      <c r="CZ166" s="75"/>
      <c r="DA166" s="75"/>
      <c r="DB166" s="75"/>
      <c r="DC166" s="75"/>
      <c r="DD166" s="81"/>
      <c r="DE166" s="74"/>
      <c r="DF166" s="75"/>
      <c r="DG166" s="75"/>
      <c r="DH166" s="75"/>
      <c r="DI166" s="75"/>
      <c r="DJ166" s="75"/>
      <c r="DK166" s="75"/>
      <c r="DL166" s="75"/>
      <c r="DM166" s="75"/>
      <c r="DN166" s="75"/>
      <c r="DO166" s="75"/>
      <c r="DP166" s="81"/>
      <c r="DQ166" s="74"/>
      <c r="DR166" s="75"/>
      <c r="DS166" s="75"/>
      <c r="DT166" s="75"/>
      <c r="DU166" s="75"/>
      <c r="DV166" s="75"/>
      <c r="DW166" s="75"/>
      <c r="DX166" s="75"/>
      <c r="DY166" s="75"/>
      <c r="DZ166" s="75"/>
      <c r="EA166" s="75"/>
      <c r="EB166" s="81"/>
      <c r="EC166" s="74"/>
      <c r="ED166" s="75"/>
      <c r="EE166" s="75"/>
      <c r="EF166" s="75"/>
      <c r="EG166" s="75"/>
      <c r="EH166" s="75"/>
      <c r="EI166" s="75"/>
      <c r="EJ166" s="75"/>
      <c r="EK166" s="75"/>
      <c r="EL166" s="75"/>
      <c r="EM166" s="75"/>
      <c r="EN166" s="81"/>
      <c r="EO166" s="74"/>
      <c r="EP166" s="75"/>
      <c r="EQ166" s="75"/>
      <c r="ER166" s="75"/>
      <c r="ES166" s="75"/>
      <c r="ET166" s="75"/>
      <c r="EU166" s="75"/>
      <c r="EV166" s="75"/>
      <c r="EW166" s="75"/>
      <c r="EX166" s="75"/>
      <c r="EY166" s="75"/>
      <c r="EZ166" s="81"/>
      <c r="FA166" s="74"/>
      <c r="FB166" s="75"/>
      <c r="FC166" s="75"/>
      <c r="FD166" s="75"/>
      <c r="FE166" s="75"/>
      <c r="FF166" s="75"/>
      <c r="FG166" s="75"/>
      <c r="FH166" s="75"/>
      <c r="FI166" s="75"/>
      <c r="FJ166" s="75"/>
      <c r="FK166" s="75"/>
      <c r="FL166" s="81"/>
      <c r="FM166" s="74"/>
      <c r="FN166" s="75"/>
      <c r="FO166" s="75"/>
      <c r="FP166" s="75"/>
      <c r="FQ166" s="75"/>
      <c r="FR166" s="75"/>
      <c r="FS166" s="75"/>
      <c r="FT166" s="75"/>
      <c r="FU166" s="75"/>
      <c r="FV166" s="75"/>
      <c r="FW166" s="75"/>
      <c r="FX166" s="81"/>
      <c r="FY166" s="74"/>
      <c r="FZ166" s="75"/>
      <c r="GA166" s="75"/>
      <c r="GB166" s="75"/>
      <c r="GC166" s="75"/>
      <c r="GD166" s="75"/>
      <c r="GE166" s="75"/>
      <c r="GF166" s="75"/>
      <c r="GG166" s="75"/>
      <c r="GH166" s="75"/>
      <c r="GI166" s="75"/>
      <c r="GJ166" s="81"/>
      <c r="GK166" s="74"/>
      <c r="GL166" s="75"/>
      <c r="GM166" s="75"/>
      <c r="GN166" s="75"/>
      <c r="GO166" s="75"/>
      <c r="GP166" s="75"/>
      <c r="GQ166" s="75"/>
      <c r="GR166" s="75"/>
      <c r="GS166" s="75"/>
      <c r="GT166" s="75"/>
      <c r="GU166" s="75"/>
      <c r="GV166" s="81"/>
      <c r="GW166" s="74"/>
      <c r="GX166" s="75"/>
      <c r="GY166" s="75"/>
      <c r="GZ166" s="75"/>
      <c r="HA166" s="75"/>
      <c r="HB166" s="75"/>
      <c r="HC166" s="75"/>
      <c r="HD166" s="75"/>
      <c r="HE166" s="75"/>
      <c r="HF166" s="75"/>
      <c r="HG166" s="75"/>
      <c r="HH166" s="81"/>
      <c r="HI166" s="75"/>
    </row>
    <row r="167" ht="15.0" customHeight="1">
      <c r="A167" s="74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81"/>
      <c r="M167" s="74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81"/>
      <c r="Y167" s="74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81"/>
      <c r="AK167" s="74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81"/>
      <c r="AW167" s="74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81"/>
      <c r="BI167" s="74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81"/>
      <c r="BU167" s="74"/>
      <c r="BV167" s="75"/>
      <c r="BW167" s="75"/>
      <c r="BX167" s="75"/>
      <c r="BY167" s="75"/>
      <c r="BZ167" s="75"/>
      <c r="CA167" s="75"/>
      <c r="CB167" s="75"/>
      <c r="CC167" s="75"/>
      <c r="CD167" s="75"/>
      <c r="CE167" s="75"/>
      <c r="CF167" s="81"/>
      <c r="CG167" s="74"/>
      <c r="CH167" s="75"/>
      <c r="CI167" s="75"/>
      <c r="CJ167" s="75"/>
      <c r="CK167" s="75"/>
      <c r="CL167" s="75"/>
      <c r="CM167" s="75"/>
      <c r="CN167" s="75"/>
      <c r="CO167" s="75"/>
      <c r="CP167" s="75"/>
      <c r="CQ167" s="75"/>
      <c r="CR167" s="81"/>
      <c r="CS167" s="74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81"/>
      <c r="DE167" s="74"/>
      <c r="DF167" s="75"/>
      <c r="DG167" s="75"/>
      <c r="DH167" s="75"/>
      <c r="DI167" s="75"/>
      <c r="DJ167" s="75"/>
      <c r="DK167" s="75"/>
      <c r="DL167" s="75"/>
      <c r="DM167" s="75"/>
      <c r="DN167" s="75"/>
      <c r="DO167" s="75"/>
      <c r="DP167" s="81"/>
      <c r="DQ167" s="74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81"/>
      <c r="EC167" s="74"/>
      <c r="ED167" s="75"/>
      <c r="EE167" s="75"/>
      <c r="EF167" s="75"/>
      <c r="EG167" s="75"/>
      <c r="EH167" s="75"/>
      <c r="EI167" s="75"/>
      <c r="EJ167" s="75"/>
      <c r="EK167" s="75"/>
      <c r="EL167" s="75"/>
      <c r="EM167" s="75"/>
      <c r="EN167" s="81"/>
      <c r="EO167" s="74"/>
      <c r="EP167" s="75"/>
      <c r="EQ167" s="75"/>
      <c r="ER167" s="75"/>
      <c r="ES167" s="75"/>
      <c r="ET167" s="75"/>
      <c r="EU167" s="75"/>
      <c r="EV167" s="75"/>
      <c r="EW167" s="75"/>
      <c r="EX167" s="75"/>
      <c r="EY167" s="75"/>
      <c r="EZ167" s="81"/>
      <c r="FA167" s="74"/>
      <c r="FB167" s="75"/>
      <c r="FC167" s="75"/>
      <c r="FD167" s="75"/>
      <c r="FE167" s="75"/>
      <c r="FF167" s="75"/>
      <c r="FG167" s="75"/>
      <c r="FH167" s="75"/>
      <c r="FI167" s="75"/>
      <c r="FJ167" s="75"/>
      <c r="FK167" s="75"/>
      <c r="FL167" s="81"/>
      <c r="FM167" s="74"/>
      <c r="FN167" s="75"/>
      <c r="FO167" s="75"/>
      <c r="FP167" s="75"/>
      <c r="FQ167" s="75"/>
      <c r="FR167" s="75"/>
      <c r="FS167" s="75"/>
      <c r="FT167" s="75"/>
      <c r="FU167" s="75"/>
      <c r="FV167" s="75"/>
      <c r="FW167" s="75"/>
      <c r="FX167" s="81"/>
      <c r="FY167" s="74"/>
      <c r="FZ167" s="75"/>
      <c r="GA167" s="75"/>
      <c r="GB167" s="75"/>
      <c r="GC167" s="75"/>
      <c r="GD167" s="75"/>
      <c r="GE167" s="75"/>
      <c r="GF167" s="75"/>
      <c r="GG167" s="75"/>
      <c r="GH167" s="75"/>
      <c r="GI167" s="75"/>
      <c r="GJ167" s="81"/>
      <c r="GK167" s="74"/>
      <c r="GL167" s="75"/>
      <c r="GM167" s="75"/>
      <c r="GN167" s="75"/>
      <c r="GO167" s="75"/>
      <c r="GP167" s="75"/>
      <c r="GQ167" s="75"/>
      <c r="GR167" s="75"/>
      <c r="GS167" s="75"/>
      <c r="GT167" s="75"/>
      <c r="GU167" s="75"/>
      <c r="GV167" s="81"/>
      <c r="GW167" s="74"/>
      <c r="GX167" s="75"/>
      <c r="GY167" s="75"/>
      <c r="GZ167" s="75"/>
      <c r="HA167" s="75"/>
      <c r="HB167" s="75"/>
      <c r="HC167" s="75"/>
      <c r="HD167" s="75"/>
      <c r="HE167" s="75"/>
      <c r="HF167" s="75"/>
      <c r="HG167" s="75"/>
      <c r="HH167" s="81"/>
      <c r="HI167" s="75"/>
    </row>
    <row r="168" ht="15.0" customHeight="1">
      <c r="A168" s="74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81"/>
      <c r="M168" s="74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81"/>
      <c r="Y168" s="74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81"/>
      <c r="AK168" s="74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81"/>
      <c r="AW168" s="74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81"/>
      <c r="BI168" s="74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81"/>
      <c r="BU168" s="74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81"/>
      <c r="CG168" s="74"/>
      <c r="CH168" s="75"/>
      <c r="CI168" s="75"/>
      <c r="CJ168" s="75"/>
      <c r="CK168" s="75"/>
      <c r="CL168" s="75"/>
      <c r="CM168" s="75"/>
      <c r="CN168" s="75"/>
      <c r="CO168" s="75"/>
      <c r="CP168" s="75"/>
      <c r="CQ168" s="75"/>
      <c r="CR168" s="81"/>
      <c r="CS168" s="74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81"/>
      <c r="DE168" s="74"/>
      <c r="DF168" s="75"/>
      <c r="DG168" s="75"/>
      <c r="DH168" s="75"/>
      <c r="DI168" s="75"/>
      <c r="DJ168" s="75"/>
      <c r="DK168" s="75"/>
      <c r="DL168" s="75"/>
      <c r="DM168" s="75"/>
      <c r="DN168" s="75"/>
      <c r="DO168" s="75"/>
      <c r="DP168" s="81"/>
      <c r="DQ168" s="74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81"/>
      <c r="EC168" s="74"/>
      <c r="ED168" s="75"/>
      <c r="EE168" s="75"/>
      <c r="EF168" s="75"/>
      <c r="EG168" s="75"/>
      <c r="EH168" s="75"/>
      <c r="EI168" s="75"/>
      <c r="EJ168" s="75"/>
      <c r="EK168" s="75"/>
      <c r="EL168" s="75"/>
      <c r="EM168" s="75"/>
      <c r="EN168" s="81"/>
      <c r="EO168" s="74"/>
      <c r="EP168" s="75"/>
      <c r="EQ168" s="75"/>
      <c r="ER168" s="75"/>
      <c r="ES168" s="75"/>
      <c r="ET168" s="75"/>
      <c r="EU168" s="75"/>
      <c r="EV168" s="75"/>
      <c r="EW168" s="75"/>
      <c r="EX168" s="75"/>
      <c r="EY168" s="75"/>
      <c r="EZ168" s="81"/>
      <c r="FA168" s="74"/>
      <c r="FB168" s="75"/>
      <c r="FC168" s="75"/>
      <c r="FD168" s="75"/>
      <c r="FE168" s="75"/>
      <c r="FF168" s="75"/>
      <c r="FG168" s="75"/>
      <c r="FH168" s="75"/>
      <c r="FI168" s="75"/>
      <c r="FJ168" s="75"/>
      <c r="FK168" s="75"/>
      <c r="FL168" s="81"/>
      <c r="FM168" s="74"/>
      <c r="FN168" s="75"/>
      <c r="FO168" s="75"/>
      <c r="FP168" s="75"/>
      <c r="FQ168" s="75"/>
      <c r="FR168" s="75"/>
      <c r="FS168" s="75"/>
      <c r="FT168" s="75"/>
      <c r="FU168" s="75"/>
      <c r="FV168" s="75"/>
      <c r="FW168" s="75"/>
      <c r="FX168" s="81"/>
      <c r="FY168" s="74"/>
      <c r="FZ168" s="75"/>
      <c r="GA168" s="75"/>
      <c r="GB168" s="75"/>
      <c r="GC168" s="75"/>
      <c r="GD168" s="75"/>
      <c r="GE168" s="75"/>
      <c r="GF168" s="75"/>
      <c r="GG168" s="75"/>
      <c r="GH168" s="75"/>
      <c r="GI168" s="75"/>
      <c r="GJ168" s="81"/>
      <c r="GK168" s="74"/>
      <c r="GL168" s="75"/>
      <c r="GM168" s="75"/>
      <c r="GN168" s="75"/>
      <c r="GO168" s="75"/>
      <c r="GP168" s="75"/>
      <c r="GQ168" s="75"/>
      <c r="GR168" s="75"/>
      <c r="GS168" s="75"/>
      <c r="GT168" s="75"/>
      <c r="GU168" s="75"/>
      <c r="GV168" s="81"/>
      <c r="GW168" s="74"/>
      <c r="GX168" s="75"/>
      <c r="GY168" s="75"/>
      <c r="GZ168" s="75"/>
      <c r="HA168" s="75"/>
      <c r="HB168" s="75"/>
      <c r="HC168" s="75"/>
      <c r="HD168" s="75"/>
      <c r="HE168" s="75"/>
      <c r="HF168" s="75"/>
      <c r="HG168" s="75"/>
      <c r="HH168" s="81"/>
      <c r="HI168" s="75"/>
    </row>
    <row r="169" ht="15.0" customHeight="1">
      <c r="A169" s="74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81"/>
      <c r="M169" s="74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81"/>
      <c r="Y169" s="74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81"/>
      <c r="AK169" s="74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81"/>
      <c r="AW169" s="74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81"/>
      <c r="BI169" s="74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81"/>
      <c r="BU169" s="74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81"/>
      <c r="CG169" s="74"/>
      <c r="CH169" s="75"/>
      <c r="CI169" s="75"/>
      <c r="CJ169" s="75"/>
      <c r="CK169" s="75"/>
      <c r="CL169" s="75"/>
      <c r="CM169" s="75"/>
      <c r="CN169" s="75"/>
      <c r="CO169" s="75"/>
      <c r="CP169" s="75"/>
      <c r="CQ169" s="75"/>
      <c r="CR169" s="81"/>
      <c r="CS169" s="74"/>
      <c r="CT169" s="75"/>
      <c r="CU169" s="75"/>
      <c r="CV169" s="75"/>
      <c r="CW169" s="75"/>
      <c r="CX169" s="75"/>
      <c r="CY169" s="75"/>
      <c r="CZ169" s="75"/>
      <c r="DA169" s="75"/>
      <c r="DB169" s="75"/>
      <c r="DC169" s="75"/>
      <c r="DD169" s="81"/>
      <c r="DE169" s="74"/>
      <c r="DF169" s="75"/>
      <c r="DG169" s="75"/>
      <c r="DH169" s="75"/>
      <c r="DI169" s="75"/>
      <c r="DJ169" s="75"/>
      <c r="DK169" s="75"/>
      <c r="DL169" s="75"/>
      <c r="DM169" s="75"/>
      <c r="DN169" s="75"/>
      <c r="DO169" s="75"/>
      <c r="DP169" s="81"/>
      <c r="DQ169" s="74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81"/>
      <c r="EC169" s="74"/>
      <c r="ED169" s="75"/>
      <c r="EE169" s="75"/>
      <c r="EF169" s="75"/>
      <c r="EG169" s="75"/>
      <c r="EH169" s="75"/>
      <c r="EI169" s="75"/>
      <c r="EJ169" s="75"/>
      <c r="EK169" s="75"/>
      <c r="EL169" s="75"/>
      <c r="EM169" s="75"/>
      <c r="EN169" s="81"/>
      <c r="EO169" s="74"/>
      <c r="EP169" s="75"/>
      <c r="EQ169" s="75"/>
      <c r="ER169" s="75"/>
      <c r="ES169" s="75"/>
      <c r="ET169" s="75"/>
      <c r="EU169" s="75"/>
      <c r="EV169" s="75"/>
      <c r="EW169" s="75"/>
      <c r="EX169" s="75"/>
      <c r="EY169" s="75"/>
      <c r="EZ169" s="81"/>
      <c r="FA169" s="74"/>
      <c r="FB169" s="75"/>
      <c r="FC169" s="75"/>
      <c r="FD169" s="75"/>
      <c r="FE169" s="75"/>
      <c r="FF169" s="75"/>
      <c r="FG169" s="75"/>
      <c r="FH169" s="75"/>
      <c r="FI169" s="75"/>
      <c r="FJ169" s="75"/>
      <c r="FK169" s="75"/>
      <c r="FL169" s="81"/>
      <c r="FM169" s="74"/>
      <c r="FN169" s="75"/>
      <c r="FO169" s="75"/>
      <c r="FP169" s="75"/>
      <c r="FQ169" s="75"/>
      <c r="FR169" s="75"/>
      <c r="FS169" s="75"/>
      <c r="FT169" s="75"/>
      <c r="FU169" s="75"/>
      <c r="FV169" s="75"/>
      <c r="FW169" s="75"/>
      <c r="FX169" s="81"/>
      <c r="FY169" s="74"/>
      <c r="FZ169" s="75"/>
      <c r="GA169" s="75"/>
      <c r="GB169" s="75"/>
      <c r="GC169" s="75"/>
      <c r="GD169" s="75"/>
      <c r="GE169" s="75"/>
      <c r="GF169" s="75"/>
      <c r="GG169" s="75"/>
      <c r="GH169" s="75"/>
      <c r="GI169" s="75"/>
      <c r="GJ169" s="81"/>
      <c r="GK169" s="74"/>
      <c r="GL169" s="75"/>
      <c r="GM169" s="75"/>
      <c r="GN169" s="75"/>
      <c r="GO169" s="75"/>
      <c r="GP169" s="75"/>
      <c r="GQ169" s="75"/>
      <c r="GR169" s="75"/>
      <c r="GS169" s="75"/>
      <c r="GT169" s="75"/>
      <c r="GU169" s="75"/>
      <c r="GV169" s="81"/>
      <c r="GW169" s="74"/>
      <c r="GX169" s="75"/>
      <c r="GY169" s="75"/>
      <c r="GZ169" s="75"/>
      <c r="HA169" s="75"/>
      <c r="HB169" s="75"/>
      <c r="HC169" s="75"/>
      <c r="HD169" s="75"/>
      <c r="HE169" s="75"/>
      <c r="HF169" s="75"/>
      <c r="HG169" s="75"/>
      <c r="HH169" s="81"/>
      <c r="HI169" s="75"/>
    </row>
    <row r="170" ht="15.0" customHeight="1">
      <c r="A170" s="74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81"/>
      <c r="M170" s="74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81"/>
      <c r="Y170" s="74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81"/>
      <c r="AK170" s="74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81"/>
      <c r="AW170" s="74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81"/>
      <c r="BI170" s="74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81"/>
      <c r="BU170" s="74"/>
      <c r="BV170" s="75"/>
      <c r="BW170" s="75"/>
      <c r="BX170" s="75"/>
      <c r="BY170" s="75"/>
      <c r="BZ170" s="75"/>
      <c r="CA170" s="75"/>
      <c r="CB170" s="75"/>
      <c r="CC170" s="75"/>
      <c r="CD170" s="75"/>
      <c r="CE170" s="75"/>
      <c r="CF170" s="81"/>
      <c r="CG170" s="74"/>
      <c r="CH170" s="75"/>
      <c r="CI170" s="75"/>
      <c r="CJ170" s="75"/>
      <c r="CK170" s="75"/>
      <c r="CL170" s="75"/>
      <c r="CM170" s="75"/>
      <c r="CN170" s="75"/>
      <c r="CO170" s="75"/>
      <c r="CP170" s="75"/>
      <c r="CQ170" s="75"/>
      <c r="CR170" s="81"/>
      <c r="CS170" s="74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81"/>
      <c r="DE170" s="74"/>
      <c r="DF170" s="75"/>
      <c r="DG170" s="75"/>
      <c r="DH170" s="75"/>
      <c r="DI170" s="75"/>
      <c r="DJ170" s="75"/>
      <c r="DK170" s="75"/>
      <c r="DL170" s="75"/>
      <c r="DM170" s="75"/>
      <c r="DN170" s="75"/>
      <c r="DO170" s="75"/>
      <c r="DP170" s="81"/>
      <c r="DQ170" s="74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81"/>
      <c r="EC170" s="74"/>
      <c r="ED170" s="75"/>
      <c r="EE170" s="75"/>
      <c r="EF170" s="75"/>
      <c r="EG170" s="75"/>
      <c r="EH170" s="75"/>
      <c r="EI170" s="75"/>
      <c r="EJ170" s="75"/>
      <c r="EK170" s="75"/>
      <c r="EL170" s="75"/>
      <c r="EM170" s="75"/>
      <c r="EN170" s="81"/>
      <c r="EO170" s="74"/>
      <c r="EP170" s="75"/>
      <c r="EQ170" s="75"/>
      <c r="ER170" s="75"/>
      <c r="ES170" s="75"/>
      <c r="ET170" s="75"/>
      <c r="EU170" s="75"/>
      <c r="EV170" s="75"/>
      <c r="EW170" s="75"/>
      <c r="EX170" s="75"/>
      <c r="EY170" s="75"/>
      <c r="EZ170" s="81"/>
      <c r="FA170" s="74"/>
      <c r="FB170" s="75"/>
      <c r="FC170" s="75"/>
      <c r="FD170" s="75"/>
      <c r="FE170" s="75"/>
      <c r="FF170" s="75"/>
      <c r="FG170" s="75"/>
      <c r="FH170" s="75"/>
      <c r="FI170" s="75"/>
      <c r="FJ170" s="75"/>
      <c r="FK170" s="75"/>
      <c r="FL170" s="81"/>
      <c r="FM170" s="74"/>
      <c r="FN170" s="75"/>
      <c r="FO170" s="75"/>
      <c r="FP170" s="75"/>
      <c r="FQ170" s="75"/>
      <c r="FR170" s="75"/>
      <c r="FS170" s="75"/>
      <c r="FT170" s="75"/>
      <c r="FU170" s="75"/>
      <c r="FV170" s="75"/>
      <c r="FW170" s="75"/>
      <c r="FX170" s="81"/>
      <c r="FY170" s="74"/>
      <c r="FZ170" s="75"/>
      <c r="GA170" s="75"/>
      <c r="GB170" s="75"/>
      <c r="GC170" s="75"/>
      <c r="GD170" s="75"/>
      <c r="GE170" s="75"/>
      <c r="GF170" s="75"/>
      <c r="GG170" s="75"/>
      <c r="GH170" s="75"/>
      <c r="GI170" s="75"/>
      <c r="GJ170" s="81"/>
      <c r="GK170" s="74"/>
      <c r="GL170" s="75"/>
      <c r="GM170" s="75"/>
      <c r="GN170" s="75"/>
      <c r="GO170" s="75"/>
      <c r="GP170" s="75"/>
      <c r="GQ170" s="75"/>
      <c r="GR170" s="75"/>
      <c r="GS170" s="75"/>
      <c r="GT170" s="75"/>
      <c r="GU170" s="75"/>
      <c r="GV170" s="81"/>
      <c r="GW170" s="74"/>
      <c r="GX170" s="75"/>
      <c r="GY170" s="75"/>
      <c r="GZ170" s="75"/>
      <c r="HA170" s="75"/>
      <c r="HB170" s="75"/>
      <c r="HC170" s="75"/>
      <c r="HD170" s="75"/>
      <c r="HE170" s="75"/>
      <c r="HF170" s="75"/>
      <c r="HG170" s="75"/>
      <c r="HH170" s="81"/>
      <c r="HI170" s="75"/>
    </row>
    <row r="171" ht="15.0" customHeight="1">
      <c r="A171" s="74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81"/>
      <c r="M171" s="74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81"/>
      <c r="Y171" s="74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81"/>
      <c r="AK171" s="74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81"/>
      <c r="AW171" s="74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81"/>
      <c r="BI171" s="74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81"/>
      <c r="BU171" s="74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81"/>
      <c r="CG171" s="74"/>
      <c r="CH171" s="75"/>
      <c r="CI171" s="75"/>
      <c r="CJ171" s="75"/>
      <c r="CK171" s="75"/>
      <c r="CL171" s="75"/>
      <c r="CM171" s="75"/>
      <c r="CN171" s="75"/>
      <c r="CO171" s="75"/>
      <c r="CP171" s="75"/>
      <c r="CQ171" s="75"/>
      <c r="CR171" s="81"/>
      <c r="CS171" s="74"/>
      <c r="CT171" s="75"/>
      <c r="CU171" s="75"/>
      <c r="CV171" s="75"/>
      <c r="CW171" s="75"/>
      <c r="CX171" s="75"/>
      <c r="CY171" s="75"/>
      <c r="CZ171" s="75"/>
      <c r="DA171" s="75"/>
      <c r="DB171" s="75"/>
      <c r="DC171" s="75"/>
      <c r="DD171" s="81"/>
      <c r="DE171" s="74"/>
      <c r="DF171" s="75"/>
      <c r="DG171" s="75"/>
      <c r="DH171" s="75"/>
      <c r="DI171" s="75"/>
      <c r="DJ171" s="75"/>
      <c r="DK171" s="75"/>
      <c r="DL171" s="75"/>
      <c r="DM171" s="75"/>
      <c r="DN171" s="75"/>
      <c r="DO171" s="75"/>
      <c r="DP171" s="81"/>
      <c r="DQ171" s="74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81"/>
      <c r="EC171" s="74"/>
      <c r="ED171" s="75"/>
      <c r="EE171" s="75"/>
      <c r="EF171" s="75"/>
      <c r="EG171" s="75"/>
      <c r="EH171" s="75"/>
      <c r="EI171" s="75"/>
      <c r="EJ171" s="75"/>
      <c r="EK171" s="75"/>
      <c r="EL171" s="75"/>
      <c r="EM171" s="75"/>
      <c r="EN171" s="81"/>
      <c r="EO171" s="74"/>
      <c r="EP171" s="75"/>
      <c r="EQ171" s="75"/>
      <c r="ER171" s="75"/>
      <c r="ES171" s="75"/>
      <c r="ET171" s="75"/>
      <c r="EU171" s="75"/>
      <c r="EV171" s="75"/>
      <c r="EW171" s="75"/>
      <c r="EX171" s="75"/>
      <c r="EY171" s="75"/>
      <c r="EZ171" s="81"/>
      <c r="FA171" s="74"/>
      <c r="FB171" s="75"/>
      <c r="FC171" s="75"/>
      <c r="FD171" s="75"/>
      <c r="FE171" s="75"/>
      <c r="FF171" s="75"/>
      <c r="FG171" s="75"/>
      <c r="FH171" s="75"/>
      <c r="FI171" s="75"/>
      <c r="FJ171" s="75"/>
      <c r="FK171" s="75"/>
      <c r="FL171" s="81"/>
      <c r="FM171" s="74"/>
      <c r="FN171" s="75"/>
      <c r="FO171" s="75"/>
      <c r="FP171" s="75"/>
      <c r="FQ171" s="75"/>
      <c r="FR171" s="75"/>
      <c r="FS171" s="75"/>
      <c r="FT171" s="75"/>
      <c r="FU171" s="75"/>
      <c r="FV171" s="75"/>
      <c r="FW171" s="75"/>
      <c r="FX171" s="81"/>
      <c r="FY171" s="74"/>
      <c r="FZ171" s="75"/>
      <c r="GA171" s="75"/>
      <c r="GB171" s="75"/>
      <c r="GC171" s="75"/>
      <c r="GD171" s="75"/>
      <c r="GE171" s="75"/>
      <c r="GF171" s="75"/>
      <c r="GG171" s="75"/>
      <c r="GH171" s="75"/>
      <c r="GI171" s="75"/>
      <c r="GJ171" s="81"/>
      <c r="GK171" s="74"/>
      <c r="GL171" s="75"/>
      <c r="GM171" s="75"/>
      <c r="GN171" s="75"/>
      <c r="GO171" s="75"/>
      <c r="GP171" s="75"/>
      <c r="GQ171" s="75"/>
      <c r="GR171" s="75"/>
      <c r="GS171" s="75"/>
      <c r="GT171" s="75"/>
      <c r="GU171" s="75"/>
      <c r="GV171" s="81"/>
      <c r="GW171" s="74"/>
      <c r="GX171" s="75"/>
      <c r="GY171" s="75"/>
      <c r="GZ171" s="75"/>
      <c r="HA171" s="75"/>
      <c r="HB171" s="75"/>
      <c r="HC171" s="75"/>
      <c r="HD171" s="75"/>
      <c r="HE171" s="75"/>
      <c r="HF171" s="75"/>
      <c r="HG171" s="75"/>
      <c r="HH171" s="81"/>
      <c r="HI171" s="75"/>
    </row>
    <row r="172" ht="15.0" customHeight="1">
      <c r="A172" s="74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81"/>
      <c r="M172" s="74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81"/>
      <c r="Y172" s="74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81"/>
      <c r="AK172" s="74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81"/>
      <c r="AW172" s="74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81"/>
      <c r="BI172" s="74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81"/>
      <c r="BU172" s="74"/>
      <c r="BV172" s="75"/>
      <c r="BW172" s="75"/>
      <c r="BX172" s="75"/>
      <c r="BY172" s="75"/>
      <c r="BZ172" s="75"/>
      <c r="CA172" s="75"/>
      <c r="CB172" s="75"/>
      <c r="CC172" s="75"/>
      <c r="CD172" s="75"/>
      <c r="CE172" s="75"/>
      <c r="CF172" s="81"/>
      <c r="CG172" s="74"/>
      <c r="CH172" s="75"/>
      <c r="CI172" s="75"/>
      <c r="CJ172" s="75"/>
      <c r="CK172" s="75"/>
      <c r="CL172" s="75"/>
      <c r="CM172" s="75"/>
      <c r="CN172" s="75"/>
      <c r="CO172" s="75"/>
      <c r="CP172" s="75"/>
      <c r="CQ172" s="75"/>
      <c r="CR172" s="81"/>
      <c r="CS172" s="74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81"/>
      <c r="DE172" s="74"/>
      <c r="DF172" s="75"/>
      <c r="DG172" s="75"/>
      <c r="DH172" s="75"/>
      <c r="DI172" s="75"/>
      <c r="DJ172" s="75"/>
      <c r="DK172" s="75"/>
      <c r="DL172" s="75"/>
      <c r="DM172" s="75"/>
      <c r="DN172" s="75"/>
      <c r="DO172" s="75"/>
      <c r="DP172" s="81"/>
      <c r="DQ172" s="74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81"/>
      <c r="EC172" s="74"/>
      <c r="ED172" s="75"/>
      <c r="EE172" s="75"/>
      <c r="EF172" s="75"/>
      <c r="EG172" s="75"/>
      <c r="EH172" s="75"/>
      <c r="EI172" s="75"/>
      <c r="EJ172" s="75"/>
      <c r="EK172" s="75"/>
      <c r="EL172" s="75"/>
      <c r="EM172" s="75"/>
      <c r="EN172" s="81"/>
      <c r="EO172" s="74"/>
      <c r="EP172" s="75"/>
      <c r="EQ172" s="75"/>
      <c r="ER172" s="75"/>
      <c r="ES172" s="75"/>
      <c r="ET172" s="75"/>
      <c r="EU172" s="75"/>
      <c r="EV172" s="75"/>
      <c r="EW172" s="75"/>
      <c r="EX172" s="75"/>
      <c r="EY172" s="75"/>
      <c r="EZ172" s="81"/>
      <c r="FA172" s="74"/>
      <c r="FB172" s="75"/>
      <c r="FC172" s="75"/>
      <c r="FD172" s="75"/>
      <c r="FE172" s="75"/>
      <c r="FF172" s="75"/>
      <c r="FG172" s="75"/>
      <c r="FH172" s="75"/>
      <c r="FI172" s="75"/>
      <c r="FJ172" s="75"/>
      <c r="FK172" s="75"/>
      <c r="FL172" s="81"/>
      <c r="FM172" s="74"/>
      <c r="FN172" s="75"/>
      <c r="FO172" s="75"/>
      <c r="FP172" s="75"/>
      <c r="FQ172" s="75"/>
      <c r="FR172" s="75"/>
      <c r="FS172" s="75"/>
      <c r="FT172" s="75"/>
      <c r="FU172" s="75"/>
      <c r="FV172" s="75"/>
      <c r="FW172" s="75"/>
      <c r="FX172" s="81"/>
      <c r="FY172" s="74"/>
      <c r="FZ172" s="75"/>
      <c r="GA172" s="75"/>
      <c r="GB172" s="75"/>
      <c r="GC172" s="75"/>
      <c r="GD172" s="75"/>
      <c r="GE172" s="75"/>
      <c r="GF172" s="75"/>
      <c r="GG172" s="75"/>
      <c r="GH172" s="75"/>
      <c r="GI172" s="75"/>
      <c r="GJ172" s="81"/>
      <c r="GK172" s="74"/>
      <c r="GL172" s="75"/>
      <c r="GM172" s="75"/>
      <c r="GN172" s="75"/>
      <c r="GO172" s="75"/>
      <c r="GP172" s="75"/>
      <c r="GQ172" s="75"/>
      <c r="GR172" s="75"/>
      <c r="GS172" s="75"/>
      <c r="GT172" s="75"/>
      <c r="GU172" s="75"/>
      <c r="GV172" s="81"/>
      <c r="GW172" s="74"/>
      <c r="GX172" s="75"/>
      <c r="GY172" s="75"/>
      <c r="GZ172" s="75"/>
      <c r="HA172" s="75"/>
      <c r="HB172" s="75"/>
      <c r="HC172" s="75"/>
      <c r="HD172" s="75"/>
      <c r="HE172" s="75"/>
      <c r="HF172" s="75"/>
      <c r="HG172" s="75"/>
      <c r="HH172" s="81"/>
      <c r="HI172" s="75"/>
    </row>
    <row r="173" ht="15.0" customHeight="1">
      <c r="A173" s="74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81"/>
      <c r="M173" s="74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81"/>
      <c r="Y173" s="74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81"/>
      <c r="AK173" s="74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81"/>
      <c r="AW173" s="74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81"/>
      <c r="BI173" s="74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81"/>
      <c r="BU173" s="74"/>
      <c r="BV173" s="75"/>
      <c r="BW173" s="75"/>
      <c r="BX173" s="75"/>
      <c r="BY173" s="75"/>
      <c r="BZ173" s="75"/>
      <c r="CA173" s="75"/>
      <c r="CB173" s="75"/>
      <c r="CC173" s="75"/>
      <c r="CD173" s="75"/>
      <c r="CE173" s="75"/>
      <c r="CF173" s="81"/>
      <c r="CG173" s="74"/>
      <c r="CH173" s="75"/>
      <c r="CI173" s="75"/>
      <c r="CJ173" s="75"/>
      <c r="CK173" s="75"/>
      <c r="CL173" s="75"/>
      <c r="CM173" s="75"/>
      <c r="CN173" s="75"/>
      <c r="CO173" s="75"/>
      <c r="CP173" s="75"/>
      <c r="CQ173" s="75"/>
      <c r="CR173" s="81"/>
      <c r="CS173" s="74"/>
      <c r="CT173" s="75"/>
      <c r="CU173" s="75"/>
      <c r="CV173" s="75"/>
      <c r="CW173" s="75"/>
      <c r="CX173" s="75"/>
      <c r="CY173" s="75"/>
      <c r="CZ173" s="75"/>
      <c r="DA173" s="75"/>
      <c r="DB173" s="75"/>
      <c r="DC173" s="75"/>
      <c r="DD173" s="81"/>
      <c r="DE173" s="74"/>
      <c r="DF173" s="75"/>
      <c r="DG173" s="75"/>
      <c r="DH173" s="75"/>
      <c r="DI173" s="75"/>
      <c r="DJ173" s="75"/>
      <c r="DK173" s="75"/>
      <c r="DL173" s="75"/>
      <c r="DM173" s="75"/>
      <c r="DN173" s="75"/>
      <c r="DO173" s="75"/>
      <c r="DP173" s="81"/>
      <c r="DQ173" s="74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81"/>
      <c r="EC173" s="74"/>
      <c r="ED173" s="75"/>
      <c r="EE173" s="75"/>
      <c r="EF173" s="75"/>
      <c r="EG173" s="75"/>
      <c r="EH173" s="75"/>
      <c r="EI173" s="75"/>
      <c r="EJ173" s="75"/>
      <c r="EK173" s="75"/>
      <c r="EL173" s="75"/>
      <c r="EM173" s="75"/>
      <c r="EN173" s="81"/>
      <c r="EO173" s="74"/>
      <c r="EP173" s="75"/>
      <c r="EQ173" s="75"/>
      <c r="ER173" s="75"/>
      <c r="ES173" s="75"/>
      <c r="ET173" s="75"/>
      <c r="EU173" s="75"/>
      <c r="EV173" s="75"/>
      <c r="EW173" s="75"/>
      <c r="EX173" s="75"/>
      <c r="EY173" s="75"/>
      <c r="EZ173" s="81"/>
      <c r="FA173" s="74"/>
      <c r="FB173" s="75"/>
      <c r="FC173" s="75"/>
      <c r="FD173" s="75"/>
      <c r="FE173" s="75"/>
      <c r="FF173" s="75"/>
      <c r="FG173" s="75"/>
      <c r="FH173" s="75"/>
      <c r="FI173" s="75"/>
      <c r="FJ173" s="75"/>
      <c r="FK173" s="75"/>
      <c r="FL173" s="81"/>
      <c r="FM173" s="74"/>
      <c r="FN173" s="75"/>
      <c r="FO173" s="75"/>
      <c r="FP173" s="75"/>
      <c r="FQ173" s="75"/>
      <c r="FR173" s="75"/>
      <c r="FS173" s="75"/>
      <c r="FT173" s="75"/>
      <c r="FU173" s="75"/>
      <c r="FV173" s="75"/>
      <c r="FW173" s="75"/>
      <c r="FX173" s="81"/>
      <c r="FY173" s="74"/>
      <c r="FZ173" s="75"/>
      <c r="GA173" s="75"/>
      <c r="GB173" s="75"/>
      <c r="GC173" s="75"/>
      <c r="GD173" s="75"/>
      <c r="GE173" s="75"/>
      <c r="GF173" s="75"/>
      <c r="GG173" s="75"/>
      <c r="GH173" s="75"/>
      <c r="GI173" s="75"/>
      <c r="GJ173" s="81"/>
      <c r="GK173" s="74"/>
      <c r="GL173" s="75"/>
      <c r="GM173" s="75"/>
      <c r="GN173" s="75"/>
      <c r="GO173" s="75"/>
      <c r="GP173" s="75"/>
      <c r="GQ173" s="75"/>
      <c r="GR173" s="75"/>
      <c r="GS173" s="75"/>
      <c r="GT173" s="75"/>
      <c r="GU173" s="75"/>
      <c r="GV173" s="81"/>
      <c r="GW173" s="74"/>
      <c r="GX173" s="75"/>
      <c r="GY173" s="75"/>
      <c r="GZ173" s="75"/>
      <c r="HA173" s="75"/>
      <c r="HB173" s="75"/>
      <c r="HC173" s="75"/>
      <c r="HD173" s="75"/>
      <c r="HE173" s="75"/>
      <c r="HF173" s="75"/>
      <c r="HG173" s="75"/>
      <c r="HH173" s="81"/>
      <c r="HI173" s="75"/>
    </row>
    <row r="174" ht="15.0" customHeight="1">
      <c r="A174" s="74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81"/>
      <c r="M174" s="74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81"/>
      <c r="Y174" s="74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81"/>
      <c r="AK174" s="74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81"/>
      <c r="AW174" s="74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81"/>
      <c r="BI174" s="74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81"/>
      <c r="BU174" s="74"/>
      <c r="BV174" s="75"/>
      <c r="BW174" s="75"/>
      <c r="BX174" s="75"/>
      <c r="BY174" s="75"/>
      <c r="BZ174" s="75"/>
      <c r="CA174" s="75"/>
      <c r="CB174" s="75"/>
      <c r="CC174" s="75"/>
      <c r="CD174" s="75"/>
      <c r="CE174" s="75"/>
      <c r="CF174" s="81"/>
      <c r="CG174" s="74"/>
      <c r="CH174" s="75"/>
      <c r="CI174" s="75"/>
      <c r="CJ174" s="75"/>
      <c r="CK174" s="75"/>
      <c r="CL174" s="75"/>
      <c r="CM174" s="75"/>
      <c r="CN174" s="75"/>
      <c r="CO174" s="75"/>
      <c r="CP174" s="75"/>
      <c r="CQ174" s="75"/>
      <c r="CR174" s="81"/>
      <c r="CS174" s="74"/>
      <c r="CT174" s="75"/>
      <c r="CU174" s="75"/>
      <c r="CV174" s="75"/>
      <c r="CW174" s="75"/>
      <c r="CX174" s="75"/>
      <c r="CY174" s="75"/>
      <c r="CZ174" s="75"/>
      <c r="DA174" s="75"/>
      <c r="DB174" s="75"/>
      <c r="DC174" s="75"/>
      <c r="DD174" s="81"/>
      <c r="DE174" s="74"/>
      <c r="DF174" s="75"/>
      <c r="DG174" s="75"/>
      <c r="DH174" s="75"/>
      <c r="DI174" s="75"/>
      <c r="DJ174" s="75"/>
      <c r="DK174" s="75"/>
      <c r="DL174" s="75"/>
      <c r="DM174" s="75"/>
      <c r="DN174" s="75"/>
      <c r="DO174" s="75"/>
      <c r="DP174" s="81"/>
      <c r="DQ174" s="74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81"/>
      <c r="EC174" s="74"/>
      <c r="ED174" s="75"/>
      <c r="EE174" s="75"/>
      <c r="EF174" s="75"/>
      <c r="EG174" s="75"/>
      <c r="EH174" s="75"/>
      <c r="EI174" s="75"/>
      <c r="EJ174" s="75"/>
      <c r="EK174" s="75"/>
      <c r="EL174" s="75"/>
      <c r="EM174" s="75"/>
      <c r="EN174" s="81"/>
      <c r="EO174" s="74"/>
      <c r="EP174" s="75"/>
      <c r="EQ174" s="75"/>
      <c r="ER174" s="75"/>
      <c r="ES174" s="75"/>
      <c r="ET174" s="75"/>
      <c r="EU174" s="75"/>
      <c r="EV174" s="75"/>
      <c r="EW174" s="75"/>
      <c r="EX174" s="75"/>
      <c r="EY174" s="75"/>
      <c r="EZ174" s="81"/>
      <c r="FA174" s="74"/>
      <c r="FB174" s="75"/>
      <c r="FC174" s="75"/>
      <c r="FD174" s="75"/>
      <c r="FE174" s="75"/>
      <c r="FF174" s="75"/>
      <c r="FG174" s="75"/>
      <c r="FH174" s="75"/>
      <c r="FI174" s="75"/>
      <c r="FJ174" s="75"/>
      <c r="FK174" s="75"/>
      <c r="FL174" s="81"/>
      <c r="FM174" s="74"/>
      <c r="FN174" s="75"/>
      <c r="FO174" s="75"/>
      <c r="FP174" s="75"/>
      <c r="FQ174" s="75"/>
      <c r="FR174" s="75"/>
      <c r="FS174" s="75"/>
      <c r="FT174" s="75"/>
      <c r="FU174" s="75"/>
      <c r="FV174" s="75"/>
      <c r="FW174" s="75"/>
      <c r="FX174" s="81"/>
      <c r="FY174" s="74"/>
      <c r="FZ174" s="75"/>
      <c r="GA174" s="75"/>
      <c r="GB174" s="75"/>
      <c r="GC174" s="75"/>
      <c r="GD174" s="75"/>
      <c r="GE174" s="75"/>
      <c r="GF174" s="75"/>
      <c r="GG174" s="75"/>
      <c r="GH174" s="75"/>
      <c r="GI174" s="75"/>
      <c r="GJ174" s="81"/>
      <c r="GK174" s="74"/>
      <c r="GL174" s="75"/>
      <c r="GM174" s="75"/>
      <c r="GN174" s="75"/>
      <c r="GO174" s="75"/>
      <c r="GP174" s="75"/>
      <c r="GQ174" s="75"/>
      <c r="GR174" s="75"/>
      <c r="GS174" s="75"/>
      <c r="GT174" s="75"/>
      <c r="GU174" s="75"/>
      <c r="GV174" s="81"/>
      <c r="GW174" s="74"/>
      <c r="GX174" s="75"/>
      <c r="GY174" s="75"/>
      <c r="GZ174" s="75"/>
      <c r="HA174" s="75"/>
      <c r="HB174" s="75"/>
      <c r="HC174" s="75"/>
      <c r="HD174" s="75"/>
      <c r="HE174" s="75"/>
      <c r="HF174" s="75"/>
      <c r="HG174" s="75"/>
      <c r="HH174" s="81"/>
      <c r="HI174" s="75"/>
    </row>
    <row r="175" ht="15.0" customHeight="1">
      <c r="A175" s="74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81"/>
      <c r="M175" s="74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81"/>
      <c r="Y175" s="74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81"/>
      <c r="AK175" s="74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81"/>
      <c r="AW175" s="74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81"/>
      <c r="BI175" s="74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81"/>
      <c r="BU175" s="74"/>
      <c r="BV175" s="75"/>
      <c r="BW175" s="75"/>
      <c r="BX175" s="75"/>
      <c r="BY175" s="75"/>
      <c r="BZ175" s="75"/>
      <c r="CA175" s="75"/>
      <c r="CB175" s="75"/>
      <c r="CC175" s="75"/>
      <c r="CD175" s="75"/>
      <c r="CE175" s="75"/>
      <c r="CF175" s="81"/>
      <c r="CG175" s="74"/>
      <c r="CH175" s="75"/>
      <c r="CI175" s="75"/>
      <c r="CJ175" s="75"/>
      <c r="CK175" s="75"/>
      <c r="CL175" s="75"/>
      <c r="CM175" s="75"/>
      <c r="CN175" s="75"/>
      <c r="CO175" s="75"/>
      <c r="CP175" s="75"/>
      <c r="CQ175" s="75"/>
      <c r="CR175" s="81"/>
      <c r="CS175" s="74"/>
      <c r="CT175" s="75"/>
      <c r="CU175" s="75"/>
      <c r="CV175" s="75"/>
      <c r="CW175" s="75"/>
      <c r="CX175" s="75"/>
      <c r="CY175" s="75"/>
      <c r="CZ175" s="75"/>
      <c r="DA175" s="75"/>
      <c r="DB175" s="75"/>
      <c r="DC175" s="75"/>
      <c r="DD175" s="81"/>
      <c r="DE175" s="74"/>
      <c r="DF175" s="75"/>
      <c r="DG175" s="75"/>
      <c r="DH175" s="75"/>
      <c r="DI175" s="75"/>
      <c r="DJ175" s="75"/>
      <c r="DK175" s="75"/>
      <c r="DL175" s="75"/>
      <c r="DM175" s="75"/>
      <c r="DN175" s="75"/>
      <c r="DO175" s="75"/>
      <c r="DP175" s="81"/>
      <c r="DQ175" s="74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81"/>
      <c r="EC175" s="74"/>
      <c r="ED175" s="75"/>
      <c r="EE175" s="75"/>
      <c r="EF175" s="75"/>
      <c r="EG175" s="75"/>
      <c r="EH175" s="75"/>
      <c r="EI175" s="75"/>
      <c r="EJ175" s="75"/>
      <c r="EK175" s="75"/>
      <c r="EL175" s="75"/>
      <c r="EM175" s="75"/>
      <c r="EN175" s="81"/>
      <c r="EO175" s="74"/>
      <c r="EP175" s="75"/>
      <c r="EQ175" s="75"/>
      <c r="ER175" s="75"/>
      <c r="ES175" s="75"/>
      <c r="ET175" s="75"/>
      <c r="EU175" s="75"/>
      <c r="EV175" s="75"/>
      <c r="EW175" s="75"/>
      <c r="EX175" s="75"/>
      <c r="EY175" s="75"/>
      <c r="EZ175" s="81"/>
      <c r="FA175" s="74"/>
      <c r="FB175" s="75"/>
      <c r="FC175" s="75"/>
      <c r="FD175" s="75"/>
      <c r="FE175" s="75"/>
      <c r="FF175" s="75"/>
      <c r="FG175" s="75"/>
      <c r="FH175" s="75"/>
      <c r="FI175" s="75"/>
      <c r="FJ175" s="75"/>
      <c r="FK175" s="75"/>
      <c r="FL175" s="81"/>
      <c r="FM175" s="74"/>
      <c r="FN175" s="75"/>
      <c r="FO175" s="75"/>
      <c r="FP175" s="75"/>
      <c r="FQ175" s="75"/>
      <c r="FR175" s="75"/>
      <c r="FS175" s="75"/>
      <c r="FT175" s="75"/>
      <c r="FU175" s="75"/>
      <c r="FV175" s="75"/>
      <c r="FW175" s="75"/>
      <c r="FX175" s="81"/>
      <c r="FY175" s="74"/>
      <c r="FZ175" s="75"/>
      <c r="GA175" s="75"/>
      <c r="GB175" s="75"/>
      <c r="GC175" s="75"/>
      <c r="GD175" s="75"/>
      <c r="GE175" s="75"/>
      <c r="GF175" s="75"/>
      <c r="GG175" s="75"/>
      <c r="GH175" s="75"/>
      <c r="GI175" s="75"/>
      <c r="GJ175" s="81"/>
      <c r="GK175" s="74"/>
      <c r="GL175" s="75"/>
      <c r="GM175" s="75"/>
      <c r="GN175" s="75"/>
      <c r="GO175" s="75"/>
      <c r="GP175" s="75"/>
      <c r="GQ175" s="75"/>
      <c r="GR175" s="75"/>
      <c r="GS175" s="75"/>
      <c r="GT175" s="75"/>
      <c r="GU175" s="75"/>
      <c r="GV175" s="81"/>
      <c r="GW175" s="74"/>
      <c r="GX175" s="75"/>
      <c r="GY175" s="75"/>
      <c r="GZ175" s="75"/>
      <c r="HA175" s="75"/>
      <c r="HB175" s="75"/>
      <c r="HC175" s="75"/>
      <c r="HD175" s="75"/>
      <c r="HE175" s="75"/>
      <c r="HF175" s="75"/>
      <c r="HG175" s="75"/>
      <c r="HH175" s="81"/>
      <c r="HI175" s="75"/>
    </row>
    <row r="176" ht="15.0" customHeight="1">
      <c r="A176" s="74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81"/>
      <c r="M176" s="74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81"/>
      <c r="Y176" s="74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81"/>
      <c r="AK176" s="74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81"/>
      <c r="AW176" s="74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81"/>
      <c r="BI176" s="74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81"/>
      <c r="BU176" s="74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81"/>
      <c r="CG176" s="74"/>
      <c r="CH176" s="75"/>
      <c r="CI176" s="75"/>
      <c r="CJ176" s="75"/>
      <c r="CK176" s="75"/>
      <c r="CL176" s="75"/>
      <c r="CM176" s="75"/>
      <c r="CN176" s="75"/>
      <c r="CO176" s="75"/>
      <c r="CP176" s="75"/>
      <c r="CQ176" s="75"/>
      <c r="CR176" s="81"/>
      <c r="CS176" s="74"/>
      <c r="CT176" s="75"/>
      <c r="CU176" s="75"/>
      <c r="CV176" s="75"/>
      <c r="CW176" s="75"/>
      <c r="CX176" s="75"/>
      <c r="CY176" s="75"/>
      <c r="CZ176" s="75"/>
      <c r="DA176" s="75"/>
      <c r="DB176" s="75"/>
      <c r="DC176" s="75"/>
      <c r="DD176" s="81"/>
      <c r="DE176" s="74"/>
      <c r="DF176" s="75"/>
      <c r="DG176" s="75"/>
      <c r="DH176" s="75"/>
      <c r="DI176" s="75"/>
      <c r="DJ176" s="75"/>
      <c r="DK176" s="75"/>
      <c r="DL176" s="75"/>
      <c r="DM176" s="75"/>
      <c r="DN176" s="75"/>
      <c r="DO176" s="75"/>
      <c r="DP176" s="81"/>
      <c r="DQ176" s="74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81"/>
      <c r="EC176" s="74"/>
      <c r="ED176" s="75"/>
      <c r="EE176" s="75"/>
      <c r="EF176" s="75"/>
      <c r="EG176" s="75"/>
      <c r="EH176" s="75"/>
      <c r="EI176" s="75"/>
      <c r="EJ176" s="75"/>
      <c r="EK176" s="75"/>
      <c r="EL176" s="75"/>
      <c r="EM176" s="75"/>
      <c r="EN176" s="81"/>
      <c r="EO176" s="74"/>
      <c r="EP176" s="75"/>
      <c r="EQ176" s="75"/>
      <c r="ER176" s="75"/>
      <c r="ES176" s="75"/>
      <c r="ET176" s="75"/>
      <c r="EU176" s="75"/>
      <c r="EV176" s="75"/>
      <c r="EW176" s="75"/>
      <c r="EX176" s="75"/>
      <c r="EY176" s="75"/>
      <c r="EZ176" s="81"/>
      <c r="FA176" s="74"/>
      <c r="FB176" s="75"/>
      <c r="FC176" s="75"/>
      <c r="FD176" s="75"/>
      <c r="FE176" s="75"/>
      <c r="FF176" s="75"/>
      <c r="FG176" s="75"/>
      <c r="FH176" s="75"/>
      <c r="FI176" s="75"/>
      <c r="FJ176" s="75"/>
      <c r="FK176" s="75"/>
      <c r="FL176" s="81"/>
      <c r="FM176" s="74"/>
      <c r="FN176" s="75"/>
      <c r="FO176" s="75"/>
      <c r="FP176" s="75"/>
      <c r="FQ176" s="75"/>
      <c r="FR176" s="75"/>
      <c r="FS176" s="75"/>
      <c r="FT176" s="75"/>
      <c r="FU176" s="75"/>
      <c r="FV176" s="75"/>
      <c r="FW176" s="75"/>
      <c r="FX176" s="81"/>
      <c r="FY176" s="74"/>
      <c r="FZ176" s="75"/>
      <c r="GA176" s="75"/>
      <c r="GB176" s="75"/>
      <c r="GC176" s="75"/>
      <c r="GD176" s="75"/>
      <c r="GE176" s="75"/>
      <c r="GF176" s="75"/>
      <c r="GG176" s="75"/>
      <c r="GH176" s="75"/>
      <c r="GI176" s="75"/>
      <c r="GJ176" s="81"/>
      <c r="GK176" s="74"/>
      <c r="GL176" s="75"/>
      <c r="GM176" s="75"/>
      <c r="GN176" s="75"/>
      <c r="GO176" s="75"/>
      <c r="GP176" s="75"/>
      <c r="GQ176" s="75"/>
      <c r="GR176" s="75"/>
      <c r="GS176" s="75"/>
      <c r="GT176" s="75"/>
      <c r="GU176" s="75"/>
      <c r="GV176" s="81"/>
      <c r="GW176" s="74"/>
      <c r="GX176" s="75"/>
      <c r="GY176" s="75"/>
      <c r="GZ176" s="75"/>
      <c r="HA176" s="75"/>
      <c r="HB176" s="75"/>
      <c r="HC176" s="75"/>
      <c r="HD176" s="75"/>
      <c r="HE176" s="75"/>
      <c r="HF176" s="75"/>
      <c r="HG176" s="75"/>
      <c r="HH176" s="81"/>
      <c r="HI176" s="75"/>
    </row>
    <row r="177" ht="15.0" customHeight="1">
      <c r="A177" s="74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81"/>
      <c r="M177" s="74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81"/>
      <c r="Y177" s="74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81"/>
      <c r="AK177" s="74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81"/>
      <c r="AW177" s="74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81"/>
      <c r="BI177" s="74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81"/>
      <c r="BU177" s="74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81"/>
      <c r="CG177" s="74"/>
      <c r="CH177" s="75"/>
      <c r="CI177" s="75"/>
      <c r="CJ177" s="75"/>
      <c r="CK177" s="75"/>
      <c r="CL177" s="75"/>
      <c r="CM177" s="75"/>
      <c r="CN177" s="75"/>
      <c r="CO177" s="75"/>
      <c r="CP177" s="75"/>
      <c r="CQ177" s="75"/>
      <c r="CR177" s="81"/>
      <c r="CS177" s="74"/>
      <c r="CT177" s="75"/>
      <c r="CU177" s="75"/>
      <c r="CV177" s="75"/>
      <c r="CW177" s="75"/>
      <c r="CX177" s="75"/>
      <c r="CY177" s="75"/>
      <c r="CZ177" s="75"/>
      <c r="DA177" s="75"/>
      <c r="DB177" s="75"/>
      <c r="DC177" s="75"/>
      <c r="DD177" s="81"/>
      <c r="DE177" s="74"/>
      <c r="DF177" s="75"/>
      <c r="DG177" s="75"/>
      <c r="DH177" s="75"/>
      <c r="DI177" s="75"/>
      <c r="DJ177" s="75"/>
      <c r="DK177" s="75"/>
      <c r="DL177" s="75"/>
      <c r="DM177" s="75"/>
      <c r="DN177" s="75"/>
      <c r="DO177" s="75"/>
      <c r="DP177" s="81"/>
      <c r="DQ177" s="74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81"/>
      <c r="EC177" s="74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81"/>
      <c r="EO177" s="74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81"/>
      <c r="FA177" s="74"/>
      <c r="FB177" s="75"/>
      <c r="FC177" s="75"/>
      <c r="FD177" s="75"/>
      <c r="FE177" s="75"/>
      <c r="FF177" s="75"/>
      <c r="FG177" s="75"/>
      <c r="FH177" s="75"/>
      <c r="FI177" s="75"/>
      <c r="FJ177" s="75"/>
      <c r="FK177" s="75"/>
      <c r="FL177" s="81"/>
      <c r="FM177" s="74"/>
      <c r="FN177" s="75"/>
      <c r="FO177" s="75"/>
      <c r="FP177" s="75"/>
      <c r="FQ177" s="75"/>
      <c r="FR177" s="75"/>
      <c r="FS177" s="75"/>
      <c r="FT177" s="75"/>
      <c r="FU177" s="75"/>
      <c r="FV177" s="75"/>
      <c r="FW177" s="75"/>
      <c r="FX177" s="81"/>
      <c r="FY177" s="74"/>
      <c r="FZ177" s="75"/>
      <c r="GA177" s="75"/>
      <c r="GB177" s="75"/>
      <c r="GC177" s="75"/>
      <c r="GD177" s="75"/>
      <c r="GE177" s="75"/>
      <c r="GF177" s="75"/>
      <c r="GG177" s="75"/>
      <c r="GH177" s="75"/>
      <c r="GI177" s="75"/>
      <c r="GJ177" s="81"/>
      <c r="GK177" s="74"/>
      <c r="GL177" s="75"/>
      <c r="GM177" s="75"/>
      <c r="GN177" s="75"/>
      <c r="GO177" s="75"/>
      <c r="GP177" s="75"/>
      <c r="GQ177" s="75"/>
      <c r="GR177" s="75"/>
      <c r="GS177" s="75"/>
      <c r="GT177" s="75"/>
      <c r="GU177" s="75"/>
      <c r="GV177" s="81"/>
      <c r="GW177" s="74"/>
      <c r="GX177" s="75"/>
      <c r="GY177" s="75"/>
      <c r="GZ177" s="75"/>
      <c r="HA177" s="75"/>
      <c r="HB177" s="75"/>
      <c r="HC177" s="75"/>
      <c r="HD177" s="75"/>
      <c r="HE177" s="75"/>
      <c r="HF177" s="75"/>
      <c r="HG177" s="75"/>
      <c r="HH177" s="81"/>
      <c r="HI177" s="75"/>
    </row>
    <row r="178" ht="15.0" customHeight="1">
      <c r="A178" s="74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81"/>
      <c r="M178" s="74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81"/>
      <c r="Y178" s="74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81"/>
      <c r="AK178" s="74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81"/>
      <c r="AW178" s="74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81"/>
      <c r="BI178" s="74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81"/>
      <c r="BU178" s="74"/>
      <c r="BV178" s="75"/>
      <c r="BW178" s="75"/>
      <c r="BX178" s="75"/>
      <c r="BY178" s="75"/>
      <c r="BZ178" s="75"/>
      <c r="CA178" s="75"/>
      <c r="CB178" s="75"/>
      <c r="CC178" s="75"/>
      <c r="CD178" s="75"/>
      <c r="CE178" s="75"/>
      <c r="CF178" s="81"/>
      <c r="CG178" s="74"/>
      <c r="CH178" s="75"/>
      <c r="CI178" s="75"/>
      <c r="CJ178" s="75"/>
      <c r="CK178" s="75"/>
      <c r="CL178" s="75"/>
      <c r="CM178" s="75"/>
      <c r="CN178" s="75"/>
      <c r="CO178" s="75"/>
      <c r="CP178" s="75"/>
      <c r="CQ178" s="75"/>
      <c r="CR178" s="81"/>
      <c r="CS178" s="74"/>
      <c r="CT178" s="75"/>
      <c r="CU178" s="75"/>
      <c r="CV178" s="75"/>
      <c r="CW178" s="75"/>
      <c r="CX178" s="75"/>
      <c r="CY178" s="75"/>
      <c r="CZ178" s="75"/>
      <c r="DA178" s="75"/>
      <c r="DB178" s="75"/>
      <c r="DC178" s="75"/>
      <c r="DD178" s="81"/>
      <c r="DE178" s="74"/>
      <c r="DF178" s="75"/>
      <c r="DG178" s="75"/>
      <c r="DH178" s="75"/>
      <c r="DI178" s="75"/>
      <c r="DJ178" s="75"/>
      <c r="DK178" s="75"/>
      <c r="DL178" s="75"/>
      <c r="DM178" s="75"/>
      <c r="DN178" s="75"/>
      <c r="DO178" s="75"/>
      <c r="DP178" s="81"/>
      <c r="DQ178" s="74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81"/>
      <c r="EC178" s="74"/>
      <c r="ED178" s="75"/>
      <c r="EE178" s="75"/>
      <c r="EF178" s="75"/>
      <c r="EG178" s="75"/>
      <c r="EH178" s="75"/>
      <c r="EI178" s="75"/>
      <c r="EJ178" s="75"/>
      <c r="EK178" s="75"/>
      <c r="EL178" s="75"/>
      <c r="EM178" s="75"/>
      <c r="EN178" s="81"/>
      <c r="EO178" s="74"/>
      <c r="EP178" s="75"/>
      <c r="EQ178" s="75"/>
      <c r="ER178" s="75"/>
      <c r="ES178" s="75"/>
      <c r="ET178" s="75"/>
      <c r="EU178" s="75"/>
      <c r="EV178" s="75"/>
      <c r="EW178" s="75"/>
      <c r="EX178" s="75"/>
      <c r="EY178" s="75"/>
      <c r="EZ178" s="81"/>
      <c r="FA178" s="74"/>
      <c r="FB178" s="75"/>
      <c r="FC178" s="75"/>
      <c r="FD178" s="75"/>
      <c r="FE178" s="75"/>
      <c r="FF178" s="75"/>
      <c r="FG178" s="75"/>
      <c r="FH178" s="75"/>
      <c r="FI178" s="75"/>
      <c r="FJ178" s="75"/>
      <c r="FK178" s="75"/>
      <c r="FL178" s="81"/>
      <c r="FM178" s="74"/>
      <c r="FN178" s="75"/>
      <c r="FO178" s="75"/>
      <c r="FP178" s="75"/>
      <c r="FQ178" s="75"/>
      <c r="FR178" s="75"/>
      <c r="FS178" s="75"/>
      <c r="FT178" s="75"/>
      <c r="FU178" s="75"/>
      <c r="FV178" s="75"/>
      <c r="FW178" s="75"/>
      <c r="FX178" s="81"/>
      <c r="FY178" s="74"/>
      <c r="FZ178" s="75"/>
      <c r="GA178" s="75"/>
      <c r="GB178" s="75"/>
      <c r="GC178" s="75"/>
      <c r="GD178" s="75"/>
      <c r="GE178" s="75"/>
      <c r="GF178" s="75"/>
      <c r="GG178" s="75"/>
      <c r="GH178" s="75"/>
      <c r="GI178" s="75"/>
      <c r="GJ178" s="81"/>
      <c r="GK178" s="74"/>
      <c r="GL178" s="75"/>
      <c r="GM178" s="75"/>
      <c r="GN178" s="75"/>
      <c r="GO178" s="75"/>
      <c r="GP178" s="75"/>
      <c r="GQ178" s="75"/>
      <c r="GR178" s="75"/>
      <c r="GS178" s="75"/>
      <c r="GT178" s="75"/>
      <c r="GU178" s="75"/>
      <c r="GV178" s="81"/>
      <c r="GW178" s="74"/>
      <c r="GX178" s="75"/>
      <c r="GY178" s="75"/>
      <c r="GZ178" s="75"/>
      <c r="HA178" s="75"/>
      <c r="HB178" s="75"/>
      <c r="HC178" s="75"/>
      <c r="HD178" s="75"/>
      <c r="HE178" s="75"/>
      <c r="HF178" s="75"/>
      <c r="HG178" s="75"/>
      <c r="HH178" s="81"/>
      <c r="HI178" s="75"/>
    </row>
    <row r="179" ht="15.0" customHeight="1">
      <c r="A179" s="74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81"/>
      <c r="M179" s="74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81"/>
      <c r="Y179" s="74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81"/>
      <c r="AK179" s="74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81"/>
      <c r="AW179" s="74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81"/>
      <c r="BI179" s="74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81"/>
      <c r="BU179" s="74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81"/>
      <c r="CG179" s="74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81"/>
      <c r="CS179" s="74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81"/>
      <c r="DE179" s="74"/>
      <c r="DF179" s="75"/>
      <c r="DG179" s="75"/>
      <c r="DH179" s="75"/>
      <c r="DI179" s="75"/>
      <c r="DJ179" s="75"/>
      <c r="DK179" s="75"/>
      <c r="DL179" s="75"/>
      <c r="DM179" s="75"/>
      <c r="DN179" s="75"/>
      <c r="DO179" s="75"/>
      <c r="DP179" s="81"/>
      <c r="DQ179" s="74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81"/>
      <c r="EC179" s="74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81"/>
      <c r="EO179" s="74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81"/>
      <c r="FA179" s="74"/>
      <c r="FB179" s="75"/>
      <c r="FC179" s="75"/>
      <c r="FD179" s="75"/>
      <c r="FE179" s="75"/>
      <c r="FF179" s="75"/>
      <c r="FG179" s="75"/>
      <c r="FH179" s="75"/>
      <c r="FI179" s="75"/>
      <c r="FJ179" s="75"/>
      <c r="FK179" s="75"/>
      <c r="FL179" s="81"/>
      <c r="FM179" s="74"/>
      <c r="FN179" s="75"/>
      <c r="FO179" s="75"/>
      <c r="FP179" s="75"/>
      <c r="FQ179" s="75"/>
      <c r="FR179" s="75"/>
      <c r="FS179" s="75"/>
      <c r="FT179" s="75"/>
      <c r="FU179" s="75"/>
      <c r="FV179" s="75"/>
      <c r="FW179" s="75"/>
      <c r="FX179" s="81"/>
      <c r="FY179" s="74"/>
      <c r="FZ179" s="75"/>
      <c r="GA179" s="75"/>
      <c r="GB179" s="75"/>
      <c r="GC179" s="75"/>
      <c r="GD179" s="75"/>
      <c r="GE179" s="75"/>
      <c r="GF179" s="75"/>
      <c r="GG179" s="75"/>
      <c r="GH179" s="75"/>
      <c r="GI179" s="75"/>
      <c r="GJ179" s="81"/>
      <c r="GK179" s="74"/>
      <c r="GL179" s="75"/>
      <c r="GM179" s="75"/>
      <c r="GN179" s="75"/>
      <c r="GO179" s="75"/>
      <c r="GP179" s="75"/>
      <c r="GQ179" s="75"/>
      <c r="GR179" s="75"/>
      <c r="GS179" s="75"/>
      <c r="GT179" s="75"/>
      <c r="GU179" s="75"/>
      <c r="GV179" s="81"/>
      <c r="GW179" s="74"/>
      <c r="GX179" s="75"/>
      <c r="GY179" s="75"/>
      <c r="GZ179" s="75"/>
      <c r="HA179" s="75"/>
      <c r="HB179" s="75"/>
      <c r="HC179" s="75"/>
      <c r="HD179" s="75"/>
      <c r="HE179" s="75"/>
      <c r="HF179" s="75"/>
      <c r="HG179" s="75"/>
      <c r="HH179" s="81"/>
      <c r="HI179" s="75"/>
    </row>
    <row r="180" ht="15.0" customHeight="1">
      <c r="A180" s="74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81"/>
      <c r="M180" s="74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81"/>
      <c r="Y180" s="74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81"/>
      <c r="AK180" s="74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81"/>
      <c r="AW180" s="74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81"/>
      <c r="BI180" s="74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81"/>
      <c r="BU180" s="74"/>
      <c r="BV180" s="75"/>
      <c r="BW180" s="75"/>
      <c r="BX180" s="75"/>
      <c r="BY180" s="75"/>
      <c r="BZ180" s="75"/>
      <c r="CA180" s="75"/>
      <c r="CB180" s="75"/>
      <c r="CC180" s="75"/>
      <c r="CD180" s="75"/>
      <c r="CE180" s="75"/>
      <c r="CF180" s="81"/>
      <c r="CG180" s="74"/>
      <c r="CH180" s="75"/>
      <c r="CI180" s="75"/>
      <c r="CJ180" s="75"/>
      <c r="CK180" s="75"/>
      <c r="CL180" s="75"/>
      <c r="CM180" s="75"/>
      <c r="CN180" s="75"/>
      <c r="CO180" s="75"/>
      <c r="CP180" s="75"/>
      <c r="CQ180" s="75"/>
      <c r="CR180" s="81"/>
      <c r="CS180" s="74"/>
      <c r="CT180" s="75"/>
      <c r="CU180" s="75"/>
      <c r="CV180" s="75"/>
      <c r="CW180" s="75"/>
      <c r="CX180" s="75"/>
      <c r="CY180" s="75"/>
      <c r="CZ180" s="75"/>
      <c r="DA180" s="75"/>
      <c r="DB180" s="75"/>
      <c r="DC180" s="75"/>
      <c r="DD180" s="81"/>
      <c r="DE180" s="74"/>
      <c r="DF180" s="75"/>
      <c r="DG180" s="75"/>
      <c r="DH180" s="75"/>
      <c r="DI180" s="75"/>
      <c r="DJ180" s="75"/>
      <c r="DK180" s="75"/>
      <c r="DL180" s="75"/>
      <c r="DM180" s="75"/>
      <c r="DN180" s="75"/>
      <c r="DO180" s="75"/>
      <c r="DP180" s="81"/>
      <c r="DQ180" s="74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81"/>
      <c r="EC180" s="74"/>
      <c r="ED180" s="75"/>
      <c r="EE180" s="75"/>
      <c r="EF180" s="75"/>
      <c r="EG180" s="75"/>
      <c r="EH180" s="75"/>
      <c r="EI180" s="75"/>
      <c r="EJ180" s="75"/>
      <c r="EK180" s="75"/>
      <c r="EL180" s="75"/>
      <c r="EM180" s="75"/>
      <c r="EN180" s="81"/>
      <c r="EO180" s="74"/>
      <c r="EP180" s="75"/>
      <c r="EQ180" s="75"/>
      <c r="ER180" s="75"/>
      <c r="ES180" s="75"/>
      <c r="ET180" s="75"/>
      <c r="EU180" s="75"/>
      <c r="EV180" s="75"/>
      <c r="EW180" s="75"/>
      <c r="EX180" s="75"/>
      <c r="EY180" s="75"/>
      <c r="EZ180" s="81"/>
      <c r="FA180" s="74"/>
      <c r="FB180" s="75"/>
      <c r="FC180" s="75"/>
      <c r="FD180" s="75"/>
      <c r="FE180" s="75"/>
      <c r="FF180" s="75"/>
      <c r="FG180" s="75"/>
      <c r="FH180" s="75"/>
      <c r="FI180" s="75"/>
      <c r="FJ180" s="75"/>
      <c r="FK180" s="75"/>
      <c r="FL180" s="81"/>
      <c r="FM180" s="74"/>
      <c r="FN180" s="75"/>
      <c r="FO180" s="75"/>
      <c r="FP180" s="75"/>
      <c r="FQ180" s="75"/>
      <c r="FR180" s="75"/>
      <c r="FS180" s="75"/>
      <c r="FT180" s="75"/>
      <c r="FU180" s="75"/>
      <c r="FV180" s="75"/>
      <c r="FW180" s="75"/>
      <c r="FX180" s="81"/>
      <c r="FY180" s="74"/>
      <c r="FZ180" s="75"/>
      <c r="GA180" s="75"/>
      <c r="GB180" s="75"/>
      <c r="GC180" s="75"/>
      <c r="GD180" s="75"/>
      <c r="GE180" s="75"/>
      <c r="GF180" s="75"/>
      <c r="GG180" s="75"/>
      <c r="GH180" s="75"/>
      <c r="GI180" s="75"/>
      <c r="GJ180" s="81"/>
      <c r="GK180" s="74"/>
      <c r="GL180" s="75"/>
      <c r="GM180" s="75"/>
      <c r="GN180" s="75"/>
      <c r="GO180" s="75"/>
      <c r="GP180" s="75"/>
      <c r="GQ180" s="75"/>
      <c r="GR180" s="75"/>
      <c r="GS180" s="75"/>
      <c r="GT180" s="75"/>
      <c r="GU180" s="75"/>
      <c r="GV180" s="81"/>
      <c r="GW180" s="74"/>
      <c r="GX180" s="75"/>
      <c r="GY180" s="75"/>
      <c r="GZ180" s="75"/>
      <c r="HA180" s="75"/>
      <c r="HB180" s="75"/>
      <c r="HC180" s="75"/>
      <c r="HD180" s="75"/>
      <c r="HE180" s="75"/>
      <c r="HF180" s="75"/>
      <c r="HG180" s="75"/>
      <c r="HH180" s="81"/>
      <c r="HI180" s="75"/>
    </row>
    <row r="181" ht="15.0" customHeight="1">
      <c r="A181" s="74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81"/>
      <c r="M181" s="74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81"/>
      <c r="Y181" s="74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81"/>
      <c r="AK181" s="74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81"/>
      <c r="AW181" s="74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81"/>
      <c r="BI181" s="74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81"/>
      <c r="BU181" s="74"/>
      <c r="BV181" s="75"/>
      <c r="BW181" s="75"/>
      <c r="BX181" s="75"/>
      <c r="BY181" s="75"/>
      <c r="BZ181" s="75"/>
      <c r="CA181" s="75"/>
      <c r="CB181" s="75"/>
      <c r="CC181" s="75"/>
      <c r="CD181" s="75"/>
      <c r="CE181" s="75"/>
      <c r="CF181" s="81"/>
      <c r="CG181" s="74"/>
      <c r="CH181" s="75"/>
      <c r="CI181" s="75"/>
      <c r="CJ181" s="75"/>
      <c r="CK181" s="75"/>
      <c r="CL181" s="75"/>
      <c r="CM181" s="75"/>
      <c r="CN181" s="75"/>
      <c r="CO181" s="75"/>
      <c r="CP181" s="75"/>
      <c r="CQ181" s="75"/>
      <c r="CR181" s="81"/>
      <c r="CS181" s="74"/>
      <c r="CT181" s="75"/>
      <c r="CU181" s="75"/>
      <c r="CV181" s="75"/>
      <c r="CW181" s="75"/>
      <c r="CX181" s="75"/>
      <c r="CY181" s="75"/>
      <c r="CZ181" s="75"/>
      <c r="DA181" s="75"/>
      <c r="DB181" s="75"/>
      <c r="DC181" s="75"/>
      <c r="DD181" s="81"/>
      <c r="DE181" s="74"/>
      <c r="DF181" s="75"/>
      <c r="DG181" s="75"/>
      <c r="DH181" s="75"/>
      <c r="DI181" s="75"/>
      <c r="DJ181" s="75"/>
      <c r="DK181" s="75"/>
      <c r="DL181" s="75"/>
      <c r="DM181" s="75"/>
      <c r="DN181" s="75"/>
      <c r="DO181" s="75"/>
      <c r="DP181" s="81"/>
      <c r="DQ181" s="74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81"/>
      <c r="EC181" s="74"/>
      <c r="ED181" s="75"/>
      <c r="EE181" s="75"/>
      <c r="EF181" s="75"/>
      <c r="EG181" s="75"/>
      <c r="EH181" s="75"/>
      <c r="EI181" s="75"/>
      <c r="EJ181" s="75"/>
      <c r="EK181" s="75"/>
      <c r="EL181" s="75"/>
      <c r="EM181" s="75"/>
      <c r="EN181" s="81"/>
      <c r="EO181" s="74"/>
      <c r="EP181" s="75"/>
      <c r="EQ181" s="75"/>
      <c r="ER181" s="75"/>
      <c r="ES181" s="75"/>
      <c r="ET181" s="75"/>
      <c r="EU181" s="75"/>
      <c r="EV181" s="75"/>
      <c r="EW181" s="75"/>
      <c r="EX181" s="75"/>
      <c r="EY181" s="75"/>
      <c r="EZ181" s="81"/>
      <c r="FA181" s="74"/>
      <c r="FB181" s="75"/>
      <c r="FC181" s="75"/>
      <c r="FD181" s="75"/>
      <c r="FE181" s="75"/>
      <c r="FF181" s="75"/>
      <c r="FG181" s="75"/>
      <c r="FH181" s="75"/>
      <c r="FI181" s="75"/>
      <c r="FJ181" s="75"/>
      <c r="FK181" s="75"/>
      <c r="FL181" s="81"/>
      <c r="FM181" s="74"/>
      <c r="FN181" s="75"/>
      <c r="FO181" s="75"/>
      <c r="FP181" s="75"/>
      <c r="FQ181" s="75"/>
      <c r="FR181" s="75"/>
      <c r="FS181" s="75"/>
      <c r="FT181" s="75"/>
      <c r="FU181" s="75"/>
      <c r="FV181" s="75"/>
      <c r="FW181" s="75"/>
      <c r="FX181" s="81"/>
      <c r="FY181" s="74"/>
      <c r="FZ181" s="75"/>
      <c r="GA181" s="75"/>
      <c r="GB181" s="75"/>
      <c r="GC181" s="75"/>
      <c r="GD181" s="75"/>
      <c r="GE181" s="75"/>
      <c r="GF181" s="75"/>
      <c r="GG181" s="75"/>
      <c r="GH181" s="75"/>
      <c r="GI181" s="75"/>
      <c r="GJ181" s="81"/>
      <c r="GK181" s="74"/>
      <c r="GL181" s="75"/>
      <c r="GM181" s="75"/>
      <c r="GN181" s="75"/>
      <c r="GO181" s="75"/>
      <c r="GP181" s="75"/>
      <c r="GQ181" s="75"/>
      <c r="GR181" s="75"/>
      <c r="GS181" s="75"/>
      <c r="GT181" s="75"/>
      <c r="GU181" s="75"/>
      <c r="GV181" s="81"/>
      <c r="GW181" s="74"/>
      <c r="GX181" s="75"/>
      <c r="GY181" s="75"/>
      <c r="GZ181" s="75"/>
      <c r="HA181" s="75"/>
      <c r="HB181" s="75"/>
      <c r="HC181" s="75"/>
      <c r="HD181" s="75"/>
      <c r="HE181" s="75"/>
      <c r="HF181" s="75"/>
      <c r="HG181" s="75"/>
      <c r="HH181" s="81"/>
      <c r="HI181" s="75"/>
    </row>
    <row r="182" ht="15.0" customHeight="1">
      <c r="A182" s="74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81"/>
      <c r="M182" s="74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81"/>
      <c r="Y182" s="74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81"/>
      <c r="AK182" s="74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81"/>
      <c r="AW182" s="74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81"/>
      <c r="BI182" s="74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81"/>
      <c r="BU182" s="74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81"/>
      <c r="CG182" s="74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81"/>
      <c r="CS182" s="74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81"/>
      <c r="DE182" s="74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81"/>
      <c r="DQ182" s="74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81"/>
      <c r="EC182" s="74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81"/>
      <c r="EO182" s="74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81"/>
      <c r="FA182" s="74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81"/>
      <c r="FM182" s="74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81"/>
      <c r="FY182" s="74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81"/>
      <c r="GK182" s="74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81"/>
      <c r="GW182" s="74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81"/>
      <c r="HI182" s="75"/>
    </row>
    <row r="183" ht="15.0" customHeight="1">
      <c r="A183" s="74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81"/>
      <c r="M183" s="74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81"/>
      <c r="Y183" s="74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81"/>
      <c r="AK183" s="74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81"/>
      <c r="AW183" s="74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81"/>
      <c r="BI183" s="74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81"/>
      <c r="BU183" s="74"/>
      <c r="BV183" s="75"/>
      <c r="BW183" s="75"/>
      <c r="BX183" s="75"/>
      <c r="BY183" s="75"/>
      <c r="BZ183" s="75"/>
      <c r="CA183" s="75"/>
      <c r="CB183" s="75"/>
      <c r="CC183" s="75"/>
      <c r="CD183" s="75"/>
      <c r="CE183" s="75"/>
      <c r="CF183" s="81"/>
      <c r="CG183" s="74"/>
      <c r="CH183" s="75"/>
      <c r="CI183" s="75"/>
      <c r="CJ183" s="75"/>
      <c r="CK183" s="75"/>
      <c r="CL183" s="75"/>
      <c r="CM183" s="75"/>
      <c r="CN183" s="75"/>
      <c r="CO183" s="75"/>
      <c r="CP183" s="75"/>
      <c r="CQ183" s="75"/>
      <c r="CR183" s="81"/>
      <c r="CS183" s="74"/>
      <c r="CT183" s="75"/>
      <c r="CU183" s="75"/>
      <c r="CV183" s="75"/>
      <c r="CW183" s="75"/>
      <c r="CX183" s="75"/>
      <c r="CY183" s="75"/>
      <c r="CZ183" s="75"/>
      <c r="DA183" s="75"/>
      <c r="DB183" s="75"/>
      <c r="DC183" s="75"/>
      <c r="DD183" s="81"/>
      <c r="DE183" s="74"/>
      <c r="DF183" s="75"/>
      <c r="DG183" s="75"/>
      <c r="DH183" s="75"/>
      <c r="DI183" s="75"/>
      <c r="DJ183" s="75"/>
      <c r="DK183" s="75"/>
      <c r="DL183" s="75"/>
      <c r="DM183" s="75"/>
      <c r="DN183" s="75"/>
      <c r="DO183" s="75"/>
      <c r="DP183" s="81"/>
      <c r="DQ183" s="74"/>
      <c r="DR183" s="75"/>
      <c r="DS183" s="75"/>
      <c r="DT183" s="75"/>
      <c r="DU183" s="75"/>
      <c r="DV183" s="75"/>
      <c r="DW183" s="75"/>
      <c r="DX183" s="75"/>
      <c r="DY183" s="75"/>
      <c r="DZ183" s="75"/>
      <c r="EA183" s="75"/>
      <c r="EB183" s="81"/>
      <c r="EC183" s="74"/>
      <c r="ED183" s="75"/>
      <c r="EE183" s="75"/>
      <c r="EF183" s="75"/>
      <c r="EG183" s="75"/>
      <c r="EH183" s="75"/>
      <c r="EI183" s="75"/>
      <c r="EJ183" s="75"/>
      <c r="EK183" s="75"/>
      <c r="EL183" s="75"/>
      <c r="EM183" s="75"/>
      <c r="EN183" s="81"/>
      <c r="EO183" s="74"/>
      <c r="EP183" s="75"/>
      <c r="EQ183" s="75"/>
      <c r="ER183" s="75"/>
      <c r="ES183" s="75"/>
      <c r="ET183" s="75"/>
      <c r="EU183" s="75"/>
      <c r="EV183" s="75"/>
      <c r="EW183" s="75"/>
      <c r="EX183" s="75"/>
      <c r="EY183" s="75"/>
      <c r="EZ183" s="81"/>
      <c r="FA183" s="74"/>
      <c r="FB183" s="75"/>
      <c r="FC183" s="75"/>
      <c r="FD183" s="75"/>
      <c r="FE183" s="75"/>
      <c r="FF183" s="75"/>
      <c r="FG183" s="75"/>
      <c r="FH183" s="75"/>
      <c r="FI183" s="75"/>
      <c r="FJ183" s="75"/>
      <c r="FK183" s="75"/>
      <c r="FL183" s="81"/>
      <c r="FM183" s="74"/>
      <c r="FN183" s="75"/>
      <c r="FO183" s="75"/>
      <c r="FP183" s="75"/>
      <c r="FQ183" s="75"/>
      <c r="FR183" s="75"/>
      <c r="FS183" s="75"/>
      <c r="FT183" s="75"/>
      <c r="FU183" s="75"/>
      <c r="FV183" s="75"/>
      <c r="FW183" s="75"/>
      <c r="FX183" s="81"/>
      <c r="FY183" s="74"/>
      <c r="FZ183" s="75"/>
      <c r="GA183" s="75"/>
      <c r="GB183" s="75"/>
      <c r="GC183" s="75"/>
      <c r="GD183" s="75"/>
      <c r="GE183" s="75"/>
      <c r="GF183" s="75"/>
      <c r="GG183" s="75"/>
      <c r="GH183" s="75"/>
      <c r="GI183" s="75"/>
      <c r="GJ183" s="81"/>
      <c r="GK183" s="74"/>
      <c r="GL183" s="75"/>
      <c r="GM183" s="75"/>
      <c r="GN183" s="75"/>
      <c r="GO183" s="75"/>
      <c r="GP183" s="75"/>
      <c r="GQ183" s="75"/>
      <c r="GR183" s="75"/>
      <c r="GS183" s="75"/>
      <c r="GT183" s="75"/>
      <c r="GU183" s="75"/>
      <c r="GV183" s="81"/>
      <c r="GW183" s="74"/>
      <c r="GX183" s="75"/>
      <c r="GY183" s="75"/>
      <c r="GZ183" s="75"/>
      <c r="HA183" s="75"/>
      <c r="HB183" s="75"/>
      <c r="HC183" s="75"/>
      <c r="HD183" s="75"/>
      <c r="HE183" s="75"/>
      <c r="HF183" s="75"/>
      <c r="HG183" s="75"/>
      <c r="HH183" s="81"/>
      <c r="HI183" s="75"/>
    </row>
    <row r="184" ht="15.0" customHeight="1">
      <c r="A184" s="74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81"/>
      <c r="M184" s="74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81"/>
      <c r="Y184" s="74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81"/>
      <c r="AK184" s="74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81"/>
      <c r="AW184" s="74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81"/>
      <c r="BI184" s="74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81"/>
      <c r="BU184" s="74"/>
      <c r="BV184" s="75"/>
      <c r="BW184" s="75"/>
      <c r="BX184" s="75"/>
      <c r="BY184" s="75"/>
      <c r="BZ184" s="75"/>
      <c r="CA184" s="75"/>
      <c r="CB184" s="75"/>
      <c r="CC184" s="75"/>
      <c r="CD184" s="75"/>
      <c r="CE184" s="75"/>
      <c r="CF184" s="81"/>
      <c r="CG184" s="74"/>
      <c r="CH184" s="75"/>
      <c r="CI184" s="75"/>
      <c r="CJ184" s="75"/>
      <c r="CK184" s="75"/>
      <c r="CL184" s="75"/>
      <c r="CM184" s="75"/>
      <c r="CN184" s="75"/>
      <c r="CO184" s="75"/>
      <c r="CP184" s="75"/>
      <c r="CQ184" s="75"/>
      <c r="CR184" s="81"/>
      <c r="CS184" s="74"/>
      <c r="CT184" s="75"/>
      <c r="CU184" s="75"/>
      <c r="CV184" s="75"/>
      <c r="CW184" s="75"/>
      <c r="CX184" s="75"/>
      <c r="CY184" s="75"/>
      <c r="CZ184" s="75"/>
      <c r="DA184" s="75"/>
      <c r="DB184" s="75"/>
      <c r="DC184" s="75"/>
      <c r="DD184" s="81"/>
      <c r="DE184" s="74"/>
      <c r="DF184" s="75"/>
      <c r="DG184" s="75"/>
      <c r="DH184" s="75"/>
      <c r="DI184" s="75"/>
      <c r="DJ184" s="75"/>
      <c r="DK184" s="75"/>
      <c r="DL184" s="75"/>
      <c r="DM184" s="75"/>
      <c r="DN184" s="75"/>
      <c r="DO184" s="75"/>
      <c r="DP184" s="81"/>
      <c r="DQ184" s="74"/>
      <c r="DR184" s="75"/>
      <c r="DS184" s="75"/>
      <c r="DT184" s="75"/>
      <c r="DU184" s="75"/>
      <c r="DV184" s="75"/>
      <c r="DW184" s="75"/>
      <c r="DX184" s="75"/>
      <c r="DY184" s="75"/>
      <c r="DZ184" s="75"/>
      <c r="EA184" s="75"/>
      <c r="EB184" s="81"/>
      <c r="EC184" s="74"/>
      <c r="ED184" s="75"/>
      <c r="EE184" s="75"/>
      <c r="EF184" s="75"/>
      <c r="EG184" s="75"/>
      <c r="EH184" s="75"/>
      <c r="EI184" s="75"/>
      <c r="EJ184" s="75"/>
      <c r="EK184" s="75"/>
      <c r="EL184" s="75"/>
      <c r="EM184" s="75"/>
      <c r="EN184" s="81"/>
      <c r="EO184" s="74"/>
      <c r="EP184" s="75"/>
      <c r="EQ184" s="75"/>
      <c r="ER184" s="75"/>
      <c r="ES184" s="75"/>
      <c r="ET184" s="75"/>
      <c r="EU184" s="75"/>
      <c r="EV184" s="75"/>
      <c r="EW184" s="75"/>
      <c r="EX184" s="75"/>
      <c r="EY184" s="75"/>
      <c r="EZ184" s="81"/>
      <c r="FA184" s="74"/>
      <c r="FB184" s="75"/>
      <c r="FC184" s="75"/>
      <c r="FD184" s="75"/>
      <c r="FE184" s="75"/>
      <c r="FF184" s="75"/>
      <c r="FG184" s="75"/>
      <c r="FH184" s="75"/>
      <c r="FI184" s="75"/>
      <c r="FJ184" s="75"/>
      <c r="FK184" s="75"/>
      <c r="FL184" s="81"/>
      <c r="FM184" s="74"/>
      <c r="FN184" s="75"/>
      <c r="FO184" s="75"/>
      <c r="FP184" s="75"/>
      <c r="FQ184" s="75"/>
      <c r="FR184" s="75"/>
      <c r="FS184" s="75"/>
      <c r="FT184" s="75"/>
      <c r="FU184" s="75"/>
      <c r="FV184" s="75"/>
      <c r="FW184" s="75"/>
      <c r="FX184" s="81"/>
      <c r="FY184" s="74"/>
      <c r="FZ184" s="75"/>
      <c r="GA184" s="75"/>
      <c r="GB184" s="75"/>
      <c r="GC184" s="75"/>
      <c r="GD184" s="75"/>
      <c r="GE184" s="75"/>
      <c r="GF184" s="75"/>
      <c r="GG184" s="75"/>
      <c r="GH184" s="75"/>
      <c r="GI184" s="75"/>
      <c r="GJ184" s="81"/>
      <c r="GK184" s="74"/>
      <c r="GL184" s="75"/>
      <c r="GM184" s="75"/>
      <c r="GN184" s="75"/>
      <c r="GO184" s="75"/>
      <c r="GP184" s="75"/>
      <c r="GQ184" s="75"/>
      <c r="GR184" s="75"/>
      <c r="GS184" s="75"/>
      <c r="GT184" s="75"/>
      <c r="GU184" s="75"/>
      <c r="GV184" s="81"/>
      <c r="GW184" s="74"/>
      <c r="GX184" s="75"/>
      <c r="GY184" s="75"/>
      <c r="GZ184" s="75"/>
      <c r="HA184" s="75"/>
      <c r="HB184" s="75"/>
      <c r="HC184" s="75"/>
      <c r="HD184" s="75"/>
      <c r="HE184" s="75"/>
      <c r="HF184" s="75"/>
      <c r="HG184" s="75"/>
      <c r="HH184" s="81"/>
      <c r="HI184" s="75"/>
    </row>
    <row r="185" ht="15.0" customHeight="1">
      <c r="A185" s="74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81"/>
      <c r="M185" s="74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81"/>
      <c r="Y185" s="74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81"/>
      <c r="AK185" s="74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81"/>
      <c r="AW185" s="74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81"/>
      <c r="BI185" s="74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81"/>
      <c r="BU185" s="74"/>
      <c r="BV185" s="75"/>
      <c r="BW185" s="75"/>
      <c r="BX185" s="75"/>
      <c r="BY185" s="75"/>
      <c r="BZ185" s="75"/>
      <c r="CA185" s="75"/>
      <c r="CB185" s="75"/>
      <c r="CC185" s="75"/>
      <c r="CD185" s="75"/>
      <c r="CE185" s="75"/>
      <c r="CF185" s="81"/>
      <c r="CG185" s="74"/>
      <c r="CH185" s="75"/>
      <c r="CI185" s="75"/>
      <c r="CJ185" s="75"/>
      <c r="CK185" s="75"/>
      <c r="CL185" s="75"/>
      <c r="CM185" s="75"/>
      <c r="CN185" s="75"/>
      <c r="CO185" s="75"/>
      <c r="CP185" s="75"/>
      <c r="CQ185" s="75"/>
      <c r="CR185" s="81"/>
      <c r="CS185" s="74"/>
      <c r="CT185" s="75"/>
      <c r="CU185" s="75"/>
      <c r="CV185" s="75"/>
      <c r="CW185" s="75"/>
      <c r="CX185" s="75"/>
      <c r="CY185" s="75"/>
      <c r="CZ185" s="75"/>
      <c r="DA185" s="75"/>
      <c r="DB185" s="75"/>
      <c r="DC185" s="75"/>
      <c r="DD185" s="81"/>
      <c r="DE185" s="74"/>
      <c r="DF185" s="75"/>
      <c r="DG185" s="75"/>
      <c r="DH185" s="75"/>
      <c r="DI185" s="75"/>
      <c r="DJ185" s="75"/>
      <c r="DK185" s="75"/>
      <c r="DL185" s="75"/>
      <c r="DM185" s="75"/>
      <c r="DN185" s="75"/>
      <c r="DO185" s="75"/>
      <c r="DP185" s="81"/>
      <c r="DQ185" s="74"/>
      <c r="DR185" s="75"/>
      <c r="DS185" s="75"/>
      <c r="DT185" s="75"/>
      <c r="DU185" s="75"/>
      <c r="DV185" s="75"/>
      <c r="DW185" s="75"/>
      <c r="DX185" s="75"/>
      <c r="DY185" s="75"/>
      <c r="DZ185" s="75"/>
      <c r="EA185" s="75"/>
      <c r="EB185" s="81"/>
      <c r="EC185" s="74"/>
      <c r="ED185" s="75"/>
      <c r="EE185" s="75"/>
      <c r="EF185" s="75"/>
      <c r="EG185" s="75"/>
      <c r="EH185" s="75"/>
      <c r="EI185" s="75"/>
      <c r="EJ185" s="75"/>
      <c r="EK185" s="75"/>
      <c r="EL185" s="75"/>
      <c r="EM185" s="75"/>
      <c r="EN185" s="81"/>
      <c r="EO185" s="74"/>
      <c r="EP185" s="75"/>
      <c r="EQ185" s="75"/>
      <c r="ER185" s="75"/>
      <c r="ES185" s="75"/>
      <c r="ET185" s="75"/>
      <c r="EU185" s="75"/>
      <c r="EV185" s="75"/>
      <c r="EW185" s="75"/>
      <c r="EX185" s="75"/>
      <c r="EY185" s="75"/>
      <c r="EZ185" s="81"/>
      <c r="FA185" s="74"/>
      <c r="FB185" s="75"/>
      <c r="FC185" s="75"/>
      <c r="FD185" s="75"/>
      <c r="FE185" s="75"/>
      <c r="FF185" s="75"/>
      <c r="FG185" s="75"/>
      <c r="FH185" s="75"/>
      <c r="FI185" s="75"/>
      <c r="FJ185" s="75"/>
      <c r="FK185" s="75"/>
      <c r="FL185" s="81"/>
      <c r="FM185" s="74"/>
      <c r="FN185" s="75"/>
      <c r="FO185" s="75"/>
      <c r="FP185" s="75"/>
      <c r="FQ185" s="75"/>
      <c r="FR185" s="75"/>
      <c r="FS185" s="75"/>
      <c r="FT185" s="75"/>
      <c r="FU185" s="75"/>
      <c r="FV185" s="75"/>
      <c r="FW185" s="75"/>
      <c r="FX185" s="81"/>
      <c r="FY185" s="74"/>
      <c r="FZ185" s="75"/>
      <c r="GA185" s="75"/>
      <c r="GB185" s="75"/>
      <c r="GC185" s="75"/>
      <c r="GD185" s="75"/>
      <c r="GE185" s="75"/>
      <c r="GF185" s="75"/>
      <c r="GG185" s="75"/>
      <c r="GH185" s="75"/>
      <c r="GI185" s="75"/>
      <c r="GJ185" s="81"/>
      <c r="GK185" s="74"/>
      <c r="GL185" s="75"/>
      <c r="GM185" s="75"/>
      <c r="GN185" s="75"/>
      <c r="GO185" s="75"/>
      <c r="GP185" s="75"/>
      <c r="GQ185" s="75"/>
      <c r="GR185" s="75"/>
      <c r="GS185" s="75"/>
      <c r="GT185" s="75"/>
      <c r="GU185" s="75"/>
      <c r="GV185" s="81"/>
      <c r="GW185" s="74"/>
      <c r="GX185" s="75"/>
      <c r="GY185" s="75"/>
      <c r="GZ185" s="75"/>
      <c r="HA185" s="75"/>
      <c r="HB185" s="75"/>
      <c r="HC185" s="75"/>
      <c r="HD185" s="75"/>
      <c r="HE185" s="75"/>
      <c r="HF185" s="75"/>
      <c r="HG185" s="75"/>
      <c r="HH185" s="81"/>
      <c r="HI185" s="75"/>
    </row>
    <row r="186" ht="15.0" customHeight="1">
      <c r="A186" s="74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81"/>
      <c r="M186" s="74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81"/>
      <c r="Y186" s="74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81"/>
      <c r="AK186" s="74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81"/>
      <c r="AW186" s="74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81"/>
      <c r="BI186" s="74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81"/>
      <c r="BU186" s="74"/>
      <c r="BV186" s="75"/>
      <c r="BW186" s="75"/>
      <c r="BX186" s="75"/>
      <c r="BY186" s="75"/>
      <c r="BZ186" s="75"/>
      <c r="CA186" s="75"/>
      <c r="CB186" s="75"/>
      <c r="CC186" s="75"/>
      <c r="CD186" s="75"/>
      <c r="CE186" s="75"/>
      <c r="CF186" s="81"/>
      <c r="CG186" s="74"/>
      <c r="CH186" s="75"/>
      <c r="CI186" s="75"/>
      <c r="CJ186" s="75"/>
      <c r="CK186" s="75"/>
      <c r="CL186" s="75"/>
      <c r="CM186" s="75"/>
      <c r="CN186" s="75"/>
      <c r="CO186" s="75"/>
      <c r="CP186" s="75"/>
      <c r="CQ186" s="75"/>
      <c r="CR186" s="81"/>
      <c r="CS186" s="74"/>
      <c r="CT186" s="75"/>
      <c r="CU186" s="75"/>
      <c r="CV186" s="75"/>
      <c r="CW186" s="75"/>
      <c r="CX186" s="75"/>
      <c r="CY186" s="75"/>
      <c r="CZ186" s="75"/>
      <c r="DA186" s="75"/>
      <c r="DB186" s="75"/>
      <c r="DC186" s="75"/>
      <c r="DD186" s="81"/>
      <c r="DE186" s="74"/>
      <c r="DF186" s="75"/>
      <c r="DG186" s="75"/>
      <c r="DH186" s="75"/>
      <c r="DI186" s="75"/>
      <c r="DJ186" s="75"/>
      <c r="DK186" s="75"/>
      <c r="DL186" s="75"/>
      <c r="DM186" s="75"/>
      <c r="DN186" s="75"/>
      <c r="DO186" s="75"/>
      <c r="DP186" s="81"/>
      <c r="DQ186" s="74"/>
      <c r="DR186" s="75"/>
      <c r="DS186" s="75"/>
      <c r="DT186" s="75"/>
      <c r="DU186" s="75"/>
      <c r="DV186" s="75"/>
      <c r="DW186" s="75"/>
      <c r="DX186" s="75"/>
      <c r="DY186" s="75"/>
      <c r="DZ186" s="75"/>
      <c r="EA186" s="75"/>
      <c r="EB186" s="81"/>
      <c r="EC186" s="74"/>
      <c r="ED186" s="75"/>
      <c r="EE186" s="75"/>
      <c r="EF186" s="75"/>
      <c r="EG186" s="75"/>
      <c r="EH186" s="75"/>
      <c r="EI186" s="75"/>
      <c r="EJ186" s="75"/>
      <c r="EK186" s="75"/>
      <c r="EL186" s="75"/>
      <c r="EM186" s="75"/>
      <c r="EN186" s="81"/>
      <c r="EO186" s="74"/>
      <c r="EP186" s="75"/>
      <c r="EQ186" s="75"/>
      <c r="ER186" s="75"/>
      <c r="ES186" s="75"/>
      <c r="ET186" s="75"/>
      <c r="EU186" s="75"/>
      <c r="EV186" s="75"/>
      <c r="EW186" s="75"/>
      <c r="EX186" s="75"/>
      <c r="EY186" s="75"/>
      <c r="EZ186" s="81"/>
      <c r="FA186" s="74"/>
      <c r="FB186" s="75"/>
      <c r="FC186" s="75"/>
      <c r="FD186" s="75"/>
      <c r="FE186" s="75"/>
      <c r="FF186" s="75"/>
      <c r="FG186" s="75"/>
      <c r="FH186" s="75"/>
      <c r="FI186" s="75"/>
      <c r="FJ186" s="75"/>
      <c r="FK186" s="75"/>
      <c r="FL186" s="81"/>
      <c r="FM186" s="74"/>
      <c r="FN186" s="75"/>
      <c r="FO186" s="75"/>
      <c r="FP186" s="75"/>
      <c r="FQ186" s="75"/>
      <c r="FR186" s="75"/>
      <c r="FS186" s="75"/>
      <c r="FT186" s="75"/>
      <c r="FU186" s="75"/>
      <c r="FV186" s="75"/>
      <c r="FW186" s="75"/>
      <c r="FX186" s="81"/>
      <c r="FY186" s="74"/>
      <c r="FZ186" s="75"/>
      <c r="GA186" s="75"/>
      <c r="GB186" s="75"/>
      <c r="GC186" s="75"/>
      <c r="GD186" s="75"/>
      <c r="GE186" s="75"/>
      <c r="GF186" s="75"/>
      <c r="GG186" s="75"/>
      <c r="GH186" s="75"/>
      <c r="GI186" s="75"/>
      <c r="GJ186" s="81"/>
      <c r="GK186" s="74"/>
      <c r="GL186" s="75"/>
      <c r="GM186" s="75"/>
      <c r="GN186" s="75"/>
      <c r="GO186" s="75"/>
      <c r="GP186" s="75"/>
      <c r="GQ186" s="75"/>
      <c r="GR186" s="75"/>
      <c r="GS186" s="75"/>
      <c r="GT186" s="75"/>
      <c r="GU186" s="75"/>
      <c r="GV186" s="81"/>
      <c r="GW186" s="74"/>
      <c r="GX186" s="75"/>
      <c r="GY186" s="75"/>
      <c r="GZ186" s="75"/>
      <c r="HA186" s="75"/>
      <c r="HB186" s="75"/>
      <c r="HC186" s="75"/>
      <c r="HD186" s="75"/>
      <c r="HE186" s="75"/>
      <c r="HF186" s="75"/>
      <c r="HG186" s="75"/>
      <c r="HH186" s="81"/>
      <c r="HI186" s="75"/>
    </row>
    <row r="187" ht="15.0" customHeight="1">
      <c r="A187" s="74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81"/>
      <c r="M187" s="74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81"/>
      <c r="Y187" s="74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81"/>
      <c r="AK187" s="74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81"/>
      <c r="AW187" s="74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81"/>
      <c r="BI187" s="74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81"/>
      <c r="BU187" s="74"/>
      <c r="BV187" s="75"/>
      <c r="BW187" s="75"/>
      <c r="BX187" s="75"/>
      <c r="BY187" s="75"/>
      <c r="BZ187" s="75"/>
      <c r="CA187" s="75"/>
      <c r="CB187" s="75"/>
      <c r="CC187" s="75"/>
      <c r="CD187" s="75"/>
      <c r="CE187" s="75"/>
      <c r="CF187" s="81"/>
      <c r="CG187" s="74"/>
      <c r="CH187" s="75"/>
      <c r="CI187" s="75"/>
      <c r="CJ187" s="75"/>
      <c r="CK187" s="75"/>
      <c r="CL187" s="75"/>
      <c r="CM187" s="75"/>
      <c r="CN187" s="75"/>
      <c r="CO187" s="75"/>
      <c r="CP187" s="75"/>
      <c r="CQ187" s="75"/>
      <c r="CR187" s="81"/>
      <c r="CS187" s="74"/>
      <c r="CT187" s="75"/>
      <c r="CU187" s="75"/>
      <c r="CV187" s="75"/>
      <c r="CW187" s="75"/>
      <c r="CX187" s="75"/>
      <c r="CY187" s="75"/>
      <c r="CZ187" s="75"/>
      <c r="DA187" s="75"/>
      <c r="DB187" s="75"/>
      <c r="DC187" s="75"/>
      <c r="DD187" s="81"/>
      <c r="DE187" s="74"/>
      <c r="DF187" s="75"/>
      <c r="DG187" s="75"/>
      <c r="DH187" s="75"/>
      <c r="DI187" s="75"/>
      <c r="DJ187" s="75"/>
      <c r="DK187" s="75"/>
      <c r="DL187" s="75"/>
      <c r="DM187" s="75"/>
      <c r="DN187" s="75"/>
      <c r="DO187" s="75"/>
      <c r="DP187" s="81"/>
      <c r="DQ187" s="74"/>
      <c r="DR187" s="75"/>
      <c r="DS187" s="75"/>
      <c r="DT187" s="75"/>
      <c r="DU187" s="75"/>
      <c r="DV187" s="75"/>
      <c r="DW187" s="75"/>
      <c r="DX187" s="75"/>
      <c r="DY187" s="75"/>
      <c r="DZ187" s="75"/>
      <c r="EA187" s="75"/>
      <c r="EB187" s="81"/>
      <c r="EC187" s="74"/>
      <c r="ED187" s="75"/>
      <c r="EE187" s="75"/>
      <c r="EF187" s="75"/>
      <c r="EG187" s="75"/>
      <c r="EH187" s="75"/>
      <c r="EI187" s="75"/>
      <c r="EJ187" s="75"/>
      <c r="EK187" s="75"/>
      <c r="EL187" s="75"/>
      <c r="EM187" s="75"/>
      <c r="EN187" s="81"/>
      <c r="EO187" s="74"/>
      <c r="EP187" s="75"/>
      <c r="EQ187" s="75"/>
      <c r="ER187" s="75"/>
      <c r="ES187" s="75"/>
      <c r="ET187" s="75"/>
      <c r="EU187" s="75"/>
      <c r="EV187" s="75"/>
      <c r="EW187" s="75"/>
      <c r="EX187" s="75"/>
      <c r="EY187" s="75"/>
      <c r="EZ187" s="81"/>
      <c r="FA187" s="74"/>
      <c r="FB187" s="75"/>
      <c r="FC187" s="75"/>
      <c r="FD187" s="75"/>
      <c r="FE187" s="75"/>
      <c r="FF187" s="75"/>
      <c r="FG187" s="75"/>
      <c r="FH187" s="75"/>
      <c r="FI187" s="75"/>
      <c r="FJ187" s="75"/>
      <c r="FK187" s="75"/>
      <c r="FL187" s="81"/>
      <c r="FM187" s="74"/>
      <c r="FN187" s="75"/>
      <c r="FO187" s="75"/>
      <c r="FP187" s="75"/>
      <c r="FQ187" s="75"/>
      <c r="FR187" s="75"/>
      <c r="FS187" s="75"/>
      <c r="FT187" s="75"/>
      <c r="FU187" s="75"/>
      <c r="FV187" s="75"/>
      <c r="FW187" s="75"/>
      <c r="FX187" s="81"/>
      <c r="FY187" s="74"/>
      <c r="FZ187" s="75"/>
      <c r="GA187" s="75"/>
      <c r="GB187" s="75"/>
      <c r="GC187" s="75"/>
      <c r="GD187" s="75"/>
      <c r="GE187" s="75"/>
      <c r="GF187" s="75"/>
      <c r="GG187" s="75"/>
      <c r="GH187" s="75"/>
      <c r="GI187" s="75"/>
      <c r="GJ187" s="81"/>
      <c r="GK187" s="74"/>
      <c r="GL187" s="75"/>
      <c r="GM187" s="75"/>
      <c r="GN187" s="75"/>
      <c r="GO187" s="75"/>
      <c r="GP187" s="75"/>
      <c r="GQ187" s="75"/>
      <c r="GR187" s="75"/>
      <c r="GS187" s="75"/>
      <c r="GT187" s="75"/>
      <c r="GU187" s="75"/>
      <c r="GV187" s="81"/>
      <c r="GW187" s="74"/>
      <c r="GX187" s="75"/>
      <c r="GY187" s="75"/>
      <c r="GZ187" s="75"/>
      <c r="HA187" s="75"/>
      <c r="HB187" s="75"/>
      <c r="HC187" s="75"/>
      <c r="HD187" s="75"/>
      <c r="HE187" s="75"/>
      <c r="HF187" s="75"/>
      <c r="HG187" s="75"/>
      <c r="HH187" s="81"/>
      <c r="HI187" s="75"/>
    </row>
    <row r="188" ht="15.0" customHeight="1">
      <c r="A188" s="74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81"/>
      <c r="M188" s="74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81"/>
      <c r="Y188" s="74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81"/>
      <c r="AK188" s="74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81"/>
      <c r="AW188" s="74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81"/>
      <c r="BI188" s="74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81"/>
      <c r="BU188" s="74"/>
      <c r="BV188" s="75"/>
      <c r="BW188" s="75"/>
      <c r="BX188" s="75"/>
      <c r="BY188" s="75"/>
      <c r="BZ188" s="75"/>
      <c r="CA188" s="75"/>
      <c r="CB188" s="75"/>
      <c r="CC188" s="75"/>
      <c r="CD188" s="75"/>
      <c r="CE188" s="75"/>
      <c r="CF188" s="81"/>
      <c r="CG188" s="74"/>
      <c r="CH188" s="75"/>
      <c r="CI188" s="75"/>
      <c r="CJ188" s="75"/>
      <c r="CK188" s="75"/>
      <c r="CL188" s="75"/>
      <c r="CM188" s="75"/>
      <c r="CN188" s="75"/>
      <c r="CO188" s="75"/>
      <c r="CP188" s="75"/>
      <c r="CQ188" s="75"/>
      <c r="CR188" s="81"/>
      <c r="CS188" s="74"/>
      <c r="CT188" s="75"/>
      <c r="CU188" s="75"/>
      <c r="CV188" s="75"/>
      <c r="CW188" s="75"/>
      <c r="CX188" s="75"/>
      <c r="CY188" s="75"/>
      <c r="CZ188" s="75"/>
      <c r="DA188" s="75"/>
      <c r="DB188" s="75"/>
      <c r="DC188" s="75"/>
      <c r="DD188" s="81"/>
      <c r="DE188" s="74"/>
      <c r="DF188" s="75"/>
      <c r="DG188" s="75"/>
      <c r="DH188" s="75"/>
      <c r="DI188" s="75"/>
      <c r="DJ188" s="75"/>
      <c r="DK188" s="75"/>
      <c r="DL188" s="75"/>
      <c r="DM188" s="75"/>
      <c r="DN188" s="75"/>
      <c r="DO188" s="75"/>
      <c r="DP188" s="81"/>
      <c r="DQ188" s="74"/>
      <c r="DR188" s="75"/>
      <c r="DS188" s="75"/>
      <c r="DT188" s="75"/>
      <c r="DU188" s="75"/>
      <c r="DV188" s="75"/>
      <c r="DW188" s="75"/>
      <c r="DX188" s="75"/>
      <c r="DY188" s="75"/>
      <c r="DZ188" s="75"/>
      <c r="EA188" s="75"/>
      <c r="EB188" s="81"/>
      <c r="EC188" s="74"/>
      <c r="ED188" s="75"/>
      <c r="EE188" s="75"/>
      <c r="EF188" s="75"/>
      <c r="EG188" s="75"/>
      <c r="EH188" s="75"/>
      <c r="EI188" s="75"/>
      <c r="EJ188" s="75"/>
      <c r="EK188" s="75"/>
      <c r="EL188" s="75"/>
      <c r="EM188" s="75"/>
      <c r="EN188" s="81"/>
      <c r="EO188" s="74"/>
      <c r="EP188" s="75"/>
      <c r="EQ188" s="75"/>
      <c r="ER188" s="75"/>
      <c r="ES188" s="75"/>
      <c r="ET188" s="75"/>
      <c r="EU188" s="75"/>
      <c r="EV188" s="75"/>
      <c r="EW188" s="75"/>
      <c r="EX188" s="75"/>
      <c r="EY188" s="75"/>
      <c r="EZ188" s="81"/>
      <c r="FA188" s="74"/>
      <c r="FB188" s="75"/>
      <c r="FC188" s="75"/>
      <c r="FD188" s="75"/>
      <c r="FE188" s="75"/>
      <c r="FF188" s="75"/>
      <c r="FG188" s="75"/>
      <c r="FH188" s="75"/>
      <c r="FI188" s="75"/>
      <c r="FJ188" s="75"/>
      <c r="FK188" s="75"/>
      <c r="FL188" s="81"/>
      <c r="FM188" s="74"/>
      <c r="FN188" s="75"/>
      <c r="FO188" s="75"/>
      <c r="FP188" s="75"/>
      <c r="FQ188" s="75"/>
      <c r="FR188" s="75"/>
      <c r="FS188" s="75"/>
      <c r="FT188" s="75"/>
      <c r="FU188" s="75"/>
      <c r="FV188" s="75"/>
      <c r="FW188" s="75"/>
      <c r="FX188" s="81"/>
      <c r="FY188" s="74"/>
      <c r="FZ188" s="75"/>
      <c r="GA188" s="75"/>
      <c r="GB188" s="75"/>
      <c r="GC188" s="75"/>
      <c r="GD188" s="75"/>
      <c r="GE188" s="75"/>
      <c r="GF188" s="75"/>
      <c r="GG188" s="75"/>
      <c r="GH188" s="75"/>
      <c r="GI188" s="75"/>
      <c r="GJ188" s="81"/>
      <c r="GK188" s="74"/>
      <c r="GL188" s="75"/>
      <c r="GM188" s="75"/>
      <c r="GN188" s="75"/>
      <c r="GO188" s="75"/>
      <c r="GP188" s="75"/>
      <c r="GQ188" s="75"/>
      <c r="GR188" s="75"/>
      <c r="GS188" s="75"/>
      <c r="GT188" s="75"/>
      <c r="GU188" s="75"/>
      <c r="GV188" s="81"/>
      <c r="GW188" s="74"/>
      <c r="GX188" s="75"/>
      <c r="GY188" s="75"/>
      <c r="GZ188" s="75"/>
      <c r="HA188" s="75"/>
      <c r="HB188" s="75"/>
      <c r="HC188" s="75"/>
      <c r="HD188" s="75"/>
      <c r="HE188" s="75"/>
      <c r="HF188" s="75"/>
      <c r="HG188" s="75"/>
      <c r="HH188" s="81"/>
      <c r="HI188" s="75"/>
    </row>
    <row r="189" ht="15.0" customHeight="1">
      <c r="A189" s="74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81"/>
      <c r="M189" s="74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81"/>
      <c r="Y189" s="74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81"/>
      <c r="AK189" s="74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81"/>
      <c r="AW189" s="74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81"/>
      <c r="BI189" s="74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81"/>
      <c r="BU189" s="74"/>
      <c r="BV189" s="75"/>
      <c r="BW189" s="75"/>
      <c r="BX189" s="75"/>
      <c r="BY189" s="75"/>
      <c r="BZ189" s="75"/>
      <c r="CA189" s="75"/>
      <c r="CB189" s="75"/>
      <c r="CC189" s="75"/>
      <c r="CD189" s="75"/>
      <c r="CE189" s="75"/>
      <c r="CF189" s="81"/>
      <c r="CG189" s="74"/>
      <c r="CH189" s="75"/>
      <c r="CI189" s="75"/>
      <c r="CJ189" s="75"/>
      <c r="CK189" s="75"/>
      <c r="CL189" s="75"/>
      <c r="CM189" s="75"/>
      <c r="CN189" s="75"/>
      <c r="CO189" s="75"/>
      <c r="CP189" s="75"/>
      <c r="CQ189" s="75"/>
      <c r="CR189" s="81"/>
      <c r="CS189" s="74"/>
      <c r="CT189" s="75"/>
      <c r="CU189" s="75"/>
      <c r="CV189" s="75"/>
      <c r="CW189" s="75"/>
      <c r="CX189" s="75"/>
      <c r="CY189" s="75"/>
      <c r="CZ189" s="75"/>
      <c r="DA189" s="75"/>
      <c r="DB189" s="75"/>
      <c r="DC189" s="75"/>
      <c r="DD189" s="81"/>
      <c r="DE189" s="74"/>
      <c r="DF189" s="75"/>
      <c r="DG189" s="75"/>
      <c r="DH189" s="75"/>
      <c r="DI189" s="75"/>
      <c r="DJ189" s="75"/>
      <c r="DK189" s="75"/>
      <c r="DL189" s="75"/>
      <c r="DM189" s="75"/>
      <c r="DN189" s="75"/>
      <c r="DO189" s="75"/>
      <c r="DP189" s="81"/>
      <c r="DQ189" s="74"/>
      <c r="DR189" s="75"/>
      <c r="DS189" s="75"/>
      <c r="DT189" s="75"/>
      <c r="DU189" s="75"/>
      <c r="DV189" s="75"/>
      <c r="DW189" s="75"/>
      <c r="DX189" s="75"/>
      <c r="DY189" s="75"/>
      <c r="DZ189" s="75"/>
      <c r="EA189" s="75"/>
      <c r="EB189" s="81"/>
      <c r="EC189" s="74"/>
      <c r="ED189" s="75"/>
      <c r="EE189" s="75"/>
      <c r="EF189" s="75"/>
      <c r="EG189" s="75"/>
      <c r="EH189" s="75"/>
      <c r="EI189" s="75"/>
      <c r="EJ189" s="75"/>
      <c r="EK189" s="75"/>
      <c r="EL189" s="75"/>
      <c r="EM189" s="75"/>
      <c r="EN189" s="81"/>
      <c r="EO189" s="74"/>
      <c r="EP189" s="75"/>
      <c r="EQ189" s="75"/>
      <c r="ER189" s="75"/>
      <c r="ES189" s="75"/>
      <c r="ET189" s="75"/>
      <c r="EU189" s="75"/>
      <c r="EV189" s="75"/>
      <c r="EW189" s="75"/>
      <c r="EX189" s="75"/>
      <c r="EY189" s="75"/>
      <c r="EZ189" s="81"/>
      <c r="FA189" s="74"/>
      <c r="FB189" s="75"/>
      <c r="FC189" s="75"/>
      <c r="FD189" s="75"/>
      <c r="FE189" s="75"/>
      <c r="FF189" s="75"/>
      <c r="FG189" s="75"/>
      <c r="FH189" s="75"/>
      <c r="FI189" s="75"/>
      <c r="FJ189" s="75"/>
      <c r="FK189" s="75"/>
      <c r="FL189" s="81"/>
      <c r="FM189" s="74"/>
      <c r="FN189" s="75"/>
      <c r="FO189" s="75"/>
      <c r="FP189" s="75"/>
      <c r="FQ189" s="75"/>
      <c r="FR189" s="75"/>
      <c r="FS189" s="75"/>
      <c r="FT189" s="75"/>
      <c r="FU189" s="75"/>
      <c r="FV189" s="75"/>
      <c r="FW189" s="75"/>
      <c r="FX189" s="81"/>
      <c r="FY189" s="74"/>
      <c r="FZ189" s="75"/>
      <c r="GA189" s="75"/>
      <c r="GB189" s="75"/>
      <c r="GC189" s="75"/>
      <c r="GD189" s="75"/>
      <c r="GE189" s="75"/>
      <c r="GF189" s="75"/>
      <c r="GG189" s="75"/>
      <c r="GH189" s="75"/>
      <c r="GI189" s="75"/>
      <c r="GJ189" s="81"/>
      <c r="GK189" s="74"/>
      <c r="GL189" s="75"/>
      <c r="GM189" s="75"/>
      <c r="GN189" s="75"/>
      <c r="GO189" s="75"/>
      <c r="GP189" s="75"/>
      <c r="GQ189" s="75"/>
      <c r="GR189" s="75"/>
      <c r="GS189" s="75"/>
      <c r="GT189" s="75"/>
      <c r="GU189" s="75"/>
      <c r="GV189" s="81"/>
      <c r="GW189" s="74"/>
      <c r="GX189" s="75"/>
      <c r="GY189" s="75"/>
      <c r="GZ189" s="75"/>
      <c r="HA189" s="75"/>
      <c r="HB189" s="75"/>
      <c r="HC189" s="75"/>
      <c r="HD189" s="75"/>
      <c r="HE189" s="75"/>
      <c r="HF189" s="75"/>
      <c r="HG189" s="75"/>
      <c r="HH189" s="81"/>
      <c r="HI189" s="75"/>
    </row>
    <row r="190" ht="15.0" customHeight="1">
      <c r="A190" s="74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81"/>
      <c r="M190" s="74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81"/>
      <c r="Y190" s="74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81"/>
      <c r="AK190" s="74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81"/>
      <c r="AW190" s="74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81"/>
      <c r="BI190" s="74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81"/>
      <c r="BU190" s="74"/>
      <c r="BV190" s="75"/>
      <c r="BW190" s="75"/>
      <c r="BX190" s="75"/>
      <c r="BY190" s="75"/>
      <c r="BZ190" s="75"/>
      <c r="CA190" s="75"/>
      <c r="CB190" s="75"/>
      <c r="CC190" s="75"/>
      <c r="CD190" s="75"/>
      <c r="CE190" s="75"/>
      <c r="CF190" s="81"/>
      <c r="CG190" s="74"/>
      <c r="CH190" s="75"/>
      <c r="CI190" s="75"/>
      <c r="CJ190" s="75"/>
      <c r="CK190" s="75"/>
      <c r="CL190" s="75"/>
      <c r="CM190" s="75"/>
      <c r="CN190" s="75"/>
      <c r="CO190" s="75"/>
      <c r="CP190" s="75"/>
      <c r="CQ190" s="75"/>
      <c r="CR190" s="81"/>
      <c r="CS190" s="74"/>
      <c r="CT190" s="75"/>
      <c r="CU190" s="75"/>
      <c r="CV190" s="75"/>
      <c r="CW190" s="75"/>
      <c r="CX190" s="75"/>
      <c r="CY190" s="75"/>
      <c r="CZ190" s="75"/>
      <c r="DA190" s="75"/>
      <c r="DB190" s="75"/>
      <c r="DC190" s="75"/>
      <c r="DD190" s="81"/>
      <c r="DE190" s="74"/>
      <c r="DF190" s="75"/>
      <c r="DG190" s="75"/>
      <c r="DH190" s="75"/>
      <c r="DI190" s="75"/>
      <c r="DJ190" s="75"/>
      <c r="DK190" s="75"/>
      <c r="DL190" s="75"/>
      <c r="DM190" s="75"/>
      <c r="DN190" s="75"/>
      <c r="DO190" s="75"/>
      <c r="DP190" s="81"/>
      <c r="DQ190" s="74"/>
      <c r="DR190" s="75"/>
      <c r="DS190" s="75"/>
      <c r="DT190" s="75"/>
      <c r="DU190" s="75"/>
      <c r="DV190" s="75"/>
      <c r="DW190" s="75"/>
      <c r="DX190" s="75"/>
      <c r="DY190" s="75"/>
      <c r="DZ190" s="75"/>
      <c r="EA190" s="75"/>
      <c r="EB190" s="81"/>
      <c r="EC190" s="74"/>
      <c r="ED190" s="75"/>
      <c r="EE190" s="75"/>
      <c r="EF190" s="75"/>
      <c r="EG190" s="75"/>
      <c r="EH190" s="75"/>
      <c r="EI190" s="75"/>
      <c r="EJ190" s="75"/>
      <c r="EK190" s="75"/>
      <c r="EL190" s="75"/>
      <c r="EM190" s="75"/>
      <c r="EN190" s="81"/>
      <c r="EO190" s="74"/>
      <c r="EP190" s="75"/>
      <c r="EQ190" s="75"/>
      <c r="ER190" s="75"/>
      <c r="ES190" s="75"/>
      <c r="ET190" s="75"/>
      <c r="EU190" s="75"/>
      <c r="EV190" s="75"/>
      <c r="EW190" s="75"/>
      <c r="EX190" s="75"/>
      <c r="EY190" s="75"/>
      <c r="EZ190" s="81"/>
      <c r="FA190" s="74"/>
      <c r="FB190" s="75"/>
      <c r="FC190" s="75"/>
      <c r="FD190" s="75"/>
      <c r="FE190" s="75"/>
      <c r="FF190" s="75"/>
      <c r="FG190" s="75"/>
      <c r="FH190" s="75"/>
      <c r="FI190" s="75"/>
      <c r="FJ190" s="75"/>
      <c r="FK190" s="75"/>
      <c r="FL190" s="81"/>
      <c r="FM190" s="74"/>
      <c r="FN190" s="75"/>
      <c r="FO190" s="75"/>
      <c r="FP190" s="75"/>
      <c r="FQ190" s="75"/>
      <c r="FR190" s="75"/>
      <c r="FS190" s="75"/>
      <c r="FT190" s="75"/>
      <c r="FU190" s="75"/>
      <c r="FV190" s="75"/>
      <c r="FW190" s="75"/>
      <c r="FX190" s="81"/>
      <c r="FY190" s="74"/>
      <c r="FZ190" s="75"/>
      <c r="GA190" s="75"/>
      <c r="GB190" s="75"/>
      <c r="GC190" s="75"/>
      <c r="GD190" s="75"/>
      <c r="GE190" s="75"/>
      <c r="GF190" s="75"/>
      <c r="GG190" s="75"/>
      <c r="GH190" s="75"/>
      <c r="GI190" s="75"/>
      <c r="GJ190" s="81"/>
      <c r="GK190" s="74"/>
      <c r="GL190" s="75"/>
      <c r="GM190" s="75"/>
      <c r="GN190" s="75"/>
      <c r="GO190" s="75"/>
      <c r="GP190" s="75"/>
      <c r="GQ190" s="75"/>
      <c r="GR190" s="75"/>
      <c r="GS190" s="75"/>
      <c r="GT190" s="75"/>
      <c r="GU190" s="75"/>
      <c r="GV190" s="81"/>
      <c r="GW190" s="74"/>
      <c r="GX190" s="75"/>
      <c r="GY190" s="75"/>
      <c r="GZ190" s="75"/>
      <c r="HA190" s="75"/>
      <c r="HB190" s="75"/>
      <c r="HC190" s="75"/>
      <c r="HD190" s="75"/>
      <c r="HE190" s="75"/>
      <c r="HF190" s="75"/>
      <c r="HG190" s="75"/>
      <c r="HH190" s="81"/>
      <c r="HI190" s="75"/>
    </row>
    <row r="191" ht="15.0" customHeight="1">
      <c r="A191" s="74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81"/>
      <c r="M191" s="74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81"/>
      <c r="Y191" s="74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81"/>
      <c r="AK191" s="74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81"/>
      <c r="AW191" s="74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81"/>
      <c r="BI191" s="74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81"/>
      <c r="BU191" s="74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81"/>
      <c r="CG191" s="74"/>
      <c r="CH191" s="75"/>
      <c r="CI191" s="75"/>
      <c r="CJ191" s="75"/>
      <c r="CK191" s="75"/>
      <c r="CL191" s="75"/>
      <c r="CM191" s="75"/>
      <c r="CN191" s="75"/>
      <c r="CO191" s="75"/>
      <c r="CP191" s="75"/>
      <c r="CQ191" s="75"/>
      <c r="CR191" s="81"/>
      <c r="CS191" s="74"/>
      <c r="CT191" s="75"/>
      <c r="CU191" s="75"/>
      <c r="CV191" s="75"/>
      <c r="CW191" s="75"/>
      <c r="CX191" s="75"/>
      <c r="CY191" s="75"/>
      <c r="CZ191" s="75"/>
      <c r="DA191" s="75"/>
      <c r="DB191" s="75"/>
      <c r="DC191" s="75"/>
      <c r="DD191" s="81"/>
      <c r="DE191" s="74"/>
      <c r="DF191" s="75"/>
      <c r="DG191" s="75"/>
      <c r="DH191" s="75"/>
      <c r="DI191" s="75"/>
      <c r="DJ191" s="75"/>
      <c r="DK191" s="75"/>
      <c r="DL191" s="75"/>
      <c r="DM191" s="75"/>
      <c r="DN191" s="75"/>
      <c r="DO191" s="75"/>
      <c r="DP191" s="81"/>
      <c r="DQ191" s="74"/>
      <c r="DR191" s="75"/>
      <c r="DS191" s="75"/>
      <c r="DT191" s="75"/>
      <c r="DU191" s="75"/>
      <c r="DV191" s="75"/>
      <c r="DW191" s="75"/>
      <c r="DX191" s="75"/>
      <c r="DY191" s="75"/>
      <c r="DZ191" s="75"/>
      <c r="EA191" s="75"/>
      <c r="EB191" s="81"/>
      <c r="EC191" s="74"/>
      <c r="ED191" s="75"/>
      <c r="EE191" s="75"/>
      <c r="EF191" s="75"/>
      <c r="EG191" s="75"/>
      <c r="EH191" s="75"/>
      <c r="EI191" s="75"/>
      <c r="EJ191" s="75"/>
      <c r="EK191" s="75"/>
      <c r="EL191" s="75"/>
      <c r="EM191" s="75"/>
      <c r="EN191" s="81"/>
      <c r="EO191" s="74"/>
      <c r="EP191" s="75"/>
      <c r="EQ191" s="75"/>
      <c r="ER191" s="75"/>
      <c r="ES191" s="75"/>
      <c r="ET191" s="75"/>
      <c r="EU191" s="75"/>
      <c r="EV191" s="75"/>
      <c r="EW191" s="75"/>
      <c r="EX191" s="75"/>
      <c r="EY191" s="75"/>
      <c r="EZ191" s="81"/>
      <c r="FA191" s="74"/>
      <c r="FB191" s="75"/>
      <c r="FC191" s="75"/>
      <c r="FD191" s="75"/>
      <c r="FE191" s="75"/>
      <c r="FF191" s="75"/>
      <c r="FG191" s="75"/>
      <c r="FH191" s="75"/>
      <c r="FI191" s="75"/>
      <c r="FJ191" s="75"/>
      <c r="FK191" s="75"/>
      <c r="FL191" s="81"/>
      <c r="FM191" s="74"/>
      <c r="FN191" s="75"/>
      <c r="FO191" s="75"/>
      <c r="FP191" s="75"/>
      <c r="FQ191" s="75"/>
      <c r="FR191" s="75"/>
      <c r="FS191" s="75"/>
      <c r="FT191" s="75"/>
      <c r="FU191" s="75"/>
      <c r="FV191" s="75"/>
      <c r="FW191" s="75"/>
      <c r="FX191" s="81"/>
      <c r="FY191" s="74"/>
      <c r="FZ191" s="75"/>
      <c r="GA191" s="75"/>
      <c r="GB191" s="75"/>
      <c r="GC191" s="75"/>
      <c r="GD191" s="75"/>
      <c r="GE191" s="75"/>
      <c r="GF191" s="75"/>
      <c r="GG191" s="75"/>
      <c r="GH191" s="75"/>
      <c r="GI191" s="75"/>
      <c r="GJ191" s="81"/>
      <c r="GK191" s="74"/>
      <c r="GL191" s="75"/>
      <c r="GM191" s="75"/>
      <c r="GN191" s="75"/>
      <c r="GO191" s="75"/>
      <c r="GP191" s="75"/>
      <c r="GQ191" s="75"/>
      <c r="GR191" s="75"/>
      <c r="GS191" s="75"/>
      <c r="GT191" s="75"/>
      <c r="GU191" s="75"/>
      <c r="GV191" s="81"/>
      <c r="GW191" s="74"/>
      <c r="GX191" s="75"/>
      <c r="GY191" s="75"/>
      <c r="GZ191" s="75"/>
      <c r="HA191" s="75"/>
      <c r="HB191" s="75"/>
      <c r="HC191" s="75"/>
      <c r="HD191" s="75"/>
      <c r="HE191" s="75"/>
      <c r="HF191" s="75"/>
      <c r="HG191" s="75"/>
      <c r="HH191" s="81"/>
      <c r="HI191" s="75"/>
    </row>
    <row r="192" ht="15.0" customHeight="1">
      <c r="A192" s="74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81"/>
      <c r="M192" s="74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81"/>
      <c r="Y192" s="74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81"/>
      <c r="AK192" s="74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81"/>
      <c r="AW192" s="74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81"/>
      <c r="BI192" s="74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81"/>
      <c r="BU192" s="74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81"/>
      <c r="CG192" s="74"/>
      <c r="CH192" s="75"/>
      <c r="CI192" s="75"/>
      <c r="CJ192" s="75"/>
      <c r="CK192" s="75"/>
      <c r="CL192" s="75"/>
      <c r="CM192" s="75"/>
      <c r="CN192" s="75"/>
      <c r="CO192" s="75"/>
      <c r="CP192" s="75"/>
      <c r="CQ192" s="75"/>
      <c r="CR192" s="81"/>
      <c r="CS192" s="74"/>
      <c r="CT192" s="75"/>
      <c r="CU192" s="75"/>
      <c r="CV192" s="75"/>
      <c r="CW192" s="75"/>
      <c r="CX192" s="75"/>
      <c r="CY192" s="75"/>
      <c r="CZ192" s="75"/>
      <c r="DA192" s="75"/>
      <c r="DB192" s="75"/>
      <c r="DC192" s="75"/>
      <c r="DD192" s="81"/>
      <c r="DE192" s="74"/>
      <c r="DF192" s="75"/>
      <c r="DG192" s="75"/>
      <c r="DH192" s="75"/>
      <c r="DI192" s="75"/>
      <c r="DJ192" s="75"/>
      <c r="DK192" s="75"/>
      <c r="DL192" s="75"/>
      <c r="DM192" s="75"/>
      <c r="DN192" s="75"/>
      <c r="DO192" s="75"/>
      <c r="DP192" s="81"/>
      <c r="DQ192" s="74"/>
      <c r="DR192" s="75"/>
      <c r="DS192" s="75"/>
      <c r="DT192" s="75"/>
      <c r="DU192" s="75"/>
      <c r="DV192" s="75"/>
      <c r="DW192" s="75"/>
      <c r="DX192" s="75"/>
      <c r="DY192" s="75"/>
      <c r="DZ192" s="75"/>
      <c r="EA192" s="75"/>
      <c r="EB192" s="81"/>
      <c r="EC192" s="74"/>
      <c r="ED192" s="75"/>
      <c r="EE192" s="75"/>
      <c r="EF192" s="75"/>
      <c r="EG192" s="75"/>
      <c r="EH192" s="75"/>
      <c r="EI192" s="75"/>
      <c r="EJ192" s="75"/>
      <c r="EK192" s="75"/>
      <c r="EL192" s="75"/>
      <c r="EM192" s="75"/>
      <c r="EN192" s="81"/>
      <c r="EO192" s="74"/>
      <c r="EP192" s="75"/>
      <c r="EQ192" s="75"/>
      <c r="ER192" s="75"/>
      <c r="ES192" s="75"/>
      <c r="ET192" s="75"/>
      <c r="EU192" s="75"/>
      <c r="EV192" s="75"/>
      <c r="EW192" s="75"/>
      <c r="EX192" s="75"/>
      <c r="EY192" s="75"/>
      <c r="EZ192" s="81"/>
      <c r="FA192" s="74"/>
      <c r="FB192" s="75"/>
      <c r="FC192" s="75"/>
      <c r="FD192" s="75"/>
      <c r="FE192" s="75"/>
      <c r="FF192" s="75"/>
      <c r="FG192" s="75"/>
      <c r="FH192" s="75"/>
      <c r="FI192" s="75"/>
      <c r="FJ192" s="75"/>
      <c r="FK192" s="75"/>
      <c r="FL192" s="81"/>
      <c r="FM192" s="74"/>
      <c r="FN192" s="75"/>
      <c r="FO192" s="75"/>
      <c r="FP192" s="75"/>
      <c r="FQ192" s="75"/>
      <c r="FR192" s="75"/>
      <c r="FS192" s="75"/>
      <c r="FT192" s="75"/>
      <c r="FU192" s="75"/>
      <c r="FV192" s="75"/>
      <c r="FW192" s="75"/>
      <c r="FX192" s="81"/>
      <c r="FY192" s="74"/>
      <c r="FZ192" s="75"/>
      <c r="GA192" s="75"/>
      <c r="GB192" s="75"/>
      <c r="GC192" s="75"/>
      <c r="GD192" s="75"/>
      <c r="GE192" s="75"/>
      <c r="GF192" s="75"/>
      <c r="GG192" s="75"/>
      <c r="GH192" s="75"/>
      <c r="GI192" s="75"/>
      <c r="GJ192" s="81"/>
      <c r="GK192" s="74"/>
      <c r="GL192" s="75"/>
      <c r="GM192" s="75"/>
      <c r="GN192" s="75"/>
      <c r="GO192" s="75"/>
      <c r="GP192" s="75"/>
      <c r="GQ192" s="75"/>
      <c r="GR192" s="75"/>
      <c r="GS192" s="75"/>
      <c r="GT192" s="75"/>
      <c r="GU192" s="75"/>
      <c r="GV192" s="81"/>
      <c r="GW192" s="74"/>
      <c r="GX192" s="75"/>
      <c r="GY192" s="75"/>
      <c r="GZ192" s="75"/>
      <c r="HA192" s="75"/>
      <c r="HB192" s="75"/>
      <c r="HC192" s="75"/>
      <c r="HD192" s="75"/>
      <c r="HE192" s="75"/>
      <c r="HF192" s="75"/>
      <c r="HG192" s="75"/>
      <c r="HH192" s="81"/>
      <c r="HI192" s="75"/>
    </row>
    <row r="193" ht="15.0" customHeight="1">
      <c r="A193" s="74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81"/>
      <c r="M193" s="74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81"/>
      <c r="Y193" s="74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81"/>
      <c r="AK193" s="74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81"/>
      <c r="AW193" s="74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81"/>
      <c r="BI193" s="74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81"/>
      <c r="BU193" s="74"/>
      <c r="BV193" s="75"/>
      <c r="BW193" s="75"/>
      <c r="BX193" s="75"/>
      <c r="BY193" s="75"/>
      <c r="BZ193" s="75"/>
      <c r="CA193" s="75"/>
      <c r="CB193" s="75"/>
      <c r="CC193" s="75"/>
      <c r="CD193" s="75"/>
      <c r="CE193" s="75"/>
      <c r="CF193" s="81"/>
      <c r="CG193" s="74"/>
      <c r="CH193" s="75"/>
      <c r="CI193" s="75"/>
      <c r="CJ193" s="75"/>
      <c r="CK193" s="75"/>
      <c r="CL193" s="75"/>
      <c r="CM193" s="75"/>
      <c r="CN193" s="75"/>
      <c r="CO193" s="75"/>
      <c r="CP193" s="75"/>
      <c r="CQ193" s="75"/>
      <c r="CR193" s="81"/>
      <c r="CS193" s="74"/>
      <c r="CT193" s="75"/>
      <c r="CU193" s="75"/>
      <c r="CV193" s="75"/>
      <c r="CW193" s="75"/>
      <c r="CX193" s="75"/>
      <c r="CY193" s="75"/>
      <c r="CZ193" s="75"/>
      <c r="DA193" s="75"/>
      <c r="DB193" s="75"/>
      <c r="DC193" s="75"/>
      <c r="DD193" s="81"/>
      <c r="DE193" s="74"/>
      <c r="DF193" s="75"/>
      <c r="DG193" s="75"/>
      <c r="DH193" s="75"/>
      <c r="DI193" s="75"/>
      <c r="DJ193" s="75"/>
      <c r="DK193" s="75"/>
      <c r="DL193" s="75"/>
      <c r="DM193" s="75"/>
      <c r="DN193" s="75"/>
      <c r="DO193" s="75"/>
      <c r="DP193" s="81"/>
      <c r="DQ193" s="74"/>
      <c r="DR193" s="75"/>
      <c r="DS193" s="75"/>
      <c r="DT193" s="75"/>
      <c r="DU193" s="75"/>
      <c r="DV193" s="75"/>
      <c r="DW193" s="75"/>
      <c r="DX193" s="75"/>
      <c r="DY193" s="75"/>
      <c r="DZ193" s="75"/>
      <c r="EA193" s="75"/>
      <c r="EB193" s="81"/>
      <c r="EC193" s="74"/>
      <c r="ED193" s="75"/>
      <c r="EE193" s="75"/>
      <c r="EF193" s="75"/>
      <c r="EG193" s="75"/>
      <c r="EH193" s="75"/>
      <c r="EI193" s="75"/>
      <c r="EJ193" s="75"/>
      <c r="EK193" s="75"/>
      <c r="EL193" s="75"/>
      <c r="EM193" s="75"/>
      <c r="EN193" s="81"/>
      <c r="EO193" s="74"/>
      <c r="EP193" s="75"/>
      <c r="EQ193" s="75"/>
      <c r="ER193" s="75"/>
      <c r="ES193" s="75"/>
      <c r="ET193" s="75"/>
      <c r="EU193" s="75"/>
      <c r="EV193" s="75"/>
      <c r="EW193" s="75"/>
      <c r="EX193" s="75"/>
      <c r="EY193" s="75"/>
      <c r="EZ193" s="81"/>
      <c r="FA193" s="74"/>
      <c r="FB193" s="75"/>
      <c r="FC193" s="75"/>
      <c r="FD193" s="75"/>
      <c r="FE193" s="75"/>
      <c r="FF193" s="75"/>
      <c r="FG193" s="75"/>
      <c r="FH193" s="75"/>
      <c r="FI193" s="75"/>
      <c r="FJ193" s="75"/>
      <c r="FK193" s="75"/>
      <c r="FL193" s="81"/>
      <c r="FM193" s="74"/>
      <c r="FN193" s="75"/>
      <c r="FO193" s="75"/>
      <c r="FP193" s="75"/>
      <c r="FQ193" s="75"/>
      <c r="FR193" s="75"/>
      <c r="FS193" s="75"/>
      <c r="FT193" s="75"/>
      <c r="FU193" s="75"/>
      <c r="FV193" s="75"/>
      <c r="FW193" s="75"/>
      <c r="FX193" s="81"/>
      <c r="FY193" s="74"/>
      <c r="FZ193" s="75"/>
      <c r="GA193" s="75"/>
      <c r="GB193" s="75"/>
      <c r="GC193" s="75"/>
      <c r="GD193" s="75"/>
      <c r="GE193" s="75"/>
      <c r="GF193" s="75"/>
      <c r="GG193" s="75"/>
      <c r="GH193" s="75"/>
      <c r="GI193" s="75"/>
      <c r="GJ193" s="81"/>
      <c r="GK193" s="74"/>
      <c r="GL193" s="75"/>
      <c r="GM193" s="75"/>
      <c r="GN193" s="75"/>
      <c r="GO193" s="75"/>
      <c r="GP193" s="75"/>
      <c r="GQ193" s="75"/>
      <c r="GR193" s="75"/>
      <c r="GS193" s="75"/>
      <c r="GT193" s="75"/>
      <c r="GU193" s="75"/>
      <c r="GV193" s="81"/>
      <c r="GW193" s="74"/>
      <c r="GX193" s="75"/>
      <c r="GY193" s="75"/>
      <c r="GZ193" s="75"/>
      <c r="HA193" s="75"/>
      <c r="HB193" s="75"/>
      <c r="HC193" s="75"/>
      <c r="HD193" s="75"/>
      <c r="HE193" s="75"/>
      <c r="HF193" s="75"/>
      <c r="HG193" s="75"/>
      <c r="HH193" s="81"/>
      <c r="HI193" s="75"/>
    </row>
    <row r="194" ht="15.0" customHeight="1">
      <c r="A194" s="74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81"/>
      <c r="M194" s="74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81"/>
      <c r="Y194" s="74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81"/>
      <c r="AK194" s="74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81"/>
      <c r="AW194" s="74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81"/>
      <c r="BI194" s="74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81"/>
      <c r="BU194" s="74"/>
      <c r="BV194" s="75"/>
      <c r="BW194" s="75"/>
      <c r="BX194" s="75"/>
      <c r="BY194" s="75"/>
      <c r="BZ194" s="75"/>
      <c r="CA194" s="75"/>
      <c r="CB194" s="75"/>
      <c r="CC194" s="75"/>
      <c r="CD194" s="75"/>
      <c r="CE194" s="75"/>
      <c r="CF194" s="81"/>
      <c r="CG194" s="74"/>
      <c r="CH194" s="75"/>
      <c r="CI194" s="75"/>
      <c r="CJ194" s="75"/>
      <c r="CK194" s="75"/>
      <c r="CL194" s="75"/>
      <c r="CM194" s="75"/>
      <c r="CN194" s="75"/>
      <c r="CO194" s="75"/>
      <c r="CP194" s="75"/>
      <c r="CQ194" s="75"/>
      <c r="CR194" s="81"/>
      <c r="CS194" s="74"/>
      <c r="CT194" s="75"/>
      <c r="CU194" s="75"/>
      <c r="CV194" s="75"/>
      <c r="CW194" s="75"/>
      <c r="CX194" s="75"/>
      <c r="CY194" s="75"/>
      <c r="CZ194" s="75"/>
      <c r="DA194" s="75"/>
      <c r="DB194" s="75"/>
      <c r="DC194" s="75"/>
      <c r="DD194" s="81"/>
      <c r="DE194" s="74"/>
      <c r="DF194" s="75"/>
      <c r="DG194" s="75"/>
      <c r="DH194" s="75"/>
      <c r="DI194" s="75"/>
      <c r="DJ194" s="75"/>
      <c r="DK194" s="75"/>
      <c r="DL194" s="75"/>
      <c r="DM194" s="75"/>
      <c r="DN194" s="75"/>
      <c r="DO194" s="75"/>
      <c r="DP194" s="81"/>
      <c r="DQ194" s="74"/>
      <c r="DR194" s="75"/>
      <c r="DS194" s="75"/>
      <c r="DT194" s="75"/>
      <c r="DU194" s="75"/>
      <c r="DV194" s="75"/>
      <c r="DW194" s="75"/>
      <c r="DX194" s="75"/>
      <c r="DY194" s="75"/>
      <c r="DZ194" s="75"/>
      <c r="EA194" s="75"/>
      <c r="EB194" s="81"/>
      <c r="EC194" s="74"/>
      <c r="ED194" s="75"/>
      <c r="EE194" s="75"/>
      <c r="EF194" s="75"/>
      <c r="EG194" s="75"/>
      <c r="EH194" s="75"/>
      <c r="EI194" s="75"/>
      <c r="EJ194" s="75"/>
      <c r="EK194" s="75"/>
      <c r="EL194" s="75"/>
      <c r="EM194" s="75"/>
      <c r="EN194" s="81"/>
      <c r="EO194" s="74"/>
      <c r="EP194" s="75"/>
      <c r="EQ194" s="75"/>
      <c r="ER194" s="75"/>
      <c r="ES194" s="75"/>
      <c r="ET194" s="75"/>
      <c r="EU194" s="75"/>
      <c r="EV194" s="75"/>
      <c r="EW194" s="75"/>
      <c r="EX194" s="75"/>
      <c r="EY194" s="75"/>
      <c r="EZ194" s="81"/>
      <c r="FA194" s="74"/>
      <c r="FB194" s="75"/>
      <c r="FC194" s="75"/>
      <c r="FD194" s="75"/>
      <c r="FE194" s="75"/>
      <c r="FF194" s="75"/>
      <c r="FG194" s="75"/>
      <c r="FH194" s="75"/>
      <c r="FI194" s="75"/>
      <c r="FJ194" s="75"/>
      <c r="FK194" s="75"/>
      <c r="FL194" s="81"/>
      <c r="FM194" s="74"/>
      <c r="FN194" s="75"/>
      <c r="FO194" s="75"/>
      <c r="FP194" s="75"/>
      <c r="FQ194" s="75"/>
      <c r="FR194" s="75"/>
      <c r="FS194" s="75"/>
      <c r="FT194" s="75"/>
      <c r="FU194" s="75"/>
      <c r="FV194" s="75"/>
      <c r="FW194" s="75"/>
      <c r="FX194" s="81"/>
      <c r="FY194" s="74"/>
      <c r="FZ194" s="75"/>
      <c r="GA194" s="75"/>
      <c r="GB194" s="75"/>
      <c r="GC194" s="75"/>
      <c r="GD194" s="75"/>
      <c r="GE194" s="75"/>
      <c r="GF194" s="75"/>
      <c r="GG194" s="75"/>
      <c r="GH194" s="75"/>
      <c r="GI194" s="75"/>
      <c r="GJ194" s="81"/>
      <c r="GK194" s="74"/>
      <c r="GL194" s="75"/>
      <c r="GM194" s="75"/>
      <c r="GN194" s="75"/>
      <c r="GO194" s="75"/>
      <c r="GP194" s="75"/>
      <c r="GQ194" s="75"/>
      <c r="GR194" s="75"/>
      <c r="GS194" s="75"/>
      <c r="GT194" s="75"/>
      <c r="GU194" s="75"/>
      <c r="GV194" s="81"/>
      <c r="GW194" s="74"/>
      <c r="GX194" s="75"/>
      <c r="GY194" s="75"/>
      <c r="GZ194" s="75"/>
      <c r="HA194" s="75"/>
      <c r="HB194" s="75"/>
      <c r="HC194" s="75"/>
      <c r="HD194" s="75"/>
      <c r="HE194" s="75"/>
      <c r="HF194" s="75"/>
      <c r="HG194" s="75"/>
      <c r="HH194" s="81"/>
      <c r="HI194" s="75"/>
    </row>
    <row r="195" ht="15.0" customHeight="1">
      <c r="A195" s="74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81"/>
      <c r="M195" s="74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81"/>
      <c r="Y195" s="74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81"/>
      <c r="AK195" s="74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81"/>
      <c r="AW195" s="74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81"/>
      <c r="BI195" s="74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81"/>
      <c r="BU195" s="74"/>
      <c r="BV195" s="75"/>
      <c r="BW195" s="75"/>
      <c r="BX195" s="75"/>
      <c r="BY195" s="75"/>
      <c r="BZ195" s="75"/>
      <c r="CA195" s="75"/>
      <c r="CB195" s="75"/>
      <c r="CC195" s="75"/>
      <c r="CD195" s="75"/>
      <c r="CE195" s="75"/>
      <c r="CF195" s="81"/>
      <c r="CG195" s="74"/>
      <c r="CH195" s="75"/>
      <c r="CI195" s="75"/>
      <c r="CJ195" s="75"/>
      <c r="CK195" s="75"/>
      <c r="CL195" s="75"/>
      <c r="CM195" s="75"/>
      <c r="CN195" s="75"/>
      <c r="CO195" s="75"/>
      <c r="CP195" s="75"/>
      <c r="CQ195" s="75"/>
      <c r="CR195" s="81"/>
      <c r="CS195" s="74"/>
      <c r="CT195" s="75"/>
      <c r="CU195" s="75"/>
      <c r="CV195" s="75"/>
      <c r="CW195" s="75"/>
      <c r="CX195" s="75"/>
      <c r="CY195" s="75"/>
      <c r="CZ195" s="75"/>
      <c r="DA195" s="75"/>
      <c r="DB195" s="75"/>
      <c r="DC195" s="75"/>
      <c r="DD195" s="81"/>
      <c r="DE195" s="74"/>
      <c r="DF195" s="75"/>
      <c r="DG195" s="75"/>
      <c r="DH195" s="75"/>
      <c r="DI195" s="75"/>
      <c r="DJ195" s="75"/>
      <c r="DK195" s="75"/>
      <c r="DL195" s="75"/>
      <c r="DM195" s="75"/>
      <c r="DN195" s="75"/>
      <c r="DO195" s="75"/>
      <c r="DP195" s="81"/>
      <c r="DQ195" s="74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81"/>
      <c r="EC195" s="74"/>
      <c r="ED195" s="75"/>
      <c r="EE195" s="75"/>
      <c r="EF195" s="75"/>
      <c r="EG195" s="75"/>
      <c r="EH195" s="75"/>
      <c r="EI195" s="75"/>
      <c r="EJ195" s="75"/>
      <c r="EK195" s="75"/>
      <c r="EL195" s="75"/>
      <c r="EM195" s="75"/>
      <c r="EN195" s="81"/>
      <c r="EO195" s="74"/>
      <c r="EP195" s="75"/>
      <c r="EQ195" s="75"/>
      <c r="ER195" s="75"/>
      <c r="ES195" s="75"/>
      <c r="ET195" s="75"/>
      <c r="EU195" s="75"/>
      <c r="EV195" s="75"/>
      <c r="EW195" s="75"/>
      <c r="EX195" s="75"/>
      <c r="EY195" s="75"/>
      <c r="EZ195" s="81"/>
      <c r="FA195" s="74"/>
      <c r="FB195" s="75"/>
      <c r="FC195" s="75"/>
      <c r="FD195" s="75"/>
      <c r="FE195" s="75"/>
      <c r="FF195" s="75"/>
      <c r="FG195" s="75"/>
      <c r="FH195" s="75"/>
      <c r="FI195" s="75"/>
      <c r="FJ195" s="75"/>
      <c r="FK195" s="75"/>
      <c r="FL195" s="81"/>
      <c r="FM195" s="74"/>
      <c r="FN195" s="75"/>
      <c r="FO195" s="75"/>
      <c r="FP195" s="75"/>
      <c r="FQ195" s="75"/>
      <c r="FR195" s="75"/>
      <c r="FS195" s="75"/>
      <c r="FT195" s="75"/>
      <c r="FU195" s="75"/>
      <c r="FV195" s="75"/>
      <c r="FW195" s="75"/>
      <c r="FX195" s="81"/>
      <c r="FY195" s="74"/>
      <c r="FZ195" s="75"/>
      <c r="GA195" s="75"/>
      <c r="GB195" s="75"/>
      <c r="GC195" s="75"/>
      <c r="GD195" s="75"/>
      <c r="GE195" s="75"/>
      <c r="GF195" s="75"/>
      <c r="GG195" s="75"/>
      <c r="GH195" s="75"/>
      <c r="GI195" s="75"/>
      <c r="GJ195" s="81"/>
      <c r="GK195" s="74"/>
      <c r="GL195" s="75"/>
      <c r="GM195" s="75"/>
      <c r="GN195" s="75"/>
      <c r="GO195" s="75"/>
      <c r="GP195" s="75"/>
      <c r="GQ195" s="75"/>
      <c r="GR195" s="75"/>
      <c r="GS195" s="75"/>
      <c r="GT195" s="75"/>
      <c r="GU195" s="75"/>
      <c r="GV195" s="81"/>
      <c r="GW195" s="74"/>
      <c r="GX195" s="75"/>
      <c r="GY195" s="75"/>
      <c r="GZ195" s="75"/>
      <c r="HA195" s="75"/>
      <c r="HB195" s="75"/>
      <c r="HC195" s="75"/>
      <c r="HD195" s="75"/>
      <c r="HE195" s="75"/>
      <c r="HF195" s="75"/>
      <c r="HG195" s="75"/>
      <c r="HH195" s="81"/>
      <c r="HI195" s="75"/>
    </row>
    <row r="196" ht="15.0" customHeight="1">
      <c r="A196" s="74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81"/>
      <c r="M196" s="74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81"/>
      <c r="Y196" s="74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81"/>
      <c r="AK196" s="74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81"/>
      <c r="AW196" s="74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81"/>
      <c r="BI196" s="74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81"/>
      <c r="BU196" s="74"/>
      <c r="BV196" s="75"/>
      <c r="BW196" s="75"/>
      <c r="BX196" s="75"/>
      <c r="BY196" s="75"/>
      <c r="BZ196" s="75"/>
      <c r="CA196" s="75"/>
      <c r="CB196" s="75"/>
      <c r="CC196" s="75"/>
      <c r="CD196" s="75"/>
      <c r="CE196" s="75"/>
      <c r="CF196" s="81"/>
      <c r="CG196" s="74"/>
      <c r="CH196" s="75"/>
      <c r="CI196" s="75"/>
      <c r="CJ196" s="75"/>
      <c r="CK196" s="75"/>
      <c r="CL196" s="75"/>
      <c r="CM196" s="75"/>
      <c r="CN196" s="75"/>
      <c r="CO196" s="75"/>
      <c r="CP196" s="75"/>
      <c r="CQ196" s="75"/>
      <c r="CR196" s="81"/>
      <c r="CS196" s="74"/>
      <c r="CT196" s="75"/>
      <c r="CU196" s="75"/>
      <c r="CV196" s="75"/>
      <c r="CW196" s="75"/>
      <c r="CX196" s="75"/>
      <c r="CY196" s="75"/>
      <c r="CZ196" s="75"/>
      <c r="DA196" s="75"/>
      <c r="DB196" s="75"/>
      <c r="DC196" s="75"/>
      <c r="DD196" s="81"/>
      <c r="DE196" s="74"/>
      <c r="DF196" s="75"/>
      <c r="DG196" s="75"/>
      <c r="DH196" s="75"/>
      <c r="DI196" s="75"/>
      <c r="DJ196" s="75"/>
      <c r="DK196" s="75"/>
      <c r="DL196" s="75"/>
      <c r="DM196" s="75"/>
      <c r="DN196" s="75"/>
      <c r="DO196" s="75"/>
      <c r="DP196" s="81"/>
      <c r="DQ196" s="74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81"/>
      <c r="EC196" s="74"/>
      <c r="ED196" s="75"/>
      <c r="EE196" s="75"/>
      <c r="EF196" s="75"/>
      <c r="EG196" s="75"/>
      <c r="EH196" s="75"/>
      <c r="EI196" s="75"/>
      <c r="EJ196" s="75"/>
      <c r="EK196" s="75"/>
      <c r="EL196" s="75"/>
      <c r="EM196" s="75"/>
      <c r="EN196" s="81"/>
      <c r="EO196" s="74"/>
      <c r="EP196" s="75"/>
      <c r="EQ196" s="75"/>
      <c r="ER196" s="75"/>
      <c r="ES196" s="75"/>
      <c r="ET196" s="75"/>
      <c r="EU196" s="75"/>
      <c r="EV196" s="75"/>
      <c r="EW196" s="75"/>
      <c r="EX196" s="75"/>
      <c r="EY196" s="75"/>
      <c r="EZ196" s="81"/>
      <c r="FA196" s="74"/>
      <c r="FB196" s="75"/>
      <c r="FC196" s="75"/>
      <c r="FD196" s="75"/>
      <c r="FE196" s="75"/>
      <c r="FF196" s="75"/>
      <c r="FG196" s="75"/>
      <c r="FH196" s="75"/>
      <c r="FI196" s="75"/>
      <c r="FJ196" s="75"/>
      <c r="FK196" s="75"/>
      <c r="FL196" s="81"/>
      <c r="FM196" s="74"/>
      <c r="FN196" s="75"/>
      <c r="FO196" s="75"/>
      <c r="FP196" s="75"/>
      <c r="FQ196" s="75"/>
      <c r="FR196" s="75"/>
      <c r="FS196" s="75"/>
      <c r="FT196" s="75"/>
      <c r="FU196" s="75"/>
      <c r="FV196" s="75"/>
      <c r="FW196" s="75"/>
      <c r="FX196" s="81"/>
      <c r="FY196" s="74"/>
      <c r="FZ196" s="75"/>
      <c r="GA196" s="75"/>
      <c r="GB196" s="75"/>
      <c r="GC196" s="75"/>
      <c r="GD196" s="75"/>
      <c r="GE196" s="75"/>
      <c r="GF196" s="75"/>
      <c r="GG196" s="75"/>
      <c r="GH196" s="75"/>
      <c r="GI196" s="75"/>
      <c r="GJ196" s="81"/>
      <c r="GK196" s="74"/>
      <c r="GL196" s="75"/>
      <c r="GM196" s="75"/>
      <c r="GN196" s="75"/>
      <c r="GO196" s="75"/>
      <c r="GP196" s="75"/>
      <c r="GQ196" s="75"/>
      <c r="GR196" s="75"/>
      <c r="GS196" s="75"/>
      <c r="GT196" s="75"/>
      <c r="GU196" s="75"/>
      <c r="GV196" s="81"/>
      <c r="GW196" s="74"/>
      <c r="GX196" s="75"/>
      <c r="GY196" s="75"/>
      <c r="GZ196" s="75"/>
      <c r="HA196" s="75"/>
      <c r="HB196" s="75"/>
      <c r="HC196" s="75"/>
      <c r="HD196" s="75"/>
      <c r="HE196" s="75"/>
      <c r="HF196" s="75"/>
      <c r="HG196" s="75"/>
      <c r="HH196" s="81"/>
      <c r="HI196" s="75"/>
    </row>
    <row r="197" ht="15.0" customHeight="1">
      <c r="A197" s="74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81"/>
      <c r="M197" s="74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81"/>
      <c r="Y197" s="74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81"/>
      <c r="AK197" s="74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81"/>
      <c r="AW197" s="74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81"/>
      <c r="BI197" s="74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81"/>
      <c r="BU197" s="74"/>
      <c r="BV197" s="75"/>
      <c r="BW197" s="75"/>
      <c r="BX197" s="75"/>
      <c r="BY197" s="75"/>
      <c r="BZ197" s="75"/>
      <c r="CA197" s="75"/>
      <c r="CB197" s="75"/>
      <c r="CC197" s="75"/>
      <c r="CD197" s="75"/>
      <c r="CE197" s="75"/>
      <c r="CF197" s="81"/>
      <c r="CG197" s="74"/>
      <c r="CH197" s="75"/>
      <c r="CI197" s="75"/>
      <c r="CJ197" s="75"/>
      <c r="CK197" s="75"/>
      <c r="CL197" s="75"/>
      <c r="CM197" s="75"/>
      <c r="CN197" s="75"/>
      <c r="CO197" s="75"/>
      <c r="CP197" s="75"/>
      <c r="CQ197" s="75"/>
      <c r="CR197" s="81"/>
      <c r="CS197" s="74"/>
      <c r="CT197" s="75"/>
      <c r="CU197" s="75"/>
      <c r="CV197" s="75"/>
      <c r="CW197" s="75"/>
      <c r="CX197" s="75"/>
      <c r="CY197" s="75"/>
      <c r="CZ197" s="75"/>
      <c r="DA197" s="75"/>
      <c r="DB197" s="75"/>
      <c r="DC197" s="75"/>
      <c r="DD197" s="81"/>
      <c r="DE197" s="74"/>
      <c r="DF197" s="75"/>
      <c r="DG197" s="75"/>
      <c r="DH197" s="75"/>
      <c r="DI197" s="75"/>
      <c r="DJ197" s="75"/>
      <c r="DK197" s="75"/>
      <c r="DL197" s="75"/>
      <c r="DM197" s="75"/>
      <c r="DN197" s="75"/>
      <c r="DO197" s="75"/>
      <c r="DP197" s="81"/>
      <c r="DQ197" s="74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81"/>
      <c r="EC197" s="74"/>
      <c r="ED197" s="75"/>
      <c r="EE197" s="75"/>
      <c r="EF197" s="75"/>
      <c r="EG197" s="75"/>
      <c r="EH197" s="75"/>
      <c r="EI197" s="75"/>
      <c r="EJ197" s="75"/>
      <c r="EK197" s="75"/>
      <c r="EL197" s="75"/>
      <c r="EM197" s="75"/>
      <c r="EN197" s="81"/>
      <c r="EO197" s="74"/>
      <c r="EP197" s="75"/>
      <c r="EQ197" s="75"/>
      <c r="ER197" s="75"/>
      <c r="ES197" s="75"/>
      <c r="ET197" s="75"/>
      <c r="EU197" s="75"/>
      <c r="EV197" s="75"/>
      <c r="EW197" s="75"/>
      <c r="EX197" s="75"/>
      <c r="EY197" s="75"/>
      <c r="EZ197" s="81"/>
      <c r="FA197" s="74"/>
      <c r="FB197" s="75"/>
      <c r="FC197" s="75"/>
      <c r="FD197" s="75"/>
      <c r="FE197" s="75"/>
      <c r="FF197" s="75"/>
      <c r="FG197" s="75"/>
      <c r="FH197" s="75"/>
      <c r="FI197" s="75"/>
      <c r="FJ197" s="75"/>
      <c r="FK197" s="75"/>
      <c r="FL197" s="81"/>
      <c r="FM197" s="74"/>
      <c r="FN197" s="75"/>
      <c r="FO197" s="75"/>
      <c r="FP197" s="75"/>
      <c r="FQ197" s="75"/>
      <c r="FR197" s="75"/>
      <c r="FS197" s="75"/>
      <c r="FT197" s="75"/>
      <c r="FU197" s="75"/>
      <c r="FV197" s="75"/>
      <c r="FW197" s="75"/>
      <c r="FX197" s="81"/>
      <c r="FY197" s="74"/>
      <c r="FZ197" s="75"/>
      <c r="GA197" s="75"/>
      <c r="GB197" s="75"/>
      <c r="GC197" s="75"/>
      <c r="GD197" s="75"/>
      <c r="GE197" s="75"/>
      <c r="GF197" s="75"/>
      <c r="GG197" s="75"/>
      <c r="GH197" s="75"/>
      <c r="GI197" s="75"/>
      <c r="GJ197" s="81"/>
      <c r="GK197" s="74"/>
      <c r="GL197" s="75"/>
      <c r="GM197" s="75"/>
      <c r="GN197" s="75"/>
      <c r="GO197" s="75"/>
      <c r="GP197" s="75"/>
      <c r="GQ197" s="75"/>
      <c r="GR197" s="75"/>
      <c r="GS197" s="75"/>
      <c r="GT197" s="75"/>
      <c r="GU197" s="75"/>
      <c r="GV197" s="81"/>
      <c r="GW197" s="74"/>
      <c r="GX197" s="75"/>
      <c r="GY197" s="75"/>
      <c r="GZ197" s="75"/>
      <c r="HA197" s="75"/>
      <c r="HB197" s="75"/>
      <c r="HC197" s="75"/>
      <c r="HD197" s="75"/>
      <c r="HE197" s="75"/>
      <c r="HF197" s="75"/>
      <c r="HG197" s="75"/>
      <c r="HH197" s="81"/>
      <c r="HI197" s="75"/>
    </row>
    <row r="198" ht="15.0" customHeight="1">
      <c r="A198" s="74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81"/>
      <c r="M198" s="74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81"/>
      <c r="Y198" s="74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81"/>
      <c r="AK198" s="74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81"/>
      <c r="AW198" s="74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81"/>
      <c r="BI198" s="74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81"/>
      <c r="BU198" s="74"/>
      <c r="BV198" s="75"/>
      <c r="BW198" s="75"/>
      <c r="BX198" s="75"/>
      <c r="BY198" s="75"/>
      <c r="BZ198" s="75"/>
      <c r="CA198" s="75"/>
      <c r="CB198" s="75"/>
      <c r="CC198" s="75"/>
      <c r="CD198" s="75"/>
      <c r="CE198" s="75"/>
      <c r="CF198" s="81"/>
      <c r="CG198" s="74"/>
      <c r="CH198" s="75"/>
      <c r="CI198" s="75"/>
      <c r="CJ198" s="75"/>
      <c r="CK198" s="75"/>
      <c r="CL198" s="75"/>
      <c r="CM198" s="75"/>
      <c r="CN198" s="75"/>
      <c r="CO198" s="75"/>
      <c r="CP198" s="75"/>
      <c r="CQ198" s="75"/>
      <c r="CR198" s="81"/>
      <c r="CS198" s="74"/>
      <c r="CT198" s="75"/>
      <c r="CU198" s="75"/>
      <c r="CV198" s="75"/>
      <c r="CW198" s="75"/>
      <c r="CX198" s="75"/>
      <c r="CY198" s="75"/>
      <c r="CZ198" s="75"/>
      <c r="DA198" s="75"/>
      <c r="DB198" s="75"/>
      <c r="DC198" s="75"/>
      <c r="DD198" s="81"/>
      <c r="DE198" s="74"/>
      <c r="DF198" s="75"/>
      <c r="DG198" s="75"/>
      <c r="DH198" s="75"/>
      <c r="DI198" s="75"/>
      <c r="DJ198" s="75"/>
      <c r="DK198" s="75"/>
      <c r="DL198" s="75"/>
      <c r="DM198" s="75"/>
      <c r="DN198" s="75"/>
      <c r="DO198" s="75"/>
      <c r="DP198" s="81"/>
      <c r="DQ198" s="74"/>
      <c r="DR198" s="75"/>
      <c r="DS198" s="75"/>
      <c r="DT198" s="75"/>
      <c r="DU198" s="75"/>
      <c r="DV198" s="75"/>
      <c r="DW198" s="75"/>
      <c r="DX198" s="75"/>
      <c r="DY198" s="75"/>
      <c r="DZ198" s="75"/>
      <c r="EA198" s="75"/>
      <c r="EB198" s="81"/>
      <c r="EC198" s="74"/>
      <c r="ED198" s="75"/>
      <c r="EE198" s="75"/>
      <c r="EF198" s="75"/>
      <c r="EG198" s="75"/>
      <c r="EH198" s="75"/>
      <c r="EI198" s="75"/>
      <c r="EJ198" s="75"/>
      <c r="EK198" s="75"/>
      <c r="EL198" s="75"/>
      <c r="EM198" s="75"/>
      <c r="EN198" s="81"/>
      <c r="EO198" s="74"/>
      <c r="EP198" s="75"/>
      <c r="EQ198" s="75"/>
      <c r="ER198" s="75"/>
      <c r="ES198" s="75"/>
      <c r="ET198" s="75"/>
      <c r="EU198" s="75"/>
      <c r="EV198" s="75"/>
      <c r="EW198" s="75"/>
      <c r="EX198" s="75"/>
      <c r="EY198" s="75"/>
      <c r="EZ198" s="81"/>
      <c r="FA198" s="74"/>
      <c r="FB198" s="75"/>
      <c r="FC198" s="75"/>
      <c r="FD198" s="75"/>
      <c r="FE198" s="75"/>
      <c r="FF198" s="75"/>
      <c r="FG198" s="75"/>
      <c r="FH198" s="75"/>
      <c r="FI198" s="75"/>
      <c r="FJ198" s="75"/>
      <c r="FK198" s="75"/>
      <c r="FL198" s="81"/>
      <c r="FM198" s="74"/>
      <c r="FN198" s="75"/>
      <c r="FO198" s="75"/>
      <c r="FP198" s="75"/>
      <c r="FQ198" s="75"/>
      <c r="FR198" s="75"/>
      <c r="FS198" s="75"/>
      <c r="FT198" s="75"/>
      <c r="FU198" s="75"/>
      <c r="FV198" s="75"/>
      <c r="FW198" s="75"/>
      <c r="FX198" s="81"/>
      <c r="FY198" s="74"/>
      <c r="FZ198" s="75"/>
      <c r="GA198" s="75"/>
      <c r="GB198" s="75"/>
      <c r="GC198" s="75"/>
      <c r="GD198" s="75"/>
      <c r="GE198" s="75"/>
      <c r="GF198" s="75"/>
      <c r="GG198" s="75"/>
      <c r="GH198" s="75"/>
      <c r="GI198" s="75"/>
      <c r="GJ198" s="81"/>
      <c r="GK198" s="74"/>
      <c r="GL198" s="75"/>
      <c r="GM198" s="75"/>
      <c r="GN198" s="75"/>
      <c r="GO198" s="75"/>
      <c r="GP198" s="75"/>
      <c r="GQ198" s="75"/>
      <c r="GR198" s="75"/>
      <c r="GS198" s="75"/>
      <c r="GT198" s="75"/>
      <c r="GU198" s="75"/>
      <c r="GV198" s="81"/>
      <c r="GW198" s="74"/>
      <c r="GX198" s="75"/>
      <c r="GY198" s="75"/>
      <c r="GZ198" s="75"/>
      <c r="HA198" s="75"/>
      <c r="HB198" s="75"/>
      <c r="HC198" s="75"/>
      <c r="HD198" s="75"/>
      <c r="HE198" s="75"/>
      <c r="HF198" s="75"/>
      <c r="HG198" s="75"/>
      <c r="HH198" s="81"/>
      <c r="HI198" s="75"/>
    </row>
    <row r="199" ht="15.0" customHeight="1">
      <c r="A199" s="74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81"/>
      <c r="M199" s="74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81"/>
      <c r="Y199" s="74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81"/>
      <c r="AK199" s="74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81"/>
      <c r="AW199" s="74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81"/>
      <c r="BI199" s="74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81"/>
      <c r="BU199" s="74"/>
      <c r="BV199" s="75"/>
      <c r="BW199" s="75"/>
      <c r="BX199" s="75"/>
      <c r="BY199" s="75"/>
      <c r="BZ199" s="75"/>
      <c r="CA199" s="75"/>
      <c r="CB199" s="75"/>
      <c r="CC199" s="75"/>
      <c r="CD199" s="75"/>
      <c r="CE199" s="75"/>
      <c r="CF199" s="81"/>
      <c r="CG199" s="74"/>
      <c r="CH199" s="75"/>
      <c r="CI199" s="75"/>
      <c r="CJ199" s="75"/>
      <c r="CK199" s="75"/>
      <c r="CL199" s="75"/>
      <c r="CM199" s="75"/>
      <c r="CN199" s="75"/>
      <c r="CO199" s="75"/>
      <c r="CP199" s="75"/>
      <c r="CQ199" s="75"/>
      <c r="CR199" s="81"/>
      <c r="CS199" s="74"/>
      <c r="CT199" s="75"/>
      <c r="CU199" s="75"/>
      <c r="CV199" s="75"/>
      <c r="CW199" s="75"/>
      <c r="CX199" s="75"/>
      <c r="CY199" s="75"/>
      <c r="CZ199" s="75"/>
      <c r="DA199" s="75"/>
      <c r="DB199" s="75"/>
      <c r="DC199" s="75"/>
      <c r="DD199" s="81"/>
      <c r="DE199" s="74"/>
      <c r="DF199" s="75"/>
      <c r="DG199" s="75"/>
      <c r="DH199" s="75"/>
      <c r="DI199" s="75"/>
      <c r="DJ199" s="75"/>
      <c r="DK199" s="75"/>
      <c r="DL199" s="75"/>
      <c r="DM199" s="75"/>
      <c r="DN199" s="75"/>
      <c r="DO199" s="75"/>
      <c r="DP199" s="81"/>
      <c r="DQ199" s="74"/>
      <c r="DR199" s="75"/>
      <c r="DS199" s="75"/>
      <c r="DT199" s="75"/>
      <c r="DU199" s="75"/>
      <c r="DV199" s="75"/>
      <c r="DW199" s="75"/>
      <c r="DX199" s="75"/>
      <c r="DY199" s="75"/>
      <c r="DZ199" s="75"/>
      <c r="EA199" s="75"/>
      <c r="EB199" s="81"/>
      <c r="EC199" s="74"/>
      <c r="ED199" s="75"/>
      <c r="EE199" s="75"/>
      <c r="EF199" s="75"/>
      <c r="EG199" s="75"/>
      <c r="EH199" s="75"/>
      <c r="EI199" s="75"/>
      <c r="EJ199" s="75"/>
      <c r="EK199" s="75"/>
      <c r="EL199" s="75"/>
      <c r="EM199" s="75"/>
      <c r="EN199" s="81"/>
      <c r="EO199" s="74"/>
      <c r="EP199" s="75"/>
      <c r="EQ199" s="75"/>
      <c r="ER199" s="75"/>
      <c r="ES199" s="75"/>
      <c r="ET199" s="75"/>
      <c r="EU199" s="75"/>
      <c r="EV199" s="75"/>
      <c r="EW199" s="75"/>
      <c r="EX199" s="75"/>
      <c r="EY199" s="75"/>
      <c r="EZ199" s="81"/>
      <c r="FA199" s="74"/>
      <c r="FB199" s="75"/>
      <c r="FC199" s="75"/>
      <c r="FD199" s="75"/>
      <c r="FE199" s="75"/>
      <c r="FF199" s="75"/>
      <c r="FG199" s="75"/>
      <c r="FH199" s="75"/>
      <c r="FI199" s="75"/>
      <c r="FJ199" s="75"/>
      <c r="FK199" s="75"/>
      <c r="FL199" s="81"/>
      <c r="FM199" s="74"/>
      <c r="FN199" s="75"/>
      <c r="FO199" s="75"/>
      <c r="FP199" s="75"/>
      <c r="FQ199" s="75"/>
      <c r="FR199" s="75"/>
      <c r="FS199" s="75"/>
      <c r="FT199" s="75"/>
      <c r="FU199" s="75"/>
      <c r="FV199" s="75"/>
      <c r="FW199" s="75"/>
      <c r="FX199" s="81"/>
      <c r="FY199" s="74"/>
      <c r="FZ199" s="75"/>
      <c r="GA199" s="75"/>
      <c r="GB199" s="75"/>
      <c r="GC199" s="75"/>
      <c r="GD199" s="75"/>
      <c r="GE199" s="75"/>
      <c r="GF199" s="75"/>
      <c r="GG199" s="75"/>
      <c r="GH199" s="75"/>
      <c r="GI199" s="75"/>
      <c r="GJ199" s="81"/>
      <c r="GK199" s="74"/>
      <c r="GL199" s="75"/>
      <c r="GM199" s="75"/>
      <c r="GN199" s="75"/>
      <c r="GO199" s="75"/>
      <c r="GP199" s="75"/>
      <c r="GQ199" s="75"/>
      <c r="GR199" s="75"/>
      <c r="GS199" s="75"/>
      <c r="GT199" s="75"/>
      <c r="GU199" s="75"/>
      <c r="GV199" s="81"/>
      <c r="GW199" s="74"/>
      <c r="GX199" s="75"/>
      <c r="GY199" s="75"/>
      <c r="GZ199" s="75"/>
      <c r="HA199" s="75"/>
      <c r="HB199" s="75"/>
      <c r="HC199" s="75"/>
      <c r="HD199" s="75"/>
      <c r="HE199" s="75"/>
      <c r="HF199" s="75"/>
      <c r="HG199" s="75"/>
      <c r="HH199" s="81"/>
      <c r="HI199" s="75"/>
    </row>
    <row r="200" ht="15.0" customHeight="1">
      <c r="A200" s="74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81"/>
      <c r="M200" s="74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81"/>
      <c r="Y200" s="74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81"/>
      <c r="AK200" s="74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81"/>
      <c r="AW200" s="74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81"/>
      <c r="BI200" s="74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81"/>
      <c r="BU200" s="74"/>
      <c r="BV200" s="75"/>
      <c r="BW200" s="75"/>
      <c r="BX200" s="75"/>
      <c r="BY200" s="75"/>
      <c r="BZ200" s="75"/>
      <c r="CA200" s="75"/>
      <c r="CB200" s="75"/>
      <c r="CC200" s="75"/>
      <c r="CD200" s="75"/>
      <c r="CE200" s="75"/>
      <c r="CF200" s="81"/>
      <c r="CG200" s="74"/>
      <c r="CH200" s="75"/>
      <c r="CI200" s="75"/>
      <c r="CJ200" s="75"/>
      <c r="CK200" s="75"/>
      <c r="CL200" s="75"/>
      <c r="CM200" s="75"/>
      <c r="CN200" s="75"/>
      <c r="CO200" s="75"/>
      <c r="CP200" s="75"/>
      <c r="CQ200" s="75"/>
      <c r="CR200" s="81"/>
      <c r="CS200" s="74"/>
      <c r="CT200" s="75"/>
      <c r="CU200" s="75"/>
      <c r="CV200" s="75"/>
      <c r="CW200" s="75"/>
      <c r="CX200" s="75"/>
      <c r="CY200" s="75"/>
      <c r="CZ200" s="75"/>
      <c r="DA200" s="75"/>
      <c r="DB200" s="75"/>
      <c r="DC200" s="75"/>
      <c r="DD200" s="81"/>
      <c r="DE200" s="74"/>
      <c r="DF200" s="75"/>
      <c r="DG200" s="75"/>
      <c r="DH200" s="75"/>
      <c r="DI200" s="75"/>
      <c r="DJ200" s="75"/>
      <c r="DK200" s="75"/>
      <c r="DL200" s="75"/>
      <c r="DM200" s="75"/>
      <c r="DN200" s="75"/>
      <c r="DO200" s="75"/>
      <c r="DP200" s="81"/>
      <c r="DQ200" s="74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81"/>
      <c r="EC200" s="74"/>
      <c r="ED200" s="75"/>
      <c r="EE200" s="75"/>
      <c r="EF200" s="75"/>
      <c r="EG200" s="75"/>
      <c r="EH200" s="75"/>
      <c r="EI200" s="75"/>
      <c r="EJ200" s="75"/>
      <c r="EK200" s="75"/>
      <c r="EL200" s="75"/>
      <c r="EM200" s="75"/>
      <c r="EN200" s="81"/>
      <c r="EO200" s="74"/>
      <c r="EP200" s="75"/>
      <c r="EQ200" s="75"/>
      <c r="ER200" s="75"/>
      <c r="ES200" s="75"/>
      <c r="ET200" s="75"/>
      <c r="EU200" s="75"/>
      <c r="EV200" s="75"/>
      <c r="EW200" s="75"/>
      <c r="EX200" s="75"/>
      <c r="EY200" s="75"/>
      <c r="EZ200" s="81"/>
      <c r="FA200" s="74"/>
      <c r="FB200" s="75"/>
      <c r="FC200" s="75"/>
      <c r="FD200" s="75"/>
      <c r="FE200" s="75"/>
      <c r="FF200" s="75"/>
      <c r="FG200" s="75"/>
      <c r="FH200" s="75"/>
      <c r="FI200" s="75"/>
      <c r="FJ200" s="75"/>
      <c r="FK200" s="75"/>
      <c r="FL200" s="81"/>
      <c r="FM200" s="74"/>
      <c r="FN200" s="75"/>
      <c r="FO200" s="75"/>
      <c r="FP200" s="75"/>
      <c r="FQ200" s="75"/>
      <c r="FR200" s="75"/>
      <c r="FS200" s="75"/>
      <c r="FT200" s="75"/>
      <c r="FU200" s="75"/>
      <c r="FV200" s="75"/>
      <c r="FW200" s="75"/>
      <c r="FX200" s="81"/>
      <c r="FY200" s="74"/>
      <c r="FZ200" s="75"/>
      <c r="GA200" s="75"/>
      <c r="GB200" s="75"/>
      <c r="GC200" s="75"/>
      <c r="GD200" s="75"/>
      <c r="GE200" s="75"/>
      <c r="GF200" s="75"/>
      <c r="GG200" s="75"/>
      <c r="GH200" s="75"/>
      <c r="GI200" s="75"/>
      <c r="GJ200" s="81"/>
      <c r="GK200" s="74"/>
      <c r="GL200" s="75"/>
      <c r="GM200" s="75"/>
      <c r="GN200" s="75"/>
      <c r="GO200" s="75"/>
      <c r="GP200" s="75"/>
      <c r="GQ200" s="75"/>
      <c r="GR200" s="75"/>
      <c r="GS200" s="75"/>
      <c r="GT200" s="75"/>
      <c r="GU200" s="75"/>
      <c r="GV200" s="81"/>
      <c r="GW200" s="74"/>
      <c r="GX200" s="75"/>
      <c r="GY200" s="75"/>
      <c r="GZ200" s="75"/>
      <c r="HA200" s="75"/>
      <c r="HB200" s="75"/>
      <c r="HC200" s="75"/>
      <c r="HD200" s="75"/>
      <c r="HE200" s="75"/>
      <c r="HF200" s="75"/>
      <c r="HG200" s="75"/>
      <c r="HH200" s="81"/>
      <c r="HI200" s="75"/>
    </row>
    <row r="201" ht="15.0" customHeight="1">
      <c r="A201" s="74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81"/>
      <c r="M201" s="74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81"/>
      <c r="Y201" s="74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81"/>
      <c r="AK201" s="74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81"/>
      <c r="AW201" s="74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81"/>
      <c r="BI201" s="74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81"/>
      <c r="BU201" s="74"/>
      <c r="BV201" s="75"/>
      <c r="BW201" s="75"/>
      <c r="BX201" s="75"/>
      <c r="BY201" s="75"/>
      <c r="BZ201" s="75"/>
      <c r="CA201" s="75"/>
      <c r="CB201" s="75"/>
      <c r="CC201" s="75"/>
      <c r="CD201" s="75"/>
      <c r="CE201" s="75"/>
      <c r="CF201" s="81"/>
      <c r="CG201" s="74"/>
      <c r="CH201" s="75"/>
      <c r="CI201" s="75"/>
      <c r="CJ201" s="75"/>
      <c r="CK201" s="75"/>
      <c r="CL201" s="75"/>
      <c r="CM201" s="75"/>
      <c r="CN201" s="75"/>
      <c r="CO201" s="75"/>
      <c r="CP201" s="75"/>
      <c r="CQ201" s="75"/>
      <c r="CR201" s="81"/>
      <c r="CS201" s="74"/>
      <c r="CT201" s="75"/>
      <c r="CU201" s="75"/>
      <c r="CV201" s="75"/>
      <c r="CW201" s="75"/>
      <c r="CX201" s="75"/>
      <c r="CY201" s="75"/>
      <c r="CZ201" s="75"/>
      <c r="DA201" s="75"/>
      <c r="DB201" s="75"/>
      <c r="DC201" s="75"/>
      <c r="DD201" s="81"/>
      <c r="DE201" s="74"/>
      <c r="DF201" s="75"/>
      <c r="DG201" s="75"/>
      <c r="DH201" s="75"/>
      <c r="DI201" s="75"/>
      <c r="DJ201" s="75"/>
      <c r="DK201" s="75"/>
      <c r="DL201" s="75"/>
      <c r="DM201" s="75"/>
      <c r="DN201" s="75"/>
      <c r="DO201" s="75"/>
      <c r="DP201" s="81"/>
      <c r="DQ201" s="74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81"/>
      <c r="EC201" s="74"/>
      <c r="ED201" s="75"/>
      <c r="EE201" s="75"/>
      <c r="EF201" s="75"/>
      <c r="EG201" s="75"/>
      <c r="EH201" s="75"/>
      <c r="EI201" s="75"/>
      <c r="EJ201" s="75"/>
      <c r="EK201" s="75"/>
      <c r="EL201" s="75"/>
      <c r="EM201" s="75"/>
      <c r="EN201" s="81"/>
      <c r="EO201" s="74"/>
      <c r="EP201" s="75"/>
      <c r="EQ201" s="75"/>
      <c r="ER201" s="75"/>
      <c r="ES201" s="75"/>
      <c r="ET201" s="75"/>
      <c r="EU201" s="75"/>
      <c r="EV201" s="75"/>
      <c r="EW201" s="75"/>
      <c r="EX201" s="75"/>
      <c r="EY201" s="75"/>
      <c r="EZ201" s="81"/>
      <c r="FA201" s="74"/>
      <c r="FB201" s="75"/>
      <c r="FC201" s="75"/>
      <c r="FD201" s="75"/>
      <c r="FE201" s="75"/>
      <c r="FF201" s="75"/>
      <c r="FG201" s="75"/>
      <c r="FH201" s="75"/>
      <c r="FI201" s="75"/>
      <c r="FJ201" s="75"/>
      <c r="FK201" s="75"/>
      <c r="FL201" s="81"/>
      <c r="FM201" s="74"/>
      <c r="FN201" s="75"/>
      <c r="FO201" s="75"/>
      <c r="FP201" s="75"/>
      <c r="FQ201" s="75"/>
      <c r="FR201" s="75"/>
      <c r="FS201" s="75"/>
      <c r="FT201" s="75"/>
      <c r="FU201" s="75"/>
      <c r="FV201" s="75"/>
      <c r="FW201" s="75"/>
      <c r="FX201" s="81"/>
      <c r="FY201" s="74"/>
      <c r="FZ201" s="75"/>
      <c r="GA201" s="75"/>
      <c r="GB201" s="75"/>
      <c r="GC201" s="75"/>
      <c r="GD201" s="75"/>
      <c r="GE201" s="75"/>
      <c r="GF201" s="75"/>
      <c r="GG201" s="75"/>
      <c r="GH201" s="75"/>
      <c r="GI201" s="75"/>
      <c r="GJ201" s="81"/>
      <c r="GK201" s="74"/>
      <c r="GL201" s="75"/>
      <c r="GM201" s="75"/>
      <c r="GN201" s="75"/>
      <c r="GO201" s="75"/>
      <c r="GP201" s="75"/>
      <c r="GQ201" s="75"/>
      <c r="GR201" s="75"/>
      <c r="GS201" s="75"/>
      <c r="GT201" s="75"/>
      <c r="GU201" s="75"/>
      <c r="GV201" s="81"/>
      <c r="GW201" s="74"/>
      <c r="GX201" s="75"/>
      <c r="GY201" s="75"/>
      <c r="GZ201" s="75"/>
      <c r="HA201" s="75"/>
      <c r="HB201" s="75"/>
      <c r="HC201" s="75"/>
      <c r="HD201" s="75"/>
      <c r="HE201" s="75"/>
      <c r="HF201" s="75"/>
      <c r="HG201" s="75"/>
      <c r="HH201" s="81"/>
      <c r="HI201" s="75"/>
    </row>
    <row r="202" ht="15.0" customHeight="1">
      <c r="A202" s="74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81"/>
      <c r="M202" s="74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81"/>
      <c r="Y202" s="74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81"/>
      <c r="AK202" s="74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81"/>
      <c r="AW202" s="74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81"/>
      <c r="BI202" s="74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81"/>
      <c r="BU202" s="74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81"/>
      <c r="CG202" s="74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81"/>
      <c r="CS202" s="74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81"/>
      <c r="DE202" s="74"/>
      <c r="DF202" s="75"/>
      <c r="DG202" s="75"/>
      <c r="DH202" s="75"/>
      <c r="DI202" s="75"/>
      <c r="DJ202" s="75"/>
      <c r="DK202" s="75"/>
      <c r="DL202" s="75"/>
      <c r="DM202" s="75"/>
      <c r="DN202" s="75"/>
      <c r="DO202" s="75"/>
      <c r="DP202" s="81"/>
      <c r="DQ202" s="74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81"/>
      <c r="EC202" s="74"/>
      <c r="ED202" s="75"/>
      <c r="EE202" s="75"/>
      <c r="EF202" s="75"/>
      <c r="EG202" s="75"/>
      <c r="EH202" s="75"/>
      <c r="EI202" s="75"/>
      <c r="EJ202" s="75"/>
      <c r="EK202" s="75"/>
      <c r="EL202" s="75"/>
      <c r="EM202" s="75"/>
      <c r="EN202" s="81"/>
      <c r="EO202" s="74"/>
      <c r="EP202" s="75"/>
      <c r="EQ202" s="75"/>
      <c r="ER202" s="75"/>
      <c r="ES202" s="75"/>
      <c r="ET202" s="75"/>
      <c r="EU202" s="75"/>
      <c r="EV202" s="75"/>
      <c r="EW202" s="75"/>
      <c r="EX202" s="75"/>
      <c r="EY202" s="75"/>
      <c r="EZ202" s="81"/>
      <c r="FA202" s="74"/>
      <c r="FB202" s="75"/>
      <c r="FC202" s="75"/>
      <c r="FD202" s="75"/>
      <c r="FE202" s="75"/>
      <c r="FF202" s="75"/>
      <c r="FG202" s="75"/>
      <c r="FH202" s="75"/>
      <c r="FI202" s="75"/>
      <c r="FJ202" s="75"/>
      <c r="FK202" s="75"/>
      <c r="FL202" s="81"/>
      <c r="FM202" s="74"/>
      <c r="FN202" s="75"/>
      <c r="FO202" s="75"/>
      <c r="FP202" s="75"/>
      <c r="FQ202" s="75"/>
      <c r="FR202" s="75"/>
      <c r="FS202" s="75"/>
      <c r="FT202" s="75"/>
      <c r="FU202" s="75"/>
      <c r="FV202" s="75"/>
      <c r="FW202" s="75"/>
      <c r="FX202" s="81"/>
      <c r="FY202" s="74"/>
      <c r="FZ202" s="75"/>
      <c r="GA202" s="75"/>
      <c r="GB202" s="75"/>
      <c r="GC202" s="75"/>
      <c r="GD202" s="75"/>
      <c r="GE202" s="75"/>
      <c r="GF202" s="75"/>
      <c r="GG202" s="75"/>
      <c r="GH202" s="75"/>
      <c r="GI202" s="75"/>
      <c r="GJ202" s="81"/>
      <c r="GK202" s="74"/>
      <c r="GL202" s="75"/>
      <c r="GM202" s="75"/>
      <c r="GN202" s="75"/>
      <c r="GO202" s="75"/>
      <c r="GP202" s="75"/>
      <c r="GQ202" s="75"/>
      <c r="GR202" s="75"/>
      <c r="GS202" s="75"/>
      <c r="GT202" s="75"/>
      <c r="GU202" s="75"/>
      <c r="GV202" s="81"/>
      <c r="GW202" s="74"/>
      <c r="GX202" s="75"/>
      <c r="GY202" s="75"/>
      <c r="GZ202" s="75"/>
      <c r="HA202" s="75"/>
      <c r="HB202" s="75"/>
      <c r="HC202" s="75"/>
      <c r="HD202" s="75"/>
      <c r="HE202" s="75"/>
      <c r="HF202" s="75"/>
      <c r="HG202" s="75"/>
      <c r="HH202" s="81"/>
      <c r="HI202" s="75"/>
    </row>
    <row r="203" ht="15.0" customHeight="1">
      <c r="A203" s="74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81"/>
      <c r="M203" s="74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81"/>
      <c r="Y203" s="74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81"/>
      <c r="AK203" s="74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81"/>
      <c r="AW203" s="74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81"/>
      <c r="BI203" s="74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81"/>
      <c r="BU203" s="74"/>
      <c r="BV203" s="75"/>
      <c r="BW203" s="75"/>
      <c r="BX203" s="75"/>
      <c r="BY203" s="75"/>
      <c r="BZ203" s="75"/>
      <c r="CA203" s="75"/>
      <c r="CB203" s="75"/>
      <c r="CC203" s="75"/>
      <c r="CD203" s="75"/>
      <c r="CE203" s="75"/>
      <c r="CF203" s="81"/>
      <c r="CG203" s="74"/>
      <c r="CH203" s="75"/>
      <c r="CI203" s="75"/>
      <c r="CJ203" s="75"/>
      <c r="CK203" s="75"/>
      <c r="CL203" s="75"/>
      <c r="CM203" s="75"/>
      <c r="CN203" s="75"/>
      <c r="CO203" s="75"/>
      <c r="CP203" s="75"/>
      <c r="CQ203" s="75"/>
      <c r="CR203" s="81"/>
      <c r="CS203" s="74"/>
      <c r="CT203" s="75"/>
      <c r="CU203" s="75"/>
      <c r="CV203" s="75"/>
      <c r="CW203" s="75"/>
      <c r="CX203" s="75"/>
      <c r="CY203" s="75"/>
      <c r="CZ203" s="75"/>
      <c r="DA203" s="75"/>
      <c r="DB203" s="75"/>
      <c r="DC203" s="75"/>
      <c r="DD203" s="81"/>
      <c r="DE203" s="74"/>
      <c r="DF203" s="75"/>
      <c r="DG203" s="75"/>
      <c r="DH203" s="75"/>
      <c r="DI203" s="75"/>
      <c r="DJ203" s="75"/>
      <c r="DK203" s="75"/>
      <c r="DL203" s="75"/>
      <c r="DM203" s="75"/>
      <c r="DN203" s="75"/>
      <c r="DO203" s="75"/>
      <c r="DP203" s="81"/>
      <c r="DQ203" s="74"/>
      <c r="DR203" s="75"/>
      <c r="DS203" s="75"/>
      <c r="DT203" s="75"/>
      <c r="DU203" s="75"/>
      <c r="DV203" s="75"/>
      <c r="DW203" s="75"/>
      <c r="DX203" s="75"/>
      <c r="DY203" s="75"/>
      <c r="DZ203" s="75"/>
      <c r="EA203" s="75"/>
      <c r="EB203" s="81"/>
      <c r="EC203" s="74"/>
      <c r="ED203" s="75"/>
      <c r="EE203" s="75"/>
      <c r="EF203" s="75"/>
      <c r="EG203" s="75"/>
      <c r="EH203" s="75"/>
      <c r="EI203" s="75"/>
      <c r="EJ203" s="75"/>
      <c r="EK203" s="75"/>
      <c r="EL203" s="75"/>
      <c r="EM203" s="75"/>
      <c r="EN203" s="81"/>
      <c r="EO203" s="74"/>
      <c r="EP203" s="75"/>
      <c r="EQ203" s="75"/>
      <c r="ER203" s="75"/>
      <c r="ES203" s="75"/>
      <c r="ET203" s="75"/>
      <c r="EU203" s="75"/>
      <c r="EV203" s="75"/>
      <c r="EW203" s="75"/>
      <c r="EX203" s="75"/>
      <c r="EY203" s="75"/>
      <c r="EZ203" s="81"/>
      <c r="FA203" s="74"/>
      <c r="FB203" s="75"/>
      <c r="FC203" s="75"/>
      <c r="FD203" s="75"/>
      <c r="FE203" s="75"/>
      <c r="FF203" s="75"/>
      <c r="FG203" s="75"/>
      <c r="FH203" s="75"/>
      <c r="FI203" s="75"/>
      <c r="FJ203" s="75"/>
      <c r="FK203" s="75"/>
      <c r="FL203" s="81"/>
      <c r="FM203" s="74"/>
      <c r="FN203" s="75"/>
      <c r="FO203" s="75"/>
      <c r="FP203" s="75"/>
      <c r="FQ203" s="75"/>
      <c r="FR203" s="75"/>
      <c r="FS203" s="75"/>
      <c r="FT203" s="75"/>
      <c r="FU203" s="75"/>
      <c r="FV203" s="75"/>
      <c r="FW203" s="75"/>
      <c r="FX203" s="81"/>
      <c r="FY203" s="74"/>
      <c r="FZ203" s="75"/>
      <c r="GA203" s="75"/>
      <c r="GB203" s="75"/>
      <c r="GC203" s="75"/>
      <c r="GD203" s="75"/>
      <c r="GE203" s="75"/>
      <c r="GF203" s="75"/>
      <c r="GG203" s="75"/>
      <c r="GH203" s="75"/>
      <c r="GI203" s="75"/>
      <c r="GJ203" s="81"/>
      <c r="GK203" s="74"/>
      <c r="GL203" s="75"/>
      <c r="GM203" s="75"/>
      <c r="GN203" s="75"/>
      <c r="GO203" s="75"/>
      <c r="GP203" s="75"/>
      <c r="GQ203" s="75"/>
      <c r="GR203" s="75"/>
      <c r="GS203" s="75"/>
      <c r="GT203" s="75"/>
      <c r="GU203" s="75"/>
      <c r="GV203" s="81"/>
      <c r="GW203" s="74"/>
      <c r="GX203" s="75"/>
      <c r="GY203" s="75"/>
      <c r="GZ203" s="75"/>
      <c r="HA203" s="75"/>
      <c r="HB203" s="75"/>
      <c r="HC203" s="75"/>
      <c r="HD203" s="75"/>
      <c r="HE203" s="75"/>
      <c r="HF203" s="75"/>
      <c r="HG203" s="75"/>
      <c r="HH203" s="81"/>
      <c r="HI203" s="75"/>
    </row>
    <row r="204" ht="15.0" customHeight="1">
      <c r="A204" s="74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81"/>
      <c r="M204" s="74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81"/>
      <c r="Y204" s="74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81"/>
      <c r="AK204" s="74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81"/>
      <c r="AW204" s="74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81"/>
      <c r="BI204" s="74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81"/>
      <c r="BU204" s="74"/>
      <c r="BV204" s="75"/>
      <c r="BW204" s="75"/>
      <c r="BX204" s="75"/>
      <c r="BY204" s="75"/>
      <c r="BZ204" s="75"/>
      <c r="CA204" s="75"/>
      <c r="CB204" s="75"/>
      <c r="CC204" s="75"/>
      <c r="CD204" s="75"/>
      <c r="CE204" s="75"/>
      <c r="CF204" s="81"/>
      <c r="CG204" s="74"/>
      <c r="CH204" s="75"/>
      <c r="CI204" s="75"/>
      <c r="CJ204" s="75"/>
      <c r="CK204" s="75"/>
      <c r="CL204" s="75"/>
      <c r="CM204" s="75"/>
      <c r="CN204" s="75"/>
      <c r="CO204" s="75"/>
      <c r="CP204" s="75"/>
      <c r="CQ204" s="75"/>
      <c r="CR204" s="81"/>
      <c r="CS204" s="74"/>
      <c r="CT204" s="75"/>
      <c r="CU204" s="75"/>
      <c r="CV204" s="75"/>
      <c r="CW204" s="75"/>
      <c r="CX204" s="75"/>
      <c r="CY204" s="75"/>
      <c r="CZ204" s="75"/>
      <c r="DA204" s="75"/>
      <c r="DB204" s="75"/>
      <c r="DC204" s="75"/>
      <c r="DD204" s="81"/>
      <c r="DE204" s="74"/>
      <c r="DF204" s="75"/>
      <c r="DG204" s="75"/>
      <c r="DH204" s="75"/>
      <c r="DI204" s="75"/>
      <c r="DJ204" s="75"/>
      <c r="DK204" s="75"/>
      <c r="DL204" s="75"/>
      <c r="DM204" s="75"/>
      <c r="DN204" s="75"/>
      <c r="DO204" s="75"/>
      <c r="DP204" s="81"/>
      <c r="DQ204" s="74"/>
      <c r="DR204" s="75"/>
      <c r="DS204" s="75"/>
      <c r="DT204" s="75"/>
      <c r="DU204" s="75"/>
      <c r="DV204" s="75"/>
      <c r="DW204" s="75"/>
      <c r="DX204" s="75"/>
      <c r="DY204" s="75"/>
      <c r="DZ204" s="75"/>
      <c r="EA204" s="75"/>
      <c r="EB204" s="81"/>
      <c r="EC204" s="74"/>
      <c r="ED204" s="75"/>
      <c r="EE204" s="75"/>
      <c r="EF204" s="75"/>
      <c r="EG204" s="75"/>
      <c r="EH204" s="75"/>
      <c r="EI204" s="75"/>
      <c r="EJ204" s="75"/>
      <c r="EK204" s="75"/>
      <c r="EL204" s="75"/>
      <c r="EM204" s="75"/>
      <c r="EN204" s="81"/>
      <c r="EO204" s="74"/>
      <c r="EP204" s="75"/>
      <c r="EQ204" s="75"/>
      <c r="ER204" s="75"/>
      <c r="ES204" s="75"/>
      <c r="ET204" s="75"/>
      <c r="EU204" s="75"/>
      <c r="EV204" s="75"/>
      <c r="EW204" s="75"/>
      <c r="EX204" s="75"/>
      <c r="EY204" s="75"/>
      <c r="EZ204" s="81"/>
      <c r="FA204" s="74"/>
      <c r="FB204" s="75"/>
      <c r="FC204" s="75"/>
      <c r="FD204" s="75"/>
      <c r="FE204" s="75"/>
      <c r="FF204" s="75"/>
      <c r="FG204" s="75"/>
      <c r="FH204" s="75"/>
      <c r="FI204" s="75"/>
      <c r="FJ204" s="75"/>
      <c r="FK204" s="75"/>
      <c r="FL204" s="81"/>
      <c r="FM204" s="74"/>
      <c r="FN204" s="75"/>
      <c r="FO204" s="75"/>
      <c r="FP204" s="75"/>
      <c r="FQ204" s="75"/>
      <c r="FR204" s="75"/>
      <c r="FS204" s="75"/>
      <c r="FT204" s="75"/>
      <c r="FU204" s="75"/>
      <c r="FV204" s="75"/>
      <c r="FW204" s="75"/>
      <c r="FX204" s="81"/>
      <c r="FY204" s="74"/>
      <c r="FZ204" s="75"/>
      <c r="GA204" s="75"/>
      <c r="GB204" s="75"/>
      <c r="GC204" s="75"/>
      <c r="GD204" s="75"/>
      <c r="GE204" s="75"/>
      <c r="GF204" s="75"/>
      <c r="GG204" s="75"/>
      <c r="GH204" s="75"/>
      <c r="GI204" s="75"/>
      <c r="GJ204" s="81"/>
      <c r="GK204" s="74"/>
      <c r="GL204" s="75"/>
      <c r="GM204" s="75"/>
      <c r="GN204" s="75"/>
      <c r="GO204" s="75"/>
      <c r="GP204" s="75"/>
      <c r="GQ204" s="75"/>
      <c r="GR204" s="75"/>
      <c r="GS204" s="75"/>
      <c r="GT204" s="75"/>
      <c r="GU204" s="75"/>
      <c r="GV204" s="81"/>
      <c r="GW204" s="74"/>
      <c r="GX204" s="75"/>
      <c r="GY204" s="75"/>
      <c r="GZ204" s="75"/>
      <c r="HA204" s="75"/>
      <c r="HB204" s="75"/>
      <c r="HC204" s="75"/>
      <c r="HD204" s="75"/>
      <c r="HE204" s="75"/>
      <c r="HF204" s="75"/>
      <c r="HG204" s="75"/>
      <c r="HH204" s="81"/>
      <c r="HI204" s="75"/>
    </row>
    <row r="205" ht="15.0" customHeight="1">
      <c r="A205" s="74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81"/>
      <c r="M205" s="74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81"/>
      <c r="Y205" s="74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81"/>
      <c r="AK205" s="74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81"/>
      <c r="AW205" s="74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81"/>
      <c r="BI205" s="74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81"/>
      <c r="BU205" s="74"/>
      <c r="BV205" s="75"/>
      <c r="BW205" s="75"/>
      <c r="BX205" s="75"/>
      <c r="BY205" s="75"/>
      <c r="BZ205" s="75"/>
      <c r="CA205" s="75"/>
      <c r="CB205" s="75"/>
      <c r="CC205" s="75"/>
      <c r="CD205" s="75"/>
      <c r="CE205" s="75"/>
      <c r="CF205" s="81"/>
      <c r="CG205" s="74"/>
      <c r="CH205" s="75"/>
      <c r="CI205" s="75"/>
      <c r="CJ205" s="75"/>
      <c r="CK205" s="75"/>
      <c r="CL205" s="75"/>
      <c r="CM205" s="75"/>
      <c r="CN205" s="75"/>
      <c r="CO205" s="75"/>
      <c r="CP205" s="75"/>
      <c r="CQ205" s="75"/>
      <c r="CR205" s="81"/>
      <c r="CS205" s="74"/>
      <c r="CT205" s="75"/>
      <c r="CU205" s="75"/>
      <c r="CV205" s="75"/>
      <c r="CW205" s="75"/>
      <c r="CX205" s="75"/>
      <c r="CY205" s="75"/>
      <c r="CZ205" s="75"/>
      <c r="DA205" s="75"/>
      <c r="DB205" s="75"/>
      <c r="DC205" s="75"/>
      <c r="DD205" s="81"/>
      <c r="DE205" s="74"/>
      <c r="DF205" s="75"/>
      <c r="DG205" s="75"/>
      <c r="DH205" s="75"/>
      <c r="DI205" s="75"/>
      <c r="DJ205" s="75"/>
      <c r="DK205" s="75"/>
      <c r="DL205" s="75"/>
      <c r="DM205" s="75"/>
      <c r="DN205" s="75"/>
      <c r="DO205" s="75"/>
      <c r="DP205" s="81"/>
      <c r="DQ205" s="74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81"/>
      <c r="EC205" s="74"/>
      <c r="ED205" s="75"/>
      <c r="EE205" s="75"/>
      <c r="EF205" s="75"/>
      <c r="EG205" s="75"/>
      <c r="EH205" s="75"/>
      <c r="EI205" s="75"/>
      <c r="EJ205" s="75"/>
      <c r="EK205" s="75"/>
      <c r="EL205" s="75"/>
      <c r="EM205" s="75"/>
      <c r="EN205" s="81"/>
      <c r="EO205" s="74"/>
      <c r="EP205" s="75"/>
      <c r="EQ205" s="75"/>
      <c r="ER205" s="75"/>
      <c r="ES205" s="75"/>
      <c r="ET205" s="75"/>
      <c r="EU205" s="75"/>
      <c r="EV205" s="75"/>
      <c r="EW205" s="75"/>
      <c r="EX205" s="75"/>
      <c r="EY205" s="75"/>
      <c r="EZ205" s="81"/>
      <c r="FA205" s="74"/>
      <c r="FB205" s="75"/>
      <c r="FC205" s="75"/>
      <c r="FD205" s="75"/>
      <c r="FE205" s="75"/>
      <c r="FF205" s="75"/>
      <c r="FG205" s="75"/>
      <c r="FH205" s="75"/>
      <c r="FI205" s="75"/>
      <c r="FJ205" s="75"/>
      <c r="FK205" s="75"/>
      <c r="FL205" s="81"/>
      <c r="FM205" s="74"/>
      <c r="FN205" s="75"/>
      <c r="FO205" s="75"/>
      <c r="FP205" s="75"/>
      <c r="FQ205" s="75"/>
      <c r="FR205" s="75"/>
      <c r="FS205" s="75"/>
      <c r="FT205" s="75"/>
      <c r="FU205" s="75"/>
      <c r="FV205" s="75"/>
      <c r="FW205" s="75"/>
      <c r="FX205" s="81"/>
      <c r="FY205" s="74"/>
      <c r="FZ205" s="75"/>
      <c r="GA205" s="75"/>
      <c r="GB205" s="75"/>
      <c r="GC205" s="75"/>
      <c r="GD205" s="75"/>
      <c r="GE205" s="75"/>
      <c r="GF205" s="75"/>
      <c r="GG205" s="75"/>
      <c r="GH205" s="75"/>
      <c r="GI205" s="75"/>
      <c r="GJ205" s="81"/>
      <c r="GK205" s="74"/>
      <c r="GL205" s="75"/>
      <c r="GM205" s="75"/>
      <c r="GN205" s="75"/>
      <c r="GO205" s="75"/>
      <c r="GP205" s="75"/>
      <c r="GQ205" s="75"/>
      <c r="GR205" s="75"/>
      <c r="GS205" s="75"/>
      <c r="GT205" s="75"/>
      <c r="GU205" s="75"/>
      <c r="GV205" s="81"/>
      <c r="GW205" s="74"/>
      <c r="GX205" s="75"/>
      <c r="GY205" s="75"/>
      <c r="GZ205" s="75"/>
      <c r="HA205" s="75"/>
      <c r="HB205" s="75"/>
      <c r="HC205" s="75"/>
      <c r="HD205" s="75"/>
      <c r="HE205" s="75"/>
      <c r="HF205" s="75"/>
      <c r="HG205" s="75"/>
      <c r="HH205" s="81"/>
      <c r="HI205" s="75"/>
    </row>
    <row r="206" ht="15.0" customHeight="1">
      <c r="A206" s="74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81"/>
      <c r="M206" s="74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81"/>
      <c r="Y206" s="74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81"/>
      <c r="AK206" s="74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81"/>
      <c r="AW206" s="74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81"/>
      <c r="BI206" s="74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81"/>
      <c r="BU206" s="74"/>
      <c r="BV206" s="75"/>
      <c r="BW206" s="75"/>
      <c r="BX206" s="75"/>
      <c r="BY206" s="75"/>
      <c r="BZ206" s="75"/>
      <c r="CA206" s="75"/>
      <c r="CB206" s="75"/>
      <c r="CC206" s="75"/>
      <c r="CD206" s="75"/>
      <c r="CE206" s="75"/>
      <c r="CF206" s="81"/>
      <c r="CG206" s="74"/>
      <c r="CH206" s="75"/>
      <c r="CI206" s="75"/>
      <c r="CJ206" s="75"/>
      <c r="CK206" s="75"/>
      <c r="CL206" s="75"/>
      <c r="CM206" s="75"/>
      <c r="CN206" s="75"/>
      <c r="CO206" s="75"/>
      <c r="CP206" s="75"/>
      <c r="CQ206" s="75"/>
      <c r="CR206" s="81"/>
      <c r="CS206" s="74"/>
      <c r="CT206" s="75"/>
      <c r="CU206" s="75"/>
      <c r="CV206" s="75"/>
      <c r="CW206" s="75"/>
      <c r="CX206" s="75"/>
      <c r="CY206" s="75"/>
      <c r="CZ206" s="75"/>
      <c r="DA206" s="75"/>
      <c r="DB206" s="75"/>
      <c r="DC206" s="75"/>
      <c r="DD206" s="81"/>
      <c r="DE206" s="74"/>
      <c r="DF206" s="75"/>
      <c r="DG206" s="75"/>
      <c r="DH206" s="75"/>
      <c r="DI206" s="75"/>
      <c r="DJ206" s="75"/>
      <c r="DK206" s="75"/>
      <c r="DL206" s="75"/>
      <c r="DM206" s="75"/>
      <c r="DN206" s="75"/>
      <c r="DO206" s="75"/>
      <c r="DP206" s="81"/>
      <c r="DQ206" s="74"/>
      <c r="DR206" s="75"/>
      <c r="DS206" s="75"/>
      <c r="DT206" s="75"/>
      <c r="DU206" s="75"/>
      <c r="DV206" s="75"/>
      <c r="DW206" s="75"/>
      <c r="DX206" s="75"/>
      <c r="DY206" s="75"/>
      <c r="DZ206" s="75"/>
      <c r="EA206" s="75"/>
      <c r="EB206" s="81"/>
      <c r="EC206" s="74"/>
      <c r="ED206" s="75"/>
      <c r="EE206" s="75"/>
      <c r="EF206" s="75"/>
      <c r="EG206" s="75"/>
      <c r="EH206" s="75"/>
      <c r="EI206" s="75"/>
      <c r="EJ206" s="75"/>
      <c r="EK206" s="75"/>
      <c r="EL206" s="75"/>
      <c r="EM206" s="75"/>
      <c r="EN206" s="81"/>
      <c r="EO206" s="74"/>
      <c r="EP206" s="75"/>
      <c r="EQ206" s="75"/>
      <c r="ER206" s="75"/>
      <c r="ES206" s="75"/>
      <c r="ET206" s="75"/>
      <c r="EU206" s="75"/>
      <c r="EV206" s="75"/>
      <c r="EW206" s="75"/>
      <c r="EX206" s="75"/>
      <c r="EY206" s="75"/>
      <c r="EZ206" s="81"/>
      <c r="FA206" s="74"/>
      <c r="FB206" s="75"/>
      <c r="FC206" s="75"/>
      <c r="FD206" s="75"/>
      <c r="FE206" s="75"/>
      <c r="FF206" s="75"/>
      <c r="FG206" s="75"/>
      <c r="FH206" s="75"/>
      <c r="FI206" s="75"/>
      <c r="FJ206" s="75"/>
      <c r="FK206" s="75"/>
      <c r="FL206" s="81"/>
      <c r="FM206" s="74"/>
      <c r="FN206" s="75"/>
      <c r="FO206" s="75"/>
      <c r="FP206" s="75"/>
      <c r="FQ206" s="75"/>
      <c r="FR206" s="75"/>
      <c r="FS206" s="75"/>
      <c r="FT206" s="75"/>
      <c r="FU206" s="75"/>
      <c r="FV206" s="75"/>
      <c r="FW206" s="75"/>
      <c r="FX206" s="81"/>
      <c r="FY206" s="74"/>
      <c r="FZ206" s="75"/>
      <c r="GA206" s="75"/>
      <c r="GB206" s="75"/>
      <c r="GC206" s="75"/>
      <c r="GD206" s="75"/>
      <c r="GE206" s="75"/>
      <c r="GF206" s="75"/>
      <c r="GG206" s="75"/>
      <c r="GH206" s="75"/>
      <c r="GI206" s="75"/>
      <c r="GJ206" s="81"/>
      <c r="GK206" s="74"/>
      <c r="GL206" s="75"/>
      <c r="GM206" s="75"/>
      <c r="GN206" s="75"/>
      <c r="GO206" s="75"/>
      <c r="GP206" s="75"/>
      <c r="GQ206" s="75"/>
      <c r="GR206" s="75"/>
      <c r="GS206" s="75"/>
      <c r="GT206" s="75"/>
      <c r="GU206" s="75"/>
      <c r="GV206" s="81"/>
      <c r="GW206" s="74"/>
      <c r="GX206" s="75"/>
      <c r="GY206" s="75"/>
      <c r="GZ206" s="75"/>
      <c r="HA206" s="75"/>
      <c r="HB206" s="75"/>
      <c r="HC206" s="75"/>
      <c r="HD206" s="75"/>
      <c r="HE206" s="75"/>
      <c r="HF206" s="75"/>
      <c r="HG206" s="75"/>
      <c r="HH206" s="81"/>
      <c r="HI206" s="75"/>
    </row>
    <row r="207" ht="15.0" customHeight="1">
      <c r="A207" s="74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81"/>
      <c r="M207" s="74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81"/>
      <c r="Y207" s="74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81"/>
      <c r="AK207" s="74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81"/>
      <c r="AW207" s="74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81"/>
      <c r="BI207" s="74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81"/>
      <c r="BU207" s="74"/>
      <c r="BV207" s="75"/>
      <c r="BW207" s="75"/>
      <c r="BX207" s="75"/>
      <c r="BY207" s="75"/>
      <c r="BZ207" s="75"/>
      <c r="CA207" s="75"/>
      <c r="CB207" s="75"/>
      <c r="CC207" s="75"/>
      <c r="CD207" s="75"/>
      <c r="CE207" s="75"/>
      <c r="CF207" s="81"/>
      <c r="CG207" s="74"/>
      <c r="CH207" s="75"/>
      <c r="CI207" s="75"/>
      <c r="CJ207" s="75"/>
      <c r="CK207" s="75"/>
      <c r="CL207" s="75"/>
      <c r="CM207" s="75"/>
      <c r="CN207" s="75"/>
      <c r="CO207" s="75"/>
      <c r="CP207" s="75"/>
      <c r="CQ207" s="75"/>
      <c r="CR207" s="81"/>
      <c r="CS207" s="74"/>
      <c r="CT207" s="75"/>
      <c r="CU207" s="75"/>
      <c r="CV207" s="75"/>
      <c r="CW207" s="75"/>
      <c r="CX207" s="75"/>
      <c r="CY207" s="75"/>
      <c r="CZ207" s="75"/>
      <c r="DA207" s="75"/>
      <c r="DB207" s="75"/>
      <c r="DC207" s="75"/>
      <c r="DD207" s="81"/>
      <c r="DE207" s="74"/>
      <c r="DF207" s="75"/>
      <c r="DG207" s="75"/>
      <c r="DH207" s="75"/>
      <c r="DI207" s="75"/>
      <c r="DJ207" s="75"/>
      <c r="DK207" s="75"/>
      <c r="DL207" s="75"/>
      <c r="DM207" s="75"/>
      <c r="DN207" s="75"/>
      <c r="DO207" s="75"/>
      <c r="DP207" s="81"/>
      <c r="DQ207" s="74"/>
      <c r="DR207" s="75"/>
      <c r="DS207" s="75"/>
      <c r="DT207" s="75"/>
      <c r="DU207" s="75"/>
      <c r="DV207" s="75"/>
      <c r="DW207" s="75"/>
      <c r="DX207" s="75"/>
      <c r="DY207" s="75"/>
      <c r="DZ207" s="75"/>
      <c r="EA207" s="75"/>
      <c r="EB207" s="81"/>
      <c r="EC207" s="74"/>
      <c r="ED207" s="75"/>
      <c r="EE207" s="75"/>
      <c r="EF207" s="75"/>
      <c r="EG207" s="75"/>
      <c r="EH207" s="75"/>
      <c r="EI207" s="75"/>
      <c r="EJ207" s="75"/>
      <c r="EK207" s="75"/>
      <c r="EL207" s="75"/>
      <c r="EM207" s="75"/>
      <c r="EN207" s="81"/>
      <c r="EO207" s="74"/>
      <c r="EP207" s="75"/>
      <c r="EQ207" s="75"/>
      <c r="ER207" s="75"/>
      <c r="ES207" s="75"/>
      <c r="ET207" s="75"/>
      <c r="EU207" s="75"/>
      <c r="EV207" s="75"/>
      <c r="EW207" s="75"/>
      <c r="EX207" s="75"/>
      <c r="EY207" s="75"/>
      <c r="EZ207" s="81"/>
      <c r="FA207" s="74"/>
      <c r="FB207" s="75"/>
      <c r="FC207" s="75"/>
      <c r="FD207" s="75"/>
      <c r="FE207" s="75"/>
      <c r="FF207" s="75"/>
      <c r="FG207" s="75"/>
      <c r="FH207" s="75"/>
      <c r="FI207" s="75"/>
      <c r="FJ207" s="75"/>
      <c r="FK207" s="75"/>
      <c r="FL207" s="81"/>
      <c r="FM207" s="74"/>
      <c r="FN207" s="75"/>
      <c r="FO207" s="75"/>
      <c r="FP207" s="75"/>
      <c r="FQ207" s="75"/>
      <c r="FR207" s="75"/>
      <c r="FS207" s="75"/>
      <c r="FT207" s="75"/>
      <c r="FU207" s="75"/>
      <c r="FV207" s="75"/>
      <c r="FW207" s="75"/>
      <c r="FX207" s="81"/>
      <c r="FY207" s="74"/>
      <c r="FZ207" s="75"/>
      <c r="GA207" s="75"/>
      <c r="GB207" s="75"/>
      <c r="GC207" s="75"/>
      <c r="GD207" s="75"/>
      <c r="GE207" s="75"/>
      <c r="GF207" s="75"/>
      <c r="GG207" s="75"/>
      <c r="GH207" s="75"/>
      <c r="GI207" s="75"/>
      <c r="GJ207" s="81"/>
      <c r="GK207" s="74"/>
      <c r="GL207" s="75"/>
      <c r="GM207" s="75"/>
      <c r="GN207" s="75"/>
      <c r="GO207" s="75"/>
      <c r="GP207" s="75"/>
      <c r="GQ207" s="75"/>
      <c r="GR207" s="75"/>
      <c r="GS207" s="75"/>
      <c r="GT207" s="75"/>
      <c r="GU207" s="75"/>
      <c r="GV207" s="81"/>
      <c r="GW207" s="74"/>
      <c r="GX207" s="75"/>
      <c r="GY207" s="75"/>
      <c r="GZ207" s="75"/>
      <c r="HA207" s="75"/>
      <c r="HB207" s="75"/>
      <c r="HC207" s="75"/>
      <c r="HD207" s="75"/>
      <c r="HE207" s="75"/>
      <c r="HF207" s="75"/>
      <c r="HG207" s="75"/>
      <c r="HH207" s="81"/>
      <c r="HI207" s="75"/>
    </row>
    <row r="208" ht="15.0" customHeight="1">
      <c r="A208" s="74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81"/>
      <c r="M208" s="74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81"/>
      <c r="Y208" s="74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81"/>
      <c r="AK208" s="74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81"/>
      <c r="AW208" s="74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81"/>
      <c r="BI208" s="74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81"/>
      <c r="BU208" s="74"/>
      <c r="BV208" s="75"/>
      <c r="BW208" s="75"/>
      <c r="BX208" s="75"/>
      <c r="BY208" s="75"/>
      <c r="BZ208" s="75"/>
      <c r="CA208" s="75"/>
      <c r="CB208" s="75"/>
      <c r="CC208" s="75"/>
      <c r="CD208" s="75"/>
      <c r="CE208" s="75"/>
      <c r="CF208" s="81"/>
      <c r="CG208" s="74"/>
      <c r="CH208" s="75"/>
      <c r="CI208" s="75"/>
      <c r="CJ208" s="75"/>
      <c r="CK208" s="75"/>
      <c r="CL208" s="75"/>
      <c r="CM208" s="75"/>
      <c r="CN208" s="75"/>
      <c r="CO208" s="75"/>
      <c r="CP208" s="75"/>
      <c r="CQ208" s="75"/>
      <c r="CR208" s="81"/>
      <c r="CS208" s="74"/>
      <c r="CT208" s="75"/>
      <c r="CU208" s="75"/>
      <c r="CV208" s="75"/>
      <c r="CW208" s="75"/>
      <c r="CX208" s="75"/>
      <c r="CY208" s="75"/>
      <c r="CZ208" s="75"/>
      <c r="DA208" s="75"/>
      <c r="DB208" s="75"/>
      <c r="DC208" s="75"/>
      <c r="DD208" s="81"/>
      <c r="DE208" s="74"/>
      <c r="DF208" s="75"/>
      <c r="DG208" s="75"/>
      <c r="DH208" s="75"/>
      <c r="DI208" s="75"/>
      <c r="DJ208" s="75"/>
      <c r="DK208" s="75"/>
      <c r="DL208" s="75"/>
      <c r="DM208" s="75"/>
      <c r="DN208" s="75"/>
      <c r="DO208" s="75"/>
      <c r="DP208" s="81"/>
      <c r="DQ208" s="74"/>
      <c r="DR208" s="75"/>
      <c r="DS208" s="75"/>
      <c r="DT208" s="75"/>
      <c r="DU208" s="75"/>
      <c r="DV208" s="75"/>
      <c r="DW208" s="75"/>
      <c r="DX208" s="75"/>
      <c r="DY208" s="75"/>
      <c r="DZ208" s="75"/>
      <c r="EA208" s="75"/>
      <c r="EB208" s="81"/>
      <c r="EC208" s="74"/>
      <c r="ED208" s="75"/>
      <c r="EE208" s="75"/>
      <c r="EF208" s="75"/>
      <c r="EG208" s="75"/>
      <c r="EH208" s="75"/>
      <c r="EI208" s="75"/>
      <c r="EJ208" s="75"/>
      <c r="EK208" s="75"/>
      <c r="EL208" s="75"/>
      <c r="EM208" s="75"/>
      <c r="EN208" s="81"/>
      <c r="EO208" s="74"/>
      <c r="EP208" s="75"/>
      <c r="EQ208" s="75"/>
      <c r="ER208" s="75"/>
      <c r="ES208" s="75"/>
      <c r="ET208" s="75"/>
      <c r="EU208" s="75"/>
      <c r="EV208" s="75"/>
      <c r="EW208" s="75"/>
      <c r="EX208" s="75"/>
      <c r="EY208" s="75"/>
      <c r="EZ208" s="81"/>
      <c r="FA208" s="74"/>
      <c r="FB208" s="75"/>
      <c r="FC208" s="75"/>
      <c r="FD208" s="75"/>
      <c r="FE208" s="75"/>
      <c r="FF208" s="75"/>
      <c r="FG208" s="75"/>
      <c r="FH208" s="75"/>
      <c r="FI208" s="75"/>
      <c r="FJ208" s="75"/>
      <c r="FK208" s="75"/>
      <c r="FL208" s="81"/>
      <c r="FM208" s="74"/>
      <c r="FN208" s="75"/>
      <c r="FO208" s="75"/>
      <c r="FP208" s="75"/>
      <c r="FQ208" s="75"/>
      <c r="FR208" s="75"/>
      <c r="FS208" s="75"/>
      <c r="FT208" s="75"/>
      <c r="FU208" s="75"/>
      <c r="FV208" s="75"/>
      <c r="FW208" s="75"/>
      <c r="FX208" s="81"/>
      <c r="FY208" s="74"/>
      <c r="FZ208" s="75"/>
      <c r="GA208" s="75"/>
      <c r="GB208" s="75"/>
      <c r="GC208" s="75"/>
      <c r="GD208" s="75"/>
      <c r="GE208" s="75"/>
      <c r="GF208" s="75"/>
      <c r="GG208" s="75"/>
      <c r="GH208" s="75"/>
      <c r="GI208" s="75"/>
      <c r="GJ208" s="81"/>
      <c r="GK208" s="74"/>
      <c r="GL208" s="75"/>
      <c r="GM208" s="75"/>
      <c r="GN208" s="75"/>
      <c r="GO208" s="75"/>
      <c r="GP208" s="75"/>
      <c r="GQ208" s="75"/>
      <c r="GR208" s="75"/>
      <c r="GS208" s="75"/>
      <c r="GT208" s="75"/>
      <c r="GU208" s="75"/>
      <c r="GV208" s="81"/>
      <c r="GW208" s="74"/>
      <c r="GX208" s="75"/>
      <c r="GY208" s="75"/>
      <c r="GZ208" s="75"/>
      <c r="HA208" s="75"/>
      <c r="HB208" s="75"/>
      <c r="HC208" s="75"/>
      <c r="HD208" s="75"/>
      <c r="HE208" s="75"/>
      <c r="HF208" s="75"/>
      <c r="HG208" s="75"/>
      <c r="HH208" s="81"/>
      <c r="HI208" s="75"/>
    </row>
    <row r="209" ht="15.0" customHeight="1">
      <c r="A209" s="74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81"/>
      <c r="M209" s="74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81"/>
      <c r="Y209" s="74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81"/>
      <c r="AK209" s="74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81"/>
      <c r="AW209" s="74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81"/>
      <c r="BI209" s="74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81"/>
      <c r="BU209" s="74"/>
      <c r="BV209" s="75"/>
      <c r="BW209" s="75"/>
      <c r="BX209" s="75"/>
      <c r="BY209" s="75"/>
      <c r="BZ209" s="75"/>
      <c r="CA209" s="75"/>
      <c r="CB209" s="75"/>
      <c r="CC209" s="75"/>
      <c r="CD209" s="75"/>
      <c r="CE209" s="75"/>
      <c r="CF209" s="81"/>
      <c r="CG209" s="74"/>
      <c r="CH209" s="75"/>
      <c r="CI209" s="75"/>
      <c r="CJ209" s="75"/>
      <c r="CK209" s="75"/>
      <c r="CL209" s="75"/>
      <c r="CM209" s="75"/>
      <c r="CN209" s="75"/>
      <c r="CO209" s="75"/>
      <c r="CP209" s="75"/>
      <c r="CQ209" s="75"/>
      <c r="CR209" s="81"/>
      <c r="CS209" s="74"/>
      <c r="CT209" s="75"/>
      <c r="CU209" s="75"/>
      <c r="CV209" s="75"/>
      <c r="CW209" s="75"/>
      <c r="CX209" s="75"/>
      <c r="CY209" s="75"/>
      <c r="CZ209" s="75"/>
      <c r="DA209" s="75"/>
      <c r="DB209" s="75"/>
      <c r="DC209" s="75"/>
      <c r="DD209" s="81"/>
      <c r="DE209" s="74"/>
      <c r="DF209" s="75"/>
      <c r="DG209" s="75"/>
      <c r="DH209" s="75"/>
      <c r="DI209" s="75"/>
      <c r="DJ209" s="75"/>
      <c r="DK209" s="75"/>
      <c r="DL209" s="75"/>
      <c r="DM209" s="75"/>
      <c r="DN209" s="75"/>
      <c r="DO209" s="75"/>
      <c r="DP209" s="81"/>
      <c r="DQ209" s="74"/>
      <c r="DR209" s="75"/>
      <c r="DS209" s="75"/>
      <c r="DT209" s="75"/>
      <c r="DU209" s="75"/>
      <c r="DV209" s="75"/>
      <c r="DW209" s="75"/>
      <c r="DX209" s="75"/>
      <c r="DY209" s="75"/>
      <c r="DZ209" s="75"/>
      <c r="EA209" s="75"/>
      <c r="EB209" s="81"/>
      <c r="EC209" s="74"/>
      <c r="ED209" s="75"/>
      <c r="EE209" s="75"/>
      <c r="EF209" s="75"/>
      <c r="EG209" s="75"/>
      <c r="EH209" s="75"/>
      <c r="EI209" s="75"/>
      <c r="EJ209" s="75"/>
      <c r="EK209" s="75"/>
      <c r="EL209" s="75"/>
      <c r="EM209" s="75"/>
      <c r="EN209" s="81"/>
      <c r="EO209" s="74"/>
      <c r="EP209" s="75"/>
      <c r="EQ209" s="75"/>
      <c r="ER209" s="75"/>
      <c r="ES209" s="75"/>
      <c r="ET209" s="75"/>
      <c r="EU209" s="75"/>
      <c r="EV209" s="75"/>
      <c r="EW209" s="75"/>
      <c r="EX209" s="75"/>
      <c r="EY209" s="75"/>
      <c r="EZ209" s="81"/>
      <c r="FA209" s="74"/>
      <c r="FB209" s="75"/>
      <c r="FC209" s="75"/>
      <c r="FD209" s="75"/>
      <c r="FE209" s="75"/>
      <c r="FF209" s="75"/>
      <c r="FG209" s="75"/>
      <c r="FH209" s="75"/>
      <c r="FI209" s="75"/>
      <c r="FJ209" s="75"/>
      <c r="FK209" s="75"/>
      <c r="FL209" s="81"/>
      <c r="FM209" s="74"/>
      <c r="FN209" s="75"/>
      <c r="FO209" s="75"/>
      <c r="FP209" s="75"/>
      <c r="FQ209" s="75"/>
      <c r="FR209" s="75"/>
      <c r="FS209" s="75"/>
      <c r="FT209" s="75"/>
      <c r="FU209" s="75"/>
      <c r="FV209" s="75"/>
      <c r="FW209" s="75"/>
      <c r="FX209" s="81"/>
      <c r="FY209" s="74"/>
      <c r="FZ209" s="75"/>
      <c r="GA209" s="75"/>
      <c r="GB209" s="75"/>
      <c r="GC209" s="75"/>
      <c r="GD209" s="75"/>
      <c r="GE209" s="75"/>
      <c r="GF209" s="75"/>
      <c r="GG209" s="75"/>
      <c r="GH209" s="75"/>
      <c r="GI209" s="75"/>
      <c r="GJ209" s="81"/>
      <c r="GK209" s="74"/>
      <c r="GL209" s="75"/>
      <c r="GM209" s="75"/>
      <c r="GN209" s="75"/>
      <c r="GO209" s="75"/>
      <c r="GP209" s="75"/>
      <c r="GQ209" s="75"/>
      <c r="GR209" s="75"/>
      <c r="GS209" s="75"/>
      <c r="GT209" s="75"/>
      <c r="GU209" s="75"/>
      <c r="GV209" s="81"/>
      <c r="GW209" s="74"/>
      <c r="GX209" s="75"/>
      <c r="GY209" s="75"/>
      <c r="GZ209" s="75"/>
      <c r="HA209" s="75"/>
      <c r="HB209" s="75"/>
      <c r="HC209" s="75"/>
      <c r="HD209" s="75"/>
      <c r="HE209" s="75"/>
      <c r="HF209" s="75"/>
      <c r="HG209" s="75"/>
      <c r="HH209" s="81"/>
      <c r="HI209" s="75"/>
    </row>
    <row r="210" ht="15.0" customHeight="1">
      <c r="A210" s="74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81"/>
      <c r="M210" s="74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81"/>
      <c r="Y210" s="74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81"/>
      <c r="AK210" s="74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81"/>
      <c r="AW210" s="74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81"/>
      <c r="BI210" s="74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81"/>
      <c r="BU210" s="74"/>
      <c r="BV210" s="75"/>
      <c r="BW210" s="75"/>
      <c r="BX210" s="75"/>
      <c r="BY210" s="75"/>
      <c r="BZ210" s="75"/>
      <c r="CA210" s="75"/>
      <c r="CB210" s="75"/>
      <c r="CC210" s="75"/>
      <c r="CD210" s="75"/>
      <c r="CE210" s="75"/>
      <c r="CF210" s="81"/>
      <c r="CG210" s="74"/>
      <c r="CH210" s="75"/>
      <c r="CI210" s="75"/>
      <c r="CJ210" s="75"/>
      <c r="CK210" s="75"/>
      <c r="CL210" s="75"/>
      <c r="CM210" s="75"/>
      <c r="CN210" s="75"/>
      <c r="CO210" s="75"/>
      <c r="CP210" s="75"/>
      <c r="CQ210" s="75"/>
      <c r="CR210" s="81"/>
      <c r="CS210" s="74"/>
      <c r="CT210" s="75"/>
      <c r="CU210" s="75"/>
      <c r="CV210" s="75"/>
      <c r="CW210" s="75"/>
      <c r="CX210" s="75"/>
      <c r="CY210" s="75"/>
      <c r="CZ210" s="75"/>
      <c r="DA210" s="75"/>
      <c r="DB210" s="75"/>
      <c r="DC210" s="75"/>
      <c r="DD210" s="81"/>
      <c r="DE210" s="74"/>
      <c r="DF210" s="75"/>
      <c r="DG210" s="75"/>
      <c r="DH210" s="75"/>
      <c r="DI210" s="75"/>
      <c r="DJ210" s="75"/>
      <c r="DK210" s="75"/>
      <c r="DL210" s="75"/>
      <c r="DM210" s="75"/>
      <c r="DN210" s="75"/>
      <c r="DO210" s="75"/>
      <c r="DP210" s="81"/>
      <c r="DQ210" s="74"/>
      <c r="DR210" s="75"/>
      <c r="DS210" s="75"/>
      <c r="DT210" s="75"/>
      <c r="DU210" s="75"/>
      <c r="DV210" s="75"/>
      <c r="DW210" s="75"/>
      <c r="DX210" s="75"/>
      <c r="DY210" s="75"/>
      <c r="DZ210" s="75"/>
      <c r="EA210" s="75"/>
      <c r="EB210" s="81"/>
      <c r="EC210" s="74"/>
      <c r="ED210" s="75"/>
      <c r="EE210" s="75"/>
      <c r="EF210" s="75"/>
      <c r="EG210" s="75"/>
      <c r="EH210" s="75"/>
      <c r="EI210" s="75"/>
      <c r="EJ210" s="75"/>
      <c r="EK210" s="75"/>
      <c r="EL210" s="75"/>
      <c r="EM210" s="75"/>
      <c r="EN210" s="81"/>
      <c r="EO210" s="74"/>
      <c r="EP210" s="75"/>
      <c r="EQ210" s="75"/>
      <c r="ER210" s="75"/>
      <c r="ES210" s="75"/>
      <c r="ET210" s="75"/>
      <c r="EU210" s="75"/>
      <c r="EV210" s="75"/>
      <c r="EW210" s="75"/>
      <c r="EX210" s="75"/>
      <c r="EY210" s="75"/>
      <c r="EZ210" s="81"/>
      <c r="FA210" s="74"/>
      <c r="FB210" s="75"/>
      <c r="FC210" s="75"/>
      <c r="FD210" s="75"/>
      <c r="FE210" s="75"/>
      <c r="FF210" s="75"/>
      <c r="FG210" s="75"/>
      <c r="FH210" s="75"/>
      <c r="FI210" s="75"/>
      <c r="FJ210" s="75"/>
      <c r="FK210" s="75"/>
      <c r="FL210" s="81"/>
      <c r="FM210" s="74"/>
      <c r="FN210" s="75"/>
      <c r="FO210" s="75"/>
      <c r="FP210" s="75"/>
      <c r="FQ210" s="75"/>
      <c r="FR210" s="75"/>
      <c r="FS210" s="75"/>
      <c r="FT210" s="75"/>
      <c r="FU210" s="75"/>
      <c r="FV210" s="75"/>
      <c r="FW210" s="75"/>
      <c r="FX210" s="81"/>
      <c r="FY210" s="74"/>
      <c r="FZ210" s="75"/>
      <c r="GA210" s="75"/>
      <c r="GB210" s="75"/>
      <c r="GC210" s="75"/>
      <c r="GD210" s="75"/>
      <c r="GE210" s="75"/>
      <c r="GF210" s="75"/>
      <c r="GG210" s="75"/>
      <c r="GH210" s="75"/>
      <c r="GI210" s="75"/>
      <c r="GJ210" s="81"/>
      <c r="GK210" s="74"/>
      <c r="GL210" s="75"/>
      <c r="GM210" s="75"/>
      <c r="GN210" s="75"/>
      <c r="GO210" s="75"/>
      <c r="GP210" s="75"/>
      <c r="GQ210" s="75"/>
      <c r="GR210" s="75"/>
      <c r="GS210" s="75"/>
      <c r="GT210" s="75"/>
      <c r="GU210" s="75"/>
      <c r="GV210" s="81"/>
      <c r="GW210" s="74"/>
      <c r="GX210" s="75"/>
      <c r="GY210" s="75"/>
      <c r="GZ210" s="75"/>
      <c r="HA210" s="75"/>
      <c r="HB210" s="75"/>
      <c r="HC210" s="75"/>
      <c r="HD210" s="75"/>
      <c r="HE210" s="75"/>
      <c r="HF210" s="75"/>
      <c r="HG210" s="75"/>
      <c r="HH210" s="81"/>
      <c r="HI210" s="75"/>
    </row>
    <row r="211" ht="15.0" customHeight="1">
      <c r="A211" s="74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81"/>
      <c r="M211" s="74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81"/>
      <c r="Y211" s="74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81"/>
      <c r="AK211" s="74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81"/>
      <c r="AW211" s="74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81"/>
      <c r="BI211" s="74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81"/>
      <c r="BU211" s="74"/>
      <c r="BV211" s="75"/>
      <c r="BW211" s="75"/>
      <c r="BX211" s="75"/>
      <c r="BY211" s="75"/>
      <c r="BZ211" s="75"/>
      <c r="CA211" s="75"/>
      <c r="CB211" s="75"/>
      <c r="CC211" s="75"/>
      <c r="CD211" s="75"/>
      <c r="CE211" s="75"/>
      <c r="CF211" s="81"/>
      <c r="CG211" s="74"/>
      <c r="CH211" s="75"/>
      <c r="CI211" s="75"/>
      <c r="CJ211" s="75"/>
      <c r="CK211" s="75"/>
      <c r="CL211" s="75"/>
      <c r="CM211" s="75"/>
      <c r="CN211" s="75"/>
      <c r="CO211" s="75"/>
      <c r="CP211" s="75"/>
      <c r="CQ211" s="75"/>
      <c r="CR211" s="81"/>
      <c r="CS211" s="74"/>
      <c r="CT211" s="75"/>
      <c r="CU211" s="75"/>
      <c r="CV211" s="75"/>
      <c r="CW211" s="75"/>
      <c r="CX211" s="75"/>
      <c r="CY211" s="75"/>
      <c r="CZ211" s="75"/>
      <c r="DA211" s="75"/>
      <c r="DB211" s="75"/>
      <c r="DC211" s="75"/>
      <c r="DD211" s="81"/>
      <c r="DE211" s="74"/>
      <c r="DF211" s="75"/>
      <c r="DG211" s="75"/>
      <c r="DH211" s="75"/>
      <c r="DI211" s="75"/>
      <c r="DJ211" s="75"/>
      <c r="DK211" s="75"/>
      <c r="DL211" s="75"/>
      <c r="DM211" s="75"/>
      <c r="DN211" s="75"/>
      <c r="DO211" s="75"/>
      <c r="DP211" s="81"/>
      <c r="DQ211" s="74"/>
      <c r="DR211" s="75"/>
      <c r="DS211" s="75"/>
      <c r="DT211" s="75"/>
      <c r="DU211" s="75"/>
      <c r="DV211" s="75"/>
      <c r="DW211" s="75"/>
      <c r="DX211" s="75"/>
      <c r="DY211" s="75"/>
      <c r="DZ211" s="75"/>
      <c r="EA211" s="75"/>
      <c r="EB211" s="81"/>
      <c r="EC211" s="74"/>
      <c r="ED211" s="75"/>
      <c r="EE211" s="75"/>
      <c r="EF211" s="75"/>
      <c r="EG211" s="75"/>
      <c r="EH211" s="75"/>
      <c r="EI211" s="75"/>
      <c r="EJ211" s="75"/>
      <c r="EK211" s="75"/>
      <c r="EL211" s="75"/>
      <c r="EM211" s="75"/>
      <c r="EN211" s="81"/>
      <c r="EO211" s="74"/>
      <c r="EP211" s="75"/>
      <c r="EQ211" s="75"/>
      <c r="ER211" s="75"/>
      <c r="ES211" s="75"/>
      <c r="ET211" s="75"/>
      <c r="EU211" s="75"/>
      <c r="EV211" s="75"/>
      <c r="EW211" s="75"/>
      <c r="EX211" s="75"/>
      <c r="EY211" s="75"/>
      <c r="EZ211" s="81"/>
      <c r="FA211" s="74"/>
      <c r="FB211" s="75"/>
      <c r="FC211" s="75"/>
      <c r="FD211" s="75"/>
      <c r="FE211" s="75"/>
      <c r="FF211" s="75"/>
      <c r="FG211" s="75"/>
      <c r="FH211" s="75"/>
      <c r="FI211" s="75"/>
      <c r="FJ211" s="75"/>
      <c r="FK211" s="75"/>
      <c r="FL211" s="81"/>
      <c r="FM211" s="74"/>
      <c r="FN211" s="75"/>
      <c r="FO211" s="75"/>
      <c r="FP211" s="75"/>
      <c r="FQ211" s="75"/>
      <c r="FR211" s="75"/>
      <c r="FS211" s="75"/>
      <c r="FT211" s="75"/>
      <c r="FU211" s="75"/>
      <c r="FV211" s="75"/>
      <c r="FW211" s="75"/>
      <c r="FX211" s="81"/>
      <c r="FY211" s="74"/>
      <c r="FZ211" s="75"/>
      <c r="GA211" s="75"/>
      <c r="GB211" s="75"/>
      <c r="GC211" s="75"/>
      <c r="GD211" s="75"/>
      <c r="GE211" s="75"/>
      <c r="GF211" s="75"/>
      <c r="GG211" s="75"/>
      <c r="GH211" s="75"/>
      <c r="GI211" s="75"/>
      <c r="GJ211" s="81"/>
      <c r="GK211" s="74"/>
      <c r="GL211" s="75"/>
      <c r="GM211" s="75"/>
      <c r="GN211" s="75"/>
      <c r="GO211" s="75"/>
      <c r="GP211" s="75"/>
      <c r="GQ211" s="75"/>
      <c r="GR211" s="75"/>
      <c r="GS211" s="75"/>
      <c r="GT211" s="75"/>
      <c r="GU211" s="75"/>
      <c r="GV211" s="81"/>
      <c r="GW211" s="74"/>
      <c r="GX211" s="75"/>
      <c r="GY211" s="75"/>
      <c r="GZ211" s="75"/>
      <c r="HA211" s="75"/>
      <c r="HB211" s="75"/>
      <c r="HC211" s="75"/>
      <c r="HD211" s="75"/>
      <c r="HE211" s="75"/>
      <c r="HF211" s="75"/>
      <c r="HG211" s="75"/>
      <c r="HH211" s="81"/>
      <c r="HI211" s="75"/>
    </row>
    <row r="212" ht="15.0" customHeight="1">
      <c r="A212" s="74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81"/>
      <c r="M212" s="74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81"/>
      <c r="Y212" s="74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81"/>
      <c r="AK212" s="74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81"/>
      <c r="AW212" s="74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81"/>
      <c r="BI212" s="74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81"/>
      <c r="BU212" s="74"/>
      <c r="BV212" s="75"/>
      <c r="BW212" s="75"/>
      <c r="BX212" s="75"/>
      <c r="BY212" s="75"/>
      <c r="BZ212" s="75"/>
      <c r="CA212" s="75"/>
      <c r="CB212" s="75"/>
      <c r="CC212" s="75"/>
      <c r="CD212" s="75"/>
      <c r="CE212" s="75"/>
      <c r="CF212" s="81"/>
      <c r="CG212" s="74"/>
      <c r="CH212" s="75"/>
      <c r="CI212" s="75"/>
      <c r="CJ212" s="75"/>
      <c r="CK212" s="75"/>
      <c r="CL212" s="75"/>
      <c r="CM212" s="75"/>
      <c r="CN212" s="75"/>
      <c r="CO212" s="75"/>
      <c r="CP212" s="75"/>
      <c r="CQ212" s="75"/>
      <c r="CR212" s="81"/>
      <c r="CS212" s="74"/>
      <c r="CT212" s="75"/>
      <c r="CU212" s="75"/>
      <c r="CV212" s="75"/>
      <c r="CW212" s="75"/>
      <c r="CX212" s="75"/>
      <c r="CY212" s="75"/>
      <c r="CZ212" s="75"/>
      <c r="DA212" s="75"/>
      <c r="DB212" s="75"/>
      <c r="DC212" s="75"/>
      <c r="DD212" s="81"/>
      <c r="DE212" s="74"/>
      <c r="DF212" s="75"/>
      <c r="DG212" s="75"/>
      <c r="DH212" s="75"/>
      <c r="DI212" s="75"/>
      <c r="DJ212" s="75"/>
      <c r="DK212" s="75"/>
      <c r="DL212" s="75"/>
      <c r="DM212" s="75"/>
      <c r="DN212" s="75"/>
      <c r="DO212" s="75"/>
      <c r="DP212" s="81"/>
      <c r="DQ212" s="74"/>
      <c r="DR212" s="75"/>
      <c r="DS212" s="75"/>
      <c r="DT212" s="75"/>
      <c r="DU212" s="75"/>
      <c r="DV212" s="75"/>
      <c r="DW212" s="75"/>
      <c r="DX212" s="75"/>
      <c r="DY212" s="75"/>
      <c r="DZ212" s="75"/>
      <c r="EA212" s="75"/>
      <c r="EB212" s="81"/>
      <c r="EC212" s="74"/>
      <c r="ED212" s="75"/>
      <c r="EE212" s="75"/>
      <c r="EF212" s="75"/>
      <c r="EG212" s="75"/>
      <c r="EH212" s="75"/>
      <c r="EI212" s="75"/>
      <c r="EJ212" s="75"/>
      <c r="EK212" s="75"/>
      <c r="EL212" s="75"/>
      <c r="EM212" s="75"/>
      <c r="EN212" s="81"/>
      <c r="EO212" s="74"/>
      <c r="EP212" s="75"/>
      <c r="EQ212" s="75"/>
      <c r="ER212" s="75"/>
      <c r="ES212" s="75"/>
      <c r="ET212" s="75"/>
      <c r="EU212" s="75"/>
      <c r="EV212" s="75"/>
      <c r="EW212" s="75"/>
      <c r="EX212" s="75"/>
      <c r="EY212" s="75"/>
      <c r="EZ212" s="81"/>
      <c r="FA212" s="74"/>
      <c r="FB212" s="75"/>
      <c r="FC212" s="75"/>
      <c r="FD212" s="75"/>
      <c r="FE212" s="75"/>
      <c r="FF212" s="75"/>
      <c r="FG212" s="75"/>
      <c r="FH212" s="75"/>
      <c r="FI212" s="75"/>
      <c r="FJ212" s="75"/>
      <c r="FK212" s="75"/>
      <c r="FL212" s="81"/>
      <c r="FM212" s="74"/>
      <c r="FN212" s="75"/>
      <c r="FO212" s="75"/>
      <c r="FP212" s="75"/>
      <c r="FQ212" s="75"/>
      <c r="FR212" s="75"/>
      <c r="FS212" s="75"/>
      <c r="FT212" s="75"/>
      <c r="FU212" s="75"/>
      <c r="FV212" s="75"/>
      <c r="FW212" s="75"/>
      <c r="FX212" s="81"/>
      <c r="FY212" s="74"/>
      <c r="FZ212" s="75"/>
      <c r="GA212" s="75"/>
      <c r="GB212" s="75"/>
      <c r="GC212" s="75"/>
      <c r="GD212" s="75"/>
      <c r="GE212" s="75"/>
      <c r="GF212" s="75"/>
      <c r="GG212" s="75"/>
      <c r="GH212" s="75"/>
      <c r="GI212" s="75"/>
      <c r="GJ212" s="81"/>
      <c r="GK212" s="74"/>
      <c r="GL212" s="75"/>
      <c r="GM212" s="75"/>
      <c r="GN212" s="75"/>
      <c r="GO212" s="75"/>
      <c r="GP212" s="75"/>
      <c r="GQ212" s="75"/>
      <c r="GR212" s="75"/>
      <c r="GS212" s="75"/>
      <c r="GT212" s="75"/>
      <c r="GU212" s="75"/>
      <c r="GV212" s="81"/>
      <c r="GW212" s="74"/>
      <c r="GX212" s="75"/>
      <c r="GY212" s="75"/>
      <c r="GZ212" s="75"/>
      <c r="HA212" s="75"/>
      <c r="HB212" s="75"/>
      <c r="HC212" s="75"/>
      <c r="HD212" s="75"/>
      <c r="HE212" s="75"/>
      <c r="HF212" s="75"/>
      <c r="HG212" s="75"/>
      <c r="HH212" s="81"/>
      <c r="HI212" s="75"/>
    </row>
    <row r="213" ht="15.0" customHeight="1">
      <c r="A213" s="74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81"/>
      <c r="M213" s="74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81"/>
      <c r="Y213" s="74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81"/>
      <c r="AK213" s="74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81"/>
      <c r="AW213" s="74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81"/>
      <c r="BI213" s="74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81"/>
      <c r="BU213" s="74"/>
      <c r="BV213" s="75"/>
      <c r="BW213" s="75"/>
      <c r="BX213" s="75"/>
      <c r="BY213" s="75"/>
      <c r="BZ213" s="75"/>
      <c r="CA213" s="75"/>
      <c r="CB213" s="75"/>
      <c r="CC213" s="75"/>
      <c r="CD213" s="75"/>
      <c r="CE213" s="75"/>
      <c r="CF213" s="81"/>
      <c r="CG213" s="74"/>
      <c r="CH213" s="75"/>
      <c r="CI213" s="75"/>
      <c r="CJ213" s="75"/>
      <c r="CK213" s="75"/>
      <c r="CL213" s="75"/>
      <c r="CM213" s="75"/>
      <c r="CN213" s="75"/>
      <c r="CO213" s="75"/>
      <c r="CP213" s="75"/>
      <c r="CQ213" s="75"/>
      <c r="CR213" s="81"/>
      <c r="CS213" s="74"/>
      <c r="CT213" s="75"/>
      <c r="CU213" s="75"/>
      <c r="CV213" s="75"/>
      <c r="CW213" s="75"/>
      <c r="CX213" s="75"/>
      <c r="CY213" s="75"/>
      <c r="CZ213" s="75"/>
      <c r="DA213" s="75"/>
      <c r="DB213" s="75"/>
      <c r="DC213" s="75"/>
      <c r="DD213" s="81"/>
      <c r="DE213" s="74"/>
      <c r="DF213" s="75"/>
      <c r="DG213" s="75"/>
      <c r="DH213" s="75"/>
      <c r="DI213" s="75"/>
      <c r="DJ213" s="75"/>
      <c r="DK213" s="75"/>
      <c r="DL213" s="75"/>
      <c r="DM213" s="75"/>
      <c r="DN213" s="75"/>
      <c r="DO213" s="75"/>
      <c r="DP213" s="81"/>
      <c r="DQ213" s="74"/>
      <c r="DR213" s="75"/>
      <c r="DS213" s="75"/>
      <c r="DT213" s="75"/>
      <c r="DU213" s="75"/>
      <c r="DV213" s="75"/>
      <c r="DW213" s="75"/>
      <c r="DX213" s="75"/>
      <c r="DY213" s="75"/>
      <c r="DZ213" s="75"/>
      <c r="EA213" s="75"/>
      <c r="EB213" s="81"/>
      <c r="EC213" s="74"/>
      <c r="ED213" s="75"/>
      <c r="EE213" s="75"/>
      <c r="EF213" s="75"/>
      <c r="EG213" s="75"/>
      <c r="EH213" s="75"/>
      <c r="EI213" s="75"/>
      <c r="EJ213" s="75"/>
      <c r="EK213" s="75"/>
      <c r="EL213" s="75"/>
      <c r="EM213" s="75"/>
      <c r="EN213" s="81"/>
      <c r="EO213" s="74"/>
      <c r="EP213" s="75"/>
      <c r="EQ213" s="75"/>
      <c r="ER213" s="75"/>
      <c r="ES213" s="75"/>
      <c r="ET213" s="75"/>
      <c r="EU213" s="75"/>
      <c r="EV213" s="75"/>
      <c r="EW213" s="75"/>
      <c r="EX213" s="75"/>
      <c r="EY213" s="75"/>
      <c r="EZ213" s="81"/>
      <c r="FA213" s="74"/>
      <c r="FB213" s="75"/>
      <c r="FC213" s="75"/>
      <c r="FD213" s="75"/>
      <c r="FE213" s="75"/>
      <c r="FF213" s="75"/>
      <c r="FG213" s="75"/>
      <c r="FH213" s="75"/>
      <c r="FI213" s="75"/>
      <c r="FJ213" s="75"/>
      <c r="FK213" s="75"/>
      <c r="FL213" s="81"/>
      <c r="FM213" s="74"/>
      <c r="FN213" s="75"/>
      <c r="FO213" s="75"/>
      <c r="FP213" s="75"/>
      <c r="FQ213" s="75"/>
      <c r="FR213" s="75"/>
      <c r="FS213" s="75"/>
      <c r="FT213" s="75"/>
      <c r="FU213" s="75"/>
      <c r="FV213" s="75"/>
      <c r="FW213" s="75"/>
      <c r="FX213" s="81"/>
      <c r="FY213" s="74"/>
      <c r="FZ213" s="75"/>
      <c r="GA213" s="75"/>
      <c r="GB213" s="75"/>
      <c r="GC213" s="75"/>
      <c r="GD213" s="75"/>
      <c r="GE213" s="75"/>
      <c r="GF213" s="75"/>
      <c r="GG213" s="75"/>
      <c r="GH213" s="75"/>
      <c r="GI213" s="75"/>
      <c r="GJ213" s="81"/>
      <c r="GK213" s="74"/>
      <c r="GL213" s="75"/>
      <c r="GM213" s="75"/>
      <c r="GN213" s="75"/>
      <c r="GO213" s="75"/>
      <c r="GP213" s="75"/>
      <c r="GQ213" s="75"/>
      <c r="GR213" s="75"/>
      <c r="GS213" s="75"/>
      <c r="GT213" s="75"/>
      <c r="GU213" s="75"/>
      <c r="GV213" s="81"/>
      <c r="GW213" s="74"/>
      <c r="GX213" s="75"/>
      <c r="GY213" s="75"/>
      <c r="GZ213" s="75"/>
      <c r="HA213" s="75"/>
      <c r="HB213" s="75"/>
      <c r="HC213" s="75"/>
      <c r="HD213" s="75"/>
      <c r="HE213" s="75"/>
      <c r="HF213" s="75"/>
      <c r="HG213" s="75"/>
      <c r="HH213" s="81"/>
      <c r="HI213" s="75"/>
    </row>
    <row r="214" ht="15.0" customHeight="1">
      <c r="A214" s="74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81"/>
      <c r="M214" s="74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81"/>
      <c r="Y214" s="74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81"/>
      <c r="AK214" s="74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81"/>
      <c r="AW214" s="74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81"/>
      <c r="BI214" s="74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81"/>
      <c r="BU214" s="74"/>
      <c r="BV214" s="75"/>
      <c r="BW214" s="75"/>
      <c r="BX214" s="75"/>
      <c r="BY214" s="75"/>
      <c r="BZ214" s="75"/>
      <c r="CA214" s="75"/>
      <c r="CB214" s="75"/>
      <c r="CC214" s="75"/>
      <c r="CD214" s="75"/>
      <c r="CE214" s="75"/>
      <c r="CF214" s="81"/>
      <c r="CG214" s="74"/>
      <c r="CH214" s="75"/>
      <c r="CI214" s="75"/>
      <c r="CJ214" s="75"/>
      <c r="CK214" s="75"/>
      <c r="CL214" s="75"/>
      <c r="CM214" s="75"/>
      <c r="CN214" s="75"/>
      <c r="CO214" s="75"/>
      <c r="CP214" s="75"/>
      <c r="CQ214" s="75"/>
      <c r="CR214" s="81"/>
      <c r="CS214" s="74"/>
      <c r="CT214" s="75"/>
      <c r="CU214" s="75"/>
      <c r="CV214" s="75"/>
      <c r="CW214" s="75"/>
      <c r="CX214" s="75"/>
      <c r="CY214" s="75"/>
      <c r="CZ214" s="75"/>
      <c r="DA214" s="75"/>
      <c r="DB214" s="75"/>
      <c r="DC214" s="75"/>
      <c r="DD214" s="81"/>
      <c r="DE214" s="74"/>
      <c r="DF214" s="75"/>
      <c r="DG214" s="75"/>
      <c r="DH214" s="75"/>
      <c r="DI214" s="75"/>
      <c r="DJ214" s="75"/>
      <c r="DK214" s="75"/>
      <c r="DL214" s="75"/>
      <c r="DM214" s="75"/>
      <c r="DN214" s="75"/>
      <c r="DO214" s="75"/>
      <c r="DP214" s="81"/>
      <c r="DQ214" s="74"/>
      <c r="DR214" s="75"/>
      <c r="DS214" s="75"/>
      <c r="DT214" s="75"/>
      <c r="DU214" s="75"/>
      <c r="DV214" s="75"/>
      <c r="DW214" s="75"/>
      <c r="DX214" s="75"/>
      <c r="DY214" s="75"/>
      <c r="DZ214" s="75"/>
      <c r="EA214" s="75"/>
      <c r="EB214" s="81"/>
      <c r="EC214" s="74"/>
      <c r="ED214" s="75"/>
      <c r="EE214" s="75"/>
      <c r="EF214" s="75"/>
      <c r="EG214" s="75"/>
      <c r="EH214" s="75"/>
      <c r="EI214" s="75"/>
      <c r="EJ214" s="75"/>
      <c r="EK214" s="75"/>
      <c r="EL214" s="75"/>
      <c r="EM214" s="75"/>
      <c r="EN214" s="81"/>
      <c r="EO214" s="74"/>
      <c r="EP214" s="75"/>
      <c r="EQ214" s="75"/>
      <c r="ER214" s="75"/>
      <c r="ES214" s="75"/>
      <c r="ET214" s="75"/>
      <c r="EU214" s="75"/>
      <c r="EV214" s="75"/>
      <c r="EW214" s="75"/>
      <c r="EX214" s="75"/>
      <c r="EY214" s="75"/>
      <c r="EZ214" s="81"/>
      <c r="FA214" s="74"/>
      <c r="FB214" s="75"/>
      <c r="FC214" s="75"/>
      <c r="FD214" s="75"/>
      <c r="FE214" s="75"/>
      <c r="FF214" s="75"/>
      <c r="FG214" s="75"/>
      <c r="FH214" s="75"/>
      <c r="FI214" s="75"/>
      <c r="FJ214" s="75"/>
      <c r="FK214" s="75"/>
      <c r="FL214" s="81"/>
      <c r="FM214" s="74"/>
      <c r="FN214" s="75"/>
      <c r="FO214" s="75"/>
      <c r="FP214" s="75"/>
      <c r="FQ214" s="75"/>
      <c r="FR214" s="75"/>
      <c r="FS214" s="75"/>
      <c r="FT214" s="75"/>
      <c r="FU214" s="75"/>
      <c r="FV214" s="75"/>
      <c r="FW214" s="75"/>
      <c r="FX214" s="81"/>
      <c r="FY214" s="74"/>
      <c r="FZ214" s="75"/>
      <c r="GA214" s="75"/>
      <c r="GB214" s="75"/>
      <c r="GC214" s="75"/>
      <c r="GD214" s="75"/>
      <c r="GE214" s="75"/>
      <c r="GF214" s="75"/>
      <c r="GG214" s="75"/>
      <c r="GH214" s="75"/>
      <c r="GI214" s="75"/>
      <c r="GJ214" s="81"/>
      <c r="GK214" s="74"/>
      <c r="GL214" s="75"/>
      <c r="GM214" s="75"/>
      <c r="GN214" s="75"/>
      <c r="GO214" s="75"/>
      <c r="GP214" s="75"/>
      <c r="GQ214" s="75"/>
      <c r="GR214" s="75"/>
      <c r="GS214" s="75"/>
      <c r="GT214" s="75"/>
      <c r="GU214" s="75"/>
      <c r="GV214" s="81"/>
      <c r="GW214" s="74"/>
      <c r="GX214" s="75"/>
      <c r="GY214" s="75"/>
      <c r="GZ214" s="75"/>
      <c r="HA214" s="75"/>
      <c r="HB214" s="75"/>
      <c r="HC214" s="75"/>
      <c r="HD214" s="75"/>
      <c r="HE214" s="75"/>
      <c r="HF214" s="75"/>
      <c r="HG214" s="75"/>
      <c r="HH214" s="81"/>
      <c r="HI214" s="75"/>
    </row>
    <row r="215" ht="15.0" customHeight="1">
      <c r="A215" s="74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81"/>
      <c r="M215" s="74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81"/>
      <c r="Y215" s="74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81"/>
      <c r="AK215" s="74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81"/>
      <c r="AW215" s="74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81"/>
      <c r="BI215" s="74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81"/>
      <c r="BU215" s="74"/>
      <c r="BV215" s="75"/>
      <c r="BW215" s="75"/>
      <c r="BX215" s="75"/>
      <c r="BY215" s="75"/>
      <c r="BZ215" s="75"/>
      <c r="CA215" s="75"/>
      <c r="CB215" s="75"/>
      <c r="CC215" s="75"/>
      <c r="CD215" s="75"/>
      <c r="CE215" s="75"/>
      <c r="CF215" s="81"/>
      <c r="CG215" s="74"/>
      <c r="CH215" s="75"/>
      <c r="CI215" s="75"/>
      <c r="CJ215" s="75"/>
      <c r="CK215" s="75"/>
      <c r="CL215" s="75"/>
      <c r="CM215" s="75"/>
      <c r="CN215" s="75"/>
      <c r="CO215" s="75"/>
      <c r="CP215" s="75"/>
      <c r="CQ215" s="75"/>
      <c r="CR215" s="81"/>
      <c r="CS215" s="74"/>
      <c r="CT215" s="75"/>
      <c r="CU215" s="75"/>
      <c r="CV215" s="75"/>
      <c r="CW215" s="75"/>
      <c r="CX215" s="75"/>
      <c r="CY215" s="75"/>
      <c r="CZ215" s="75"/>
      <c r="DA215" s="75"/>
      <c r="DB215" s="75"/>
      <c r="DC215" s="75"/>
      <c r="DD215" s="81"/>
      <c r="DE215" s="74"/>
      <c r="DF215" s="75"/>
      <c r="DG215" s="75"/>
      <c r="DH215" s="75"/>
      <c r="DI215" s="75"/>
      <c r="DJ215" s="75"/>
      <c r="DK215" s="75"/>
      <c r="DL215" s="75"/>
      <c r="DM215" s="75"/>
      <c r="DN215" s="75"/>
      <c r="DO215" s="75"/>
      <c r="DP215" s="81"/>
      <c r="DQ215" s="74"/>
      <c r="DR215" s="75"/>
      <c r="DS215" s="75"/>
      <c r="DT215" s="75"/>
      <c r="DU215" s="75"/>
      <c r="DV215" s="75"/>
      <c r="DW215" s="75"/>
      <c r="DX215" s="75"/>
      <c r="DY215" s="75"/>
      <c r="DZ215" s="75"/>
      <c r="EA215" s="75"/>
      <c r="EB215" s="81"/>
      <c r="EC215" s="74"/>
      <c r="ED215" s="75"/>
      <c r="EE215" s="75"/>
      <c r="EF215" s="75"/>
      <c r="EG215" s="75"/>
      <c r="EH215" s="75"/>
      <c r="EI215" s="75"/>
      <c r="EJ215" s="75"/>
      <c r="EK215" s="75"/>
      <c r="EL215" s="75"/>
      <c r="EM215" s="75"/>
      <c r="EN215" s="81"/>
      <c r="EO215" s="74"/>
      <c r="EP215" s="75"/>
      <c r="EQ215" s="75"/>
      <c r="ER215" s="75"/>
      <c r="ES215" s="75"/>
      <c r="ET215" s="75"/>
      <c r="EU215" s="75"/>
      <c r="EV215" s="75"/>
      <c r="EW215" s="75"/>
      <c r="EX215" s="75"/>
      <c r="EY215" s="75"/>
      <c r="EZ215" s="81"/>
      <c r="FA215" s="74"/>
      <c r="FB215" s="75"/>
      <c r="FC215" s="75"/>
      <c r="FD215" s="75"/>
      <c r="FE215" s="75"/>
      <c r="FF215" s="75"/>
      <c r="FG215" s="75"/>
      <c r="FH215" s="75"/>
      <c r="FI215" s="75"/>
      <c r="FJ215" s="75"/>
      <c r="FK215" s="75"/>
      <c r="FL215" s="81"/>
      <c r="FM215" s="74"/>
      <c r="FN215" s="75"/>
      <c r="FO215" s="75"/>
      <c r="FP215" s="75"/>
      <c r="FQ215" s="75"/>
      <c r="FR215" s="75"/>
      <c r="FS215" s="75"/>
      <c r="FT215" s="75"/>
      <c r="FU215" s="75"/>
      <c r="FV215" s="75"/>
      <c r="FW215" s="75"/>
      <c r="FX215" s="81"/>
      <c r="FY215" s="74"/>
      <c r="FZ215" s="75"/>
      <c r="GA215" s="75"/>
      <c r="GB215" s="75"/>
      <c r="GC215" s="75"/>
      <c r="GD215" s="75"/>
      <c r="GE215" s="75"/>
      <c r="GF215" s="75"/>
      <c r="GG215" s="75"/>
      <c r="GH215" s="75"/>
      <c r="GI215" s="75"/>
      <c r="GJ215" s="81"/>
      <c r="GK215" s="74"/>
      <c r="GL215" s="75"/>
      <c r="GM215" s="75"/>
      <c r="GN215" s="75"/>
      <c r="GO215" s="75"/>
      <c r="GP215" s="75"/>
      <c r="GQ215" s="75"/>
      <c r="GR215" s="75"/>
      <c r="GS215" s="75"/>
      <c r="GT215" s="75"/>
      <c r="GU215" s="75"/>
      <c r="GV215" s="81"/>
      <c r="GW215" s="74"/>
      <c r="GX215" s="75"/>
      <c r="GY215" s="75"/>
      <c r="GZ215" s="75"/>
      <c r="HA215" s="75"/>
      <c r="HB215" s="75"/>
      <c r="HC215" s="75"/>
      <c r="HD215" s="75"/>
      <c r="HE215" s="75"/>
      <c r="HF215" s="75"/>
      <c r="HG215" s="75"/>
      <c r="HH215" s="81"/>
      <c r="HI215" s="75"/>
    </row>
    <row r="216" ht="15.0" customHeight="1">
      <c r="A216" s="74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81"/>
      <c r="M216" s="74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81"/>
      <c r="Y216" s="74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81"/>
      <c r="AK216" s="74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81"/>
      <c r="AW216" s="74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81"/>
      <c r="BI216" s="74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81"/>
      <c r="BU216" s="74"/>
      <c r="BV216" s="75"/>
      <c r="BW216" s="75"/>
      <c r="BX216" s="75"/>
      <c r="BY216" s="75"/>
      <c r="BZ216" s="75"/>
      <c r="CA216" s="75"/>
      <c r="CB216" s="75"/>
      <c r="CC216" s="75"/>
      <c r="CD216" s="75"/>
      <c r="CE216" s="75"/>
      <c r="CF216" s="81"/>
      <c r="CG216" s="74"/>
      <c r="CH216" s="75"/>
      <c r="CI216" s="75"/>
      <c r="CJ216" s="75"/>
      <c r="CK216" s="75"/>
      <c r="CL216" s="75"/>
      <c r="CM216" s="75"/>
      <c r="CN216" s="75"/>
      <c r="CO216" s="75"/>
      <c r="CP216" s="75"/>
      <c r="CQ216" s="75"/>
      <c r="CR216" s="81"/>
      <c r="CS216" s="74"/>
      <c r="CT216" s="75"/>
      <c r="CU216" s="75"/>
      <c r="CV216" s="75"/>
      <c r="CW216" s="75"/>
      <c r="CX216" s="75"/>
      <c r="CY216" s="75"/>
      <c r="CZ216" s="75"/>
      <c r="DA216" s="75"/>
      <c r="DB216" s="75"/>
      <c r="DC216" s="75"/>
      <c r="DD216" s="81"/>
      <c r="DE216" s="74"/>
      <c r="DF216" s="75"/>
      <c r="DG216" s="75"/>
      <c r="DH216" s="75"/>
      <c r="DI216" s="75"/>
      <c r="DJ216" s="75"/>
      <c r="DK216" s="75"/>
      <c r="DL216" s="75"/>
      <c r="DM216" s="75"/>
      <c r="DN216" s="75"/>
      <c r="DO216" s="75"/>
      <c r="DP216" s="81"/>
      <c r="DQ216" s="74"/>
      <c r="DR216" s="75"/>
      <c r="DS216" s="75"/>
      <c r="DT216" s="75"/>
      <c r="DU216" s="75"/>
      <c r="DV216" s="75"/>
      <c r="DW216" s="75"/>
      <c r="DX216" s="75"/>
      <c r="DY216" s="75"/>
      <c r="DZ216" s="75"/>
      <c r="EA216" s="75"/>
      <c r="EB216" s="81"/>
      <c r="EC216" s="74"/>
      <c r="ED216" s="75"/>
      <c r="EE216" s="75"/>
      <c r="EF216" s="75"/>
      <c r="EG216" s="75"/>
      <c r="EH216" s="75"/>
      <c r="EI216" s="75"/>
      <c r="EJ216" s="75"/>
      <c r="EK216" s="75"/>
      <c r="EL216" s="75"/>
      <c r="EM216" s="75"/>
      <c r="EN216" s="81"/>
      <c r="EO216" s="74"/>
      <c r="EP216" s="75"/>
      <c r="EQ216" s="75"/>
      <c r="ER216" s="75"/>
      <c r="ES216" s="75"/>
      <c r="ET216" s="75"/>
      <c r="EU216" s="75"/>
      <c r="EV216" s="75"/>
      <c r="EW216" s="75"/>
      <c r="EX216" s="75"/>
      <c r="EY216" s="75"/>
      <c r="EZ216" s="81"/>
      <c r="FA216" s="74"/>
      <c r="FB216" s="75"/>
      <c r="FC216" s="75"/>
      <c r="FD216" s="75"/>
      <c r="FE216" s="75"/>
      <c r="FF216" s="75"/>
      <c r="FG216" s="75"/>
      <c r="FH216" s="75"/>
      <c r="FI216" s="75"/>
      <c r="FJ216" s="75"/>
      <c r="FK216" s="75"/>
      <c r="FL216" s="81"/>
      <c r="FM216" s="74"/>
      <c r="FN216" s="75"/>
      <c r="FO216" s="75"/>
      <c r="FP216" s="75"/>
      <c r="FQ216" s="75"/>
      <c r="FR216" s="75"/>
      <c r="FS216" s="75"/>
      <c r="FT216" s="75"/>
      <c r="FU216" s="75"/>
      <c r="FV216" s="75"/>
      <c r="FW216" s="75"/>
      <c r="FX216" s="81"/>
      <c r="FY216" s="74"/>
      <c r="FZ216" s="75"/>
      <c r="GA216" s="75"/>
      <c r="GB216" s="75"/>
      <c r="GC216" s="75"/>
      <c r="GD216" s="75"/>
      <c r="GE216" s="75"/>
      <c r="GF216" s="75"/>
      <c r="GG216" s="75"/>
      <c r="GH216" s="75"/>
      <c r="GI216" s="75"/>
      <c r="GJ216" s="81"/>
      <c r="GK216" s="74"/>
      <c r="GL216" s="75"/>
      <c r="GM216" s="75"/>
      <c r="GN216" s="75"/>
      <c r="GO216" s="75"/>
      <c r="GP216" s="75"/>
      <c r="GQ216" s="75"/>
      <c r="GR216" s="75"/>
      <c r="GS216" s="75"/>
      <c r="GT216" s="75"/>
      <c r="GU216" s="75"/>
      <c r="GV216" s="81"/>
      <c r="GW216" s="74"/>
      <c r="GX216" s="75"/>
      <c r="GY216" s="75"/>
      <c r="GZ216" s="75"/>
      <c r="HA216" s="75"/>
      <c r="HB216" s="75"/>
      <c r="HC216" s="75"/>
      <c r="HD216" s="75"/>
      <c r="HE216" s="75"/>
      <c r="HF216" s="75"/>
      <c r="HG216" s="75"/>
      <c r="HH216" s="81"/>
      <c r="HI216" s="75"/>
    </row>
    <row r="217" ht="15.0" customHeight="1">
      <c r="A217" s="74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81"/>
      <c r="M217" s="74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81"/>
      <c r="Y217" s="74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81"/>
      <c r="AK217" s="74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81"/>
      <c r="AW217" s="74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81"/>
      <c r="BI217" s="74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81"/>
      <c r="BU217" s="74"/>
      <c r="BV217" s="75"/>
      <c r="BW217" s="75"/>
      <c r="BX217" s="75"/>
      <c r="BY217" s="75"/>
      <c r="BZ217" s="75"/>
      <c r="CA217" s="75"/>
      <c r="CB217" s="75"/>
      <c r="CC217" s="75"/>
      <c r="CD217" s="75"/>
      <c r="CE217" s="75"/>
      <c r="CF217" s="81"/>
      <c r="CG217" s="74"/>
      <c r="CH217" s="75"/>
      <c r="CI217" s="75"/>
      <c r="CJ217" s="75"/>
      <c r="CK217" s="75"/>
      <c r="CL217" s="75"/>
      <c r="CM217" s="75"/>
      <c r="CN217" s="75"/>
      <c r="CO217" s="75"/>
      <c r="CP217" s="75"/>
      <c r="CQ217" s="75"/>
      <c r="CR217" s="81"/>
      <c r="CS217" s="74"/>
      <c r="CT217" s="75"/>
      <c r="CU217" s="75"/>
      <c r="CV217" s="75"/>
      <c r="CW217" s="75"/>
      <c r="CX217" s="75"/>
      <c r="CY217" s="75"/>
      <c r="CZ217" s="75"/>
      <c r="DA217" s="75"/>
      <c r="DB217" s="75"/>
      <c r="DC217" s="75"/>
      <c r="DD217" s="81"/>
      <c r="DE217" s="74"/>
      <c r="DF217" s="75"/>
      <c r="DG217" s="75"/>
      <c r="DH217" s="75"/>
      <c r="DI217" s="75"/>
      <c r="DJ217" s="75"/>
      <c r="DK217" s="75"/>
      <c r="DL217" s="75"/>
      <c r="DM217" s="75"/>
      <c r="DN217" s="75"/>
      <c r="DO217" s="75"/>
      <c r="DP217" s="81"/>
      <c r="DQ217" s="74"/>
      <c r="DR217" s="75"/>
      <c r="DS217" s="75"/>
      <c r="DT217" s="75"/>
      <c r="DU217" s="75"/>
      <c r="DV217" s="75"/>
      <c r="DW217" s="75"/>
      <c r="DX217" s="75"/>
      <c r="DY217" s="75"/>
      <c r="DZ217" s="75"/>
      <c r="EA217" s="75"/>
      <c r="EB217" s="81"/>
      <c r="EC217" s="74"/>
      <c r="ED217" s="75"/>
      <c r="EE217" s="75"/>
      <c r="EF217" s="75"/>
      <c r="EG217" s="75"/>
      <c r="EH217" s="75"/>
      <c r="EI217" s="75"/>
      <c r="EJ217" s="75"/>
      <c r="EK217" s="75"/>
      <c r="EL217" s="75"/>
      <c r="EM217" s="75"/>
      <c r="EN217" s="81"/>
      <c r="EO217" s="74"/>
      <c r="EP217" s="75"/>
      <c r="EQ217" s="75"/>
      <c r="ER217" s="75"/>
      <c r="ES217" s="75"/>
      <c r="ET217" s="75"/>
      <c r="EU217" s="75"/>
      <c r="EV217" s="75"/>
      <c r="EW217" s="75"/>
      <c r="EX217" s="75"/>
      <c r="EY217" s="75"/>
      <c r="EZ217" s="81"/>
      <c r="FA217" s="74"/>
      <c r="FB217" s="75"/>
      <c r="FC217" s="75"/>
      <c r="FD217" s="75"/>
      <c r="FE217" s="75"/>
      <c r="FF217" s="75"/>
      <c r="FG217" s="75"/>
      <c r="FH217" s="75"/>
      <c r="FI217" s="75"/>
      <c r="FJ217" s="75"/>
      <c r="FK217" s="75"/>
      <c r="FL217" s="81"/>
      <c r="FM217" s="74"/>
      <c r="FN217" s="75"/>
      <c r="FO217" s="75"/>
      <c r="FP217" s="75"/>
      <c r="FQ217" s="75"/>
      <c r="FR217" s="75"/>
      <c r="FS217" s="75"/>
      <c r="FT217" s="75"/>
      <c r="FU217" s="75"/>
      <c r="FV217" s="75"/>
      <c r="FW217" s="75"/>
      <c r="FX217" s="81"/>
      <c r="FY217" s="74"/>
      <c r="FZ217" s="75"/>
      <c r="GA217" s="75"/>
      <c r="GB217" s="75"/>
      <c r="GC217" s="75"/>
      <c r="GD217" s="75"/>
      <c r="GE217" s="75"/>
      <c r="GF217" s="75"/>
      <c r="GG217" s="75"/>
      <c r="GH217" s="75"/>
      <c r="GI217" s="75"/>
      <c r="GJ217" s="81"/>
      <c r="GK217" s="74"/>
      <c r="GL217" s="75"/>
      <c r="GM217" s="75"/>
      <c r="GN217" s="75"/>
      <c r="GO217" s="75"/>
      <c r="GP217" s="75"/>
      <c r="GQ217" s="75"/>
      <c r="GR217" s="75"/>
      <c r="GS217" s="75"/>
      <c r="GT217" s="75"/>
      <c r="GU217" s="75"/>
      <c r="GV217" s="81"/>
      <c r="GW217" s="74"/>
      <c r="GX217" s="75"/>
      <c r="GY217" s="75"/>
      <c r="GZ217" s="75"/>
      <c r="HA217" s="75"/>
      <c r="HB217" s="75"/>
      <c r="HC217" s="75"/>
      <c r="HD217" s="75"/>
      <c r="HE217" s="75"/>
      <c r="HF217" s="75"/>
      <c r="HG217" s="75"/>
      <c r="HH217" s="81"/>
      <c r="HI217" s="75"/>
    </row>
    <row r="218" ht="15.0" customHeight="1">
      <c r="A218" s="74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81"/>
      <c r="M218" s="74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81"/>
      <c r="Y218" s="74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81"/>
      <c r="AK218" s="74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81"/>
      <c r="AW218" s="74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81"/>
      <c r="BI218" s="74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81"/>
      <c r="BU218" s="74"/>
      <c r="BV218" s="75"/>
      <c r="BW218" s="75"/>
      <c r="BX218" s="75"/>
      <c r="BY218" s="75"/>
      <c r="BZ218" s="75"/>
      <c r="CA218" s="75"/>
      <c r="CB218" s="75"/>
      <c r="CC218" s="75"/>
      <c r="CD218" s="75"/>
      <c r="CE218" s="75"/>
      <c r="CF218" s="81"/>
      <c r="CG218" s="74"/>
      <c r="CH218" s="75"/>
      <c r="CI218" s="75"/>
      <c r="CJ218" s="75"/>
      <c r="CK218" s="75"/>
      <c r="CL218" s="75"/>
      <c r="CM218" s="75"/>
      <c r="CN218" s="75"/>
      <c r="CO218" s="75"/>
      <c r="CP218" s="75"/>
      <c r="CQ218" s="75"/>
      <c r="CR218" s="81"/>
      <c r="CS218" s="74"/>
      <c r="CT218" s="75"/>
      <c r="CU218" s="75"/>
      <c r="CV218" s="75"/>
      <c r="CW218" s="75"/>
      <c r="CX218" s="75"/>
      <c r="CY218" s="75"/>
      <c r="CZ218" s="75"/>
      <c r="DA218" s="75"/>
      <c r="DB218" s="75"/>
      <c r="DC218" s="75"/>
      <c r="DD218" s="81"/>
      <c r="DE218" s="74"/>
      <c r="DF218" s="75"/>
      <c r="DG218" s="75"/>
      <c r="DH218" s="75"/>
      <c r="DI218" s="75"/>
      <c r="DJ218" s="75"/>
      <c r="DK218" s="75"/>
      <c r="DL218" s="75"/>
      <c r="DM218" s="75"/>
      <c r="DN218" s="75"/>
      <c r="DO218" s="75"/>
      <c r="DP218" s="81"/>
      <c r="DQ218" s="74"/>
      <c r="DR218" s="75"/>
      <c r="DS218" s="75"/>
      <c r="DT218" s="75"/>
      <c r="DU218" s="75"/>
      <c r="DV218" s="75"/>
      <c r="DW218" s="75"/>
      <c r="DX218" s="75"/>
      <c r="DY218" s="75"/>
      <c r="DZ218" s="75"/>
      <c r="EA218" s="75"/>
      <c r="EB218" s="81"/>
      <c r="EC218" s="74"/>
      <c r="ED218" s="75"/>
      <c r="EE218" s="75"/>
      <c r="EF218" s="75"/>
      <c r="EG218" s="75"/>
      <c r="EH218" s="75"/>
      <c r="EI218" s="75"/>
      <c r="EJ218" s="75"/>
      <c r="EK218" s="75"/>
      <c r="EL218" s="75"/>
      <c r="EM218" s="75"/>
      <c r="EN218" s="81"/>
      <c r="EO218" s="74"/>
      <c r="EP218" s="75"/>
      <c r="EQ218" s="75"/>
      <c r="ER218" s="75"/>
      <c r="ES218" s="75"/>
      <c r="ET218" s="75"/>
      <c r="EU218" s="75"/>
      <c r="EV218" s="75"/>
      <c r="EW218" s="75"/>
      <c r="EX218" s="75"/>
      <c r="EY218" s="75"/>
      <c r="EZ218" s="81"/>
      <c r="FA218" s="74"/>
      <c r="FB218" s="75"/>
      <c r="FC218" s="75"/>
      <c r="FD218" s="75"/>
      <c r="FE218" s="75"/>
      <c r="FF218" s="75"/>
      <c r="FG218" s="75"/>
      <c r="FH218" s="75"/>
      <c r="FI218" s="75"/>
      <c r="FJ218" s="75"/>
      <c r="FK218" s="75"/>
      <c r="FL218" s="81"/>
      <c r="FM218" s="74"/>
      <c r="FN218" s="75"/>
      <c r="FO218" s="75"/>
      <c r="FP218" s="75"/>
      <c r="FQ218" s="75"/>
      <c r="FR218" s="75"/>
      <c r="FS218" s="75"/>
      <c r="FT218" s="75"/>
      <c r="FU218" s="75"/>
      <c r="FV218" s="75"/>
      <c r="FW218" s="75"/>
      <c r="FX218" s="81"/>
      <c r="FY218" s="74"/>
      <c r="FZ218" s="75"/>
      <c r="GA218" s="75"/>
      <c r="GB218" s="75"/>
      <c r="GC218" s="75"/>
      <c r="GD218" s="75"/>
      <c r="GE218" s="75"/>
      <c r="GF218" s="75"/>
      <c r="GG218" s="75"/>
      <c r="GH218" s="75"/>
      <c r="GI218" s="75"/>
      <c r="GJ218" s="81"/>
      <c r="GK218" s="74"/>
      <c r="GL218" s="75"/>
      <c r="GM218" s="75"/>
      <c r="GN218" s="75"/>
      <c r="GO218" s="75"/>
      <c r="GP218" s="75"/>
      <c r="GQ218" s="75"/>
      <c r="GR218" s="75"/>
      <c r="GS218" s="75"/>
      <c r="GT218" s="75"/>
      <c r="GU218" s="75"/>
      <c r="GV218" s="81"/>
      <c r="GW218" s="74"/>
      <c r="GX218" s="75"/>
      <c r="GY218" s="75"/>
      <c r="GZ218" s="75"/>
      <c r="HA218" s="75"/>
      <c r="HB218" s="75"/>
      <c r="HC218" s="75"/>
      <c r="HD218" s="75"/>
      <c r="HE218" s="75"/>
      <c r="HF218" s="75"/>
      <c r="HG218" s="75"/>
      <c r="HH218" s="81"/>
      <c r="HI218" s="75"/>
    </row>
    <row r="219" ht="15.0" customHeight="1">
      <c r="A219" s="74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81"/>
      <c r="M219" s="74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81"/>
      <c r="Y219" s="74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81"/>
      <c r="AK219" s="74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81"/>
      <c r="AW219" s="74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81"/>
      <c r="BI219" s="74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81"/>
      <c r="BU219" s="74"/>
      <c r="BV219" s="75"/>
      <c r="BW219" s="75"/>
      <c r="BX219" s="75"/>
      <c r="BY219" s="75"/>
      <c r="BZ219" s="75"/>
      <c r="CA219" s="75"/>
      <c r="CB219" s="75"/>
      <c r="CC219" s="75"/>
      <c r="CD219" s="75"/>
      <c r="CE219" s="75"/>
      <c r="CF219" s="81"/>
      <c r="CG219" s="74"/>
      <c r="CH219" s="75"/>
      <c r="CI219" s="75"/>
      <c r="CJ219" s="75"/>
      <c r="CK219" s="75"/>
      <c r="CL219" s="75"/>
      <c r="CM219" s="75"/>
      <c r="CN219" s="75"/>
      <c r="CO219" s="75"/>
      <c r="CP219" s="75"/>
      <c r="CQ219" s="75"/>
      <c r="CR219" s="81"/>
      <c r="CS219" s="74"/>
      <c r="CT219" s="75"/>
      <c r="CU219" s="75"/>
      <c r="CV219" s="75"/>
      <c r="CW219" s="75"/>
      <c r="CX219" s="75"/>
      <c r="CY219" s="75"/>
      <c r="CZ219" s="75"/>
      <c r="DA219" s="75"/>
      <c r="DB219" s="75"/>
      <c r="DC219" s="75"/>
      <c r="DD219" s="81"/>
      <c r="DE219" s="74"/>
      <c r="DF219" s="75"/>
      <c r="DG219" s="75"/>
      <c r="DH219" s="75"/>
      <c r="DI219" s="75"/>
      <c r="DJ219" s="75"/>
      <c r="DK219" s="75"/>
      <c r="DL219" s="75"/>
      <c r="DM219" s="75"/>
      <c r="DN219" s="75"/>
      <c r="DO219" s="75"/>
      <c r="DP219" s="81"/>
      <c r="DQ219" s="74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81"/>
      <c r="EC219" s="74"/>
      <c r="ED219" s="75"/>
      <c r="EE219" s="75"/>
      <c r="EF219" s="75"/>
      <c r="EG219" s="75"/>
      <c r="EH219" s="75"/>
      <c r="EI219" s="75"/>
      <c r="EJ219" s="75"/>
      <c r="EK219" s="75"/>
      <c r="EL219" s="75"/>
      <c r="EM219" s="75"/>
      <c r="EN219" s="81"/>
      <c r="EO219" s="74"/>
      <c r="EP219" s="75"/>
      <c r="EQ219" s="75"/>
      <c r="ER219" s="75"/>
      <c r="ES219" s="75"/>
      <c r="ET219" s="75"/>
      <c r="EU219" s="75"/>
      <c r="EV219" s="75"/>
      <c r="EW219" s="75"/>
      <c r="EX219" s="75"/>
      <c r="EY219" s="75"/>
      <c r="EZ219" s="81"/>
      <c r="FA219" s="74"/>
      <c r="FB219" s="75"/>
      <c r="FC219" s="75"/>
      <c r="FD219" s="75"/>
      <c r="FE219" s="75"/>
      <c r="FF219" s="75"/>
      <c r="FG219" s="75"/>
      <c r="FH219" s="75"/>
      <c r="FI219" s="75"/>
      <c r="FJ219" s="75"/>
      <c r="FK219" s="75"/>
      <c r="FL219" s="81"/>
      <c r="FM219" s="74"/>
      <c r="FN219" s="75"/>
      <c r="FO219" s="75"/>
      <c r="FP219" s="75"/>
      <c r="FQ219" s="75"/>
      <c r="FR219" s="75"/>
      <c r="FS219" s="75"/>
      <c r="FT219" s="75"/>
      <c r="FU219" s="75"/>
      <c r="FV219" s="75"/>
      <c r="FW219" s="75"/>
      <c r="FX219" s="81"/>
      <c r="FY219" s="74"/>
      <c r="FZ219" s="75"/>
      <c r="GA219" s="75"/>
      <c r="GB219" s="75"/>
      <c r="GC219" s="75"/>
      <c r="GD219" s="75"/>
      <c r="GE219" s="75"/>
      <c r="GF219" s="75"/>
      <c r="GG219" s="75"/>
      <c r="GH219" s="75"/>
      <c r="GI219" s="75"/>
      <c r="GJ219" s="81"/>
      <c r="GK219" s="74"/>
      <c r="GL219" s="75"/>
      <c r="GM219" s="75"/>
      <c r="GN219" s="75"/>
      <c r="GO219" s="75"/>
      <c r="GP219" s="75"/>
      <c r="GQ219" s="75"/>
      <c r="GR219" s="75"/>
      <c r="GS219" s="75"/>
      <c r="GT219" s="75"/>
      <c r="GU219" s="75"/>
      <c r="GV219" s="81"/>
      <c r="GW219" s="74"/>
      <c r="GX219" s="75"/>
      <c r="GY219" s="75"/>
      <c r="GZ219" s="75"/>
      <c r="HA219" s="75"/>
      <c r="HB219" s="75"/>
      <c r="HC219" s="75"/>
      <c r="HD219" s="75"/>
      <c r="HE219" s="75"/>
      <c r="HF219" s="75"/>
      <c r="HG219" s="75"/>
      <c r="HH219" s="81"/>
      <c r="HI219" s="75"/>
    </row>
    <row r="220" ht="15.0" customHeight="1">
      <c r="A220" s="74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81"/>
      <c r="M220" s="74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81"/>
      <c r="Y220" s="74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81"/>
      <c r="AK220" s="74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81"/>
      <c r="AW220" s="74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81"/>
      <c r="BI220" s="74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81"/>
      <c r="BU220" s="74"/>
      <c r="BV220" s="75"/>
      <c r="BW220" s="75"/>
      <c r="BX220" s="75"/>
      <c r="BY220" s="75"/>
      <c r="BZ220" s="75"/>
      <c r="CA220" s="75"/>
      <c r="CB220" s="75"/>
      <c r="CC220" s="75"/>
      <c r="CD220" s="75"/>
      <c r="CE220" s="75"/>
      <c r="CF220" s="81"/>
      <c r="CG220" s="74"/>
      <c r="CH220" s="75"/>
      <c r="CI220" s="75"/>
      <c r="CJ220" s="75"/>
      <c r="CK220" s="75"/>
      <c r="CL220" s="75"/>
      <c r="CM220" s="75"/>
      <c r="CN220" s="75"/>
      <c r="CO220" s="75"/>
      <c r="CP220" s="75"/>
      <c r="CQ220" s="75"/>
      <c r="CR220" s="81"/>
      <c r="CS220" s="74"/>
      <c r="CT220" s="75"/>
      <c r="CU220" s="75"/>
      <c r="CV220" s="75"/>
      <c r="CW220" s="75"/>
      <c r="CX220" s="75"/>
      <c r="CY220" s="75"/>
      <c r="CZ220" s="75"/>
      <c r="DA220" s="75"/>
      <c r="DB220" s="75"/>
      <c r="DC220" s="75"/>
      <c r="DD220" s="81"/>
      <c r="DE220" s="74"/>
      <c r="DF220" s="75"/>
      <c r="DG220" s="75"/>
      <c r="DH220" s="75"/>
      <c r="DI220" s="75"/>
      <c r="DJ220" s="75"/>
      <c r="DK220" s="75"/>
      <c r="DL220" s="75"/>
      <c r="DM220" s="75"/>
      <c r="DN220" s="75"/>
      <c r="DO220" s="75"/>
      <c r="DP220" s="81"/>
      <c r="DQ220" s="74"/>
      <c r="DR220" s="75"/>
      <c r="DS220" s="75"/>
      <c r="DT220" s="75"/>
      <c r="DU220" s="75"/>
      <c r="DV220" s="75"/>
      <c r="DW220" s="75"/>
      <c r="DX220" s="75"/>
      <c r="DY220" s="75"/>
      <c r="DZ220" s="75"/>
      <c r="EA220" s="75"/>
      <c r="EB220" s="81"/>
      <c r="EC220" s="74"/>
      <c r="ED220" s="75"/>
      <c r="EE220" s="75"/>
      <c r="EF220" s="75"/>
      <c r="EG220" s="75"/>
      <c r="EH220" s="75"/>
      <c r="EI220" s="75"/>
      <c r="EJ220" s="75"/>
      <c r="EK220" s="75"/>
      <c r="EL220" s="75"/>
      <c r="EM220" s="75"/>
      <c r="EN220" s="81"/>
      <c r="EO220" s="74"/>
      <c r="EP220" s="75"/>
      <c r="EQ220" s="75"/>
      <c r="ER220" s="75"/>
      <c r="ES220" s="75"/>
      <c r="ET220" s="75"/>
      <c r="EU220" s="75"/>
      <c r="EV220" s="75"/>
      <c r="EW220" s="75"/>
      <c r="EX220" s="75"/>
      <c r="EY220" s="75"/>
      <c r="EZ220" s="81"/>
      <c r="FA220" s="74"/>
      <c r="FB220" s="75"/>
      <c r="FC220" s="75"/>
      <c r="FD220" s="75"/>
      <c r="FE220" s="75"/>
      <c r="FF220" s="75"/>
      <c r="FG220" s="75"/>
      <c r="FH220" s="75"/>
      <c r="FI220" s="75"/>
      <c r="FJ220" s="75"/>
      <c r="FK220" s="75"/>
      <c r="FL220" s="81"/>
      <c r="FM220" s="74"/>
      <c r="FN220" s="75"/>
      <c r="FO220" s="75"/>
      <c r="FP220" s="75"/>
      <c r="FQ220" s="75"/>
      <c r="FR220" s="75"/>
      <c r="FS220" s="75"/>
      <c r="FT220" s="75"/>
      <c r="FU220" s="75"/>
      <c r="FV220" s="75"/>
      <c r="FW220" s="75"/>
      <c r="FX220" s="81"/>
      <c r="FY220" s="74"/>
      <c r="FZ220" s="75"/>
      <c r="GA220" s="75"/>
      <c r="GB220" s="75"/>
      <c r="GC220" s="75"/>
      <c r="GD220" s="75"/>
      <c r="GE220" s="75"/>
      <c r="GF220" s="75"/>
      <c r="GG220" s="75"/>
      <c r="GH220" s="75"/>
      <c r="GI220" s="75"/>
      <c r="GJ220" s="81"/>
      <c r="GK220" s="74"/>
      <c r="GL220" s="75"/>
      <c r="GM220" s="75"/>
      <c r="GN220" s="75"/>
      <c r="GO220" s="75"/>
      <c r="GP220" s="75"/>
      <c r="GQ220" s="75"/>
      <c r="GR220" s="75"/>
      <c r="GS220" s="75"/>
      <c r="GT220" s="75"/>
      <c r="GU220" s="75"/>
      <c r="GV220" s="81"/>
      <c r="GW220" s="74"/>
      <c r="GX220" s="75"/>
      <c r="GY220" s="75"/>
      <c r="GZ220" s="75"/>
      <c r="HA220" s="75"/>
      <c r="HB220" s="75"/>
      <c r="HC220" s="75"/>
      <c r="HD220" s="75"/>
      <c r="HE220" s="75"/>
      <c r="HF220" s="75"/>
      <c r="HG220" s="75"/>
      <c r="HH220" s="81"/>
      <c r="HI220" s="75"/>
    </row>
    <row r="221" ht="15.0" customHeight="1">
      <c r="A221" s="74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81"/>
      <c r="M221" s="74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81"/>
      <c r="Y221" s="74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81"/>
      <c r="AK221" s="74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81"/>
      <c r="AW221" s="74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81"/>
      <c r="BI221" s="74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81"/>
      <c r="BU221" s="74"/>
      <c r="BV221" s="75"/>
      <c r="BW221" s="75"/>
      <c r="BX221" s="75"/>
      <c r="BY221" s="75"/>
      <c r="BZ221" s="75"/>
      <c r="CA221" s="75"/>
      <c r="CB221" s="75"/>
      <c r="CC221" s="75"/>
      <c r="CD221" s="75"/>
      <c r="CE221" s="75"/>
      <c r="CF221" s="81"/>
      <c r="CG221" s="74"/>
      <c r="CH221" s="75"/>
      <c r="CI221" s="75"/>
      <c r="CJ221" s="75"/>
      <c r="CK221" s="75"/>
      <c r="CL221" s="75"/>
      <c r="CM221" s="75"/>
      <c r="CN221" s="75"/>
      <c r="CO221" s="75"/>
      <c r="CP221" s="75"/>
      <c r="CQ221" s="75"/>
      <c r="CR221" s="81"/>
      <c r="CS221" s="74"/>
      <c r="CT221" s="75"/>
      <c r="CU221" s="75"/>
      <c r="CV221" s="75"/>
      <c r="CW221" s="75"/>
      <c r="CX221" s="75"/>
      <c r="CY221" s="75"/>
      <c r="CZ221" s="75"/>
      <c r="DA221" s="75"/>
      <c r="DB221" s="75"/>
      <c r="DC221" s="75"/>
      <c r="DD221" s="81"/>
      <c r="DE221" s="74"/>
      <c r="DF221" s="75"/>
      <c r="DG221" s="75"/>
      <c r="DH221" s="75"/>
      <c r="DI221" s="75"/>
      <c r="DJ221" s="75"/>
      <c r="DK221" s="75"/>
      <c r="DL221" s="75"/>
      <c r="DM221" s="75"/>
      <c r="DN221" s="75"/>
      <c r="DO221" s="75"/>
      <c r="DP221" s="81"/>
      <c r="DQ221" s="74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81"/>
      <c r="EC221" s="74"/>
      <c r="ED221" s="75"/>
      <c r="EE221" s="75"/>
      <c r="EF221" s="75"/>
      <c r="EG221" s="75"/>
      <c r="EH221" s="75"/>
      <c r="EI221" s="75"/>
      <c r="EJ221" s="75"/>
      <c r="EK221" s="75"/>
      <c r="EL221" s="75"/>
      <c r="EM221" s="75"/>
      <c r="EN221" s="81"/>
      <c r="EO221" s="74"/>
      <c r="EP221" s="75"/>
      <c r="EQ221" s="75"/>
      <c r="ER221" s="75"/>
      <c r="ES221" s="75"/>
      <c r="ET221" s="75"/>
      <c r="EU221" s="75"/>
      <c r="EV221" s="75"/>
      <c r="EW221" s="75"/>
      <c r="EX221" s="75"/>
      <c r="EY221" s="75"/>
      <c r="EZ221" s="81"/>
      <c r="FA221" s="74"/>
      <c r="FB221" s="75"/>
      <c r="FC221" s="75"/>
      <c r="FD221" s="75"/>
      <c r="FE221" s="75"/>
      <c r="FF221" s="75"/>
      <c r="FG221" s="75"/>
      <c r="FH221" s="75"/>
      <c r="FI221" s="75"/>
      <c r="FJ221" s="75"/>
      <c r="FK221" s="75"/>
      <c r="FL221" s="81"/>
      <c r="FM221" s="74"/>
      <c r="FN221" s="75"/>
      <c r="FO221" s="75"/>
      <c r="FP221" s="75"/>
      <c r="FQ221" s="75"/>
      <c r="FR221" s="75"/>
      <c r="FS221" s="75"/>
      <c r="FT221" s="75"/>
      <c r="FU221" s="75"/>
      <c r="FV221" s="75"/>
      <c r="FW221" s="75"/>
      <c r="FX221" s="81"/>
      <c r="FY221" s="74"/>
      <c r="FZ221" s="75"/>
      <c r="GA221" s="75"/>
      <c r="GB221" s="75"/>
      <c r="GC221" s="75"/>
      <c r="GD221" s="75"/>
      <c r="GE221" s="75"/>
      <c r="GF221" s="75"/>
      <c r="GG221" s="75"/>
      <c r="GH221" s="75"/>
      <c r="GI221" s="75"/>
      <c r="GJ221" s="81"/>
      <c r="GK221" s="74"/>
      <c r="GL221" s="75"/>
      <c r="GM221" s="75"/>
      <c r="GN221" s="75"/>
      <c r="GO221" s="75"/>
      <c r="GP221" s="75"/>
      <c r="GQ221" s="75"/>
      <c r="GR221" s="75"/>
      <c r="GS221" s="75"/>
      <c r="GT221" s="75"/>
      <c r="GU221" s="75"/>
      <c r="GV221" s="81"/>
      <c r="GW221" s="74"/>
      <c r="GX221" s="75"/>
      <c r="GY221" s="75"/>
      <c r="GZ221" s="75"/>
      <c r="HA221" s="75"/>
      <c r="HB221" s="75"/>
      <c r="HC221" s="75"/>
      <c r="HD221" s="75"/>
      <c r="HE221" s="75"/>
      <c r="HF221" s="75"/>
      <c r="HG221" s="75"/>
      <c r="HH221" s="81"/>
      <c r="HI221" s="75"/>
    </row>
    <row r="222" ht="15.0" customHeight="1">
      <c r="A222" s="74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81"/>
      <c r="M222" s="74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81"/>
      <c r="Y222" s="74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81"/>
      <c r="AK222" s="74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81"/>
      <c r="AW222" s="74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81"/>
      <c r="BI222" s="74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81"/>
      <c r="BU222" s="74"/>
      <c r="BV222" s="75"/>
      <c r="BW222" s="75"/>
      <c r="BX222" s="75"/>
      <c r="BY222" s="75"/>
      <c r="BZ222" s="75"/>
      <c r="CA222" s="75"/>
      <c r="CB222" s="75"/>
      <c r="CC222" s="75"/>
      <c r="CD222" s="75"/>
      <c r="CE222" s="75"/>
      <c r="CF222" s="81"/>
      <c r="CG222" s="74"/>
      <c r="CH222" s="75"/>
      <c r="CI222" s="75"/>
      <c r="CJ222" s="75"/>
      <c r="CK222" s="75"/>
      <c r="CL222" s="75"/>
      <c r="CM222" s="75"/>
      <c r="CN222" s="75"/>
      <c r="CO222" s="75"/>
      <c r="CP222" s="75"/>
      <c r="CQ222" s="75"/>
      <c r="CR222" s="81"/>
      <c r="CS222" s="74"/>
      <c r="CT222" s="75"/>
      <c r="CU222" s="75"/>
      <c r="CV222" s="75"/>
      <c r="CW222" s="75"/>
      <c r="CX222" s="75"/>
      <c r="CY222" s="75"/>
      <c r="CZ222" s="75"/>
      <c r="DA222" s="75"/>
      <c r="DB222" s="75"/>
      <c r="DC222" s="75"/>
      <c r="DD222" s="81"/>
      <c r="DE222" s="74"/>
      <c r="DF222" s="75"/>
      <c r="DG222" s="75"/>
      <c r="DH222" s="75"/>
      <c r="DI222" s="75"/>
      <c r="DJ222" s="75"/>
      <c r="DK222" s="75"/>
      <c r="DL222" s="75"/>
      <c r="DM222" s="75"/>
      <c r="DN222" s="75"/>
      <c r="DO222" s="75"/>
      <c r="DP222" s="81"/>
      <c r="DQ222" s="74"/>
      <c r="DR222" s="75"/>
      <c r="DS222" s="75"/>
      <c r="DT222" s="75"/>
      <c r="DU222" s="75"/>
      <c r="DV222" s="75"/>
      <c r="DW222" s="75"/>
      <c r="DX222" s="75"/>
      <c r="DY222" s="75"/>
      <c r="DZ222" s="75"/>
      <c r="EA222" s="75"/>
      <c r="EB222" s="81"/>
      <c r="EC222" s="74"/>
      <c r="ED222" s="75"/>
      <c r="EE222" s="75"/>
      <c r="EF222" s="75"/>
      <c r="EG222" s="75"/>
      <c r="EH222" s="75"/>
      <c r="EI222" s="75"/>
      <c r="EJ222" s="75"/>
      <c r="EK222" s="75"/>
      <c r="EL222" s="75"/>
      <c r="EM222" s="75"/>
      <c r="EN222" s="81"/>
      <c r="EO222" s="74"/>
      <c r="EP222" s="75"/>
      <c r="EQ222" s="75"/>
      <c r="ER222" s="75"/>
      <c r="ES222" s="75"/>
      <c r="ET222" s="75"/>
      <c r="EU222" s="75"/>
      <c r="EV222" s="75"/>
      <c r="EW222" s="75"/>
      <c r="EX222" s="75"/>
      <c r="EY222" s="75"/>
      <c r="EZ222" s="81"/>
      <c r="FA222" s="74"/>
      <c r="FB222" s="75"/>
      <c r="FC222" s="75"/>
      <c r="FD222" s="75"/>
      <c r="FE222" s="75"/>
      <c r="FF222" s="75"/>
      <c r="FG222" s="75"/>
      <c r="FH222" s="75"/>
      <c r="FI222" s="75"/>
      <c r="FJ222" s="75"/>
      <c r="FK222" s="75"/>
      <c r="FL222" s="81"/>
      <c r="FM222" s="74"/>
      <c r="FN222" s="75"/>
      <c r="FO222" s="75"/>
      <c r="FP222" s="75"/>
      <c r="FQ222" s="75"/>
      <c r="FR222" s="75"/>
      <c r="FS222" s="75"/>
      <c r="FT222" s="75"/>
      <c r="FU222" s="75"/>
      <c r="FV222" s="75"/>
      <c r="FW222" s="75"/>
      <c r="FX222" s="81"/>
      <c r="FY222" s="74"/>
      <c r="FZ222" s="75"/>
      <c r="GA222" s="75"/>
      <c r="GB222" s="75"/>
      <c r="GC222" s="75"/>
      <c r="GD222" s="75"/>
      <c r="GE222" s="75"/>
      <c r="GF222" s="75"/>
      <c r="GG222" s="75"/>
      <c r="GH222" s="75"/>
      <c r="GI222" s="75"/>
      <c r="GJ222" s="81"/>
      <c r="GK222" s="74"/>
      <c r="GL222" s="75"/>
      <c r="GM222" s="75"/>
      <c r="GN222" s="75"/>
      <c r="GO222" s="75"/>
      <c r="GP222" s="75"/>
      <c r="GQ222" s="75"/>
      <c r="GR222" s="75"/>
      <c r="GS222" s="75"/>
      <c r="GT222" s="75"/>
      <c r="GU222" s="75"/>
      <c r="GV222" s="81"/>
      <c r="GW222" s="74"/>
      <c r="GX222" s="75"/>
      <c r="GY222" s="75"/>
      <c r="GZ222" s="75"/>
      <c r="HA222" s="75"/>
      <c r="HB222" s="75"/>
      <c r="HC222" s="75"/>
      <c r="HD222" s="75"/>
      <c r="HE222" s="75"/>
      <c r="HF222" s="75"/>
      <c r="HG222" s="75"/>
      <c r="HH222" s="81"/>
      <c r="HI222" s="75"/>
    </row>
    <row r="223" ht="15.0" customHeight="1">
      <c r="A223" s="74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81"/>
      <c r="M223" s="74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81"/>
      <c r="Y223" s="74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81"/>
      <c r="AK223" s="74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81"/>
      <c r="AW223" s="74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81"/>
      <c r="BI223" s="74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81"/>
      <c r="BU223" s="74"/>
      <c r="BV223" s="75"/>
      <c r="BW223" s="75"/>
      <c r="BX223" s="75"/>
      <c r="BY223" s="75"/>
      <c r="BZ223" s="75"/>
      <c r="CA223" s="75"/>
      <c r="CB223" s="75"/>
      <c r="CC223" s="75"/>
      <c r="CD223" s="75"/>
      <c r="CE223" s="75"/>
      <c r="CF223" s="81"/>
      <c r="CG223" s="74"/>
      <c r="CH223" s="75"/>
      <c r="CI223" s="75"/>
      <c r="CJ223" s="75"/>
      <c r="CK223" s="75"/>
      <c r="CL223" s="75"/>
      <c r="CM223" s="75"/>
      <c r="CN223" s="75"/>
      <c r="CO223" s="75"/>
      <c r="CP223" s="75"/>
      <c r="CQ223" s="75"/>
      <c r="CR223" s="81"/>
      <c r="CS223" s="74"/>
      <c r="CT223" s="75"/>
      <c r="CU223" s="75"/>
      <c r="CV223" s="75"/>
      <c r="CW223" s="75"/>
      <c r="CX223" s="75"/>
      <c r="CY223" s="75"/>
      <c r="CZ223" s="75"/>
      <c r="DA223" s="75"/>
      <c r="DB223" s="75"/>
      <c r="DC223" s="75"/>
      <c r="DD223" s="81"/>
      <c r="DE223" s="74"/>
      <c r="DF223" s="75"/>
      <c r="DG223" s="75"/>
      <c r="DH223" s="75"/>
      <c r="DI223" s="75"/>
      <c r="DJ223" s="75"/>
      <c r="DK223" s="75"/>
      <c r="DL223" s="75"/>
      <c r="DM223" s="75"/>
      <c r="DN223" s="75"/>
      <c r="DO223" s="75"/>
      <c r="DP223" s="81"/>
      <c r="DQ223" s="74"/>
      <c r="DR223" s="75"/>
      <c r="DS223" s="75"/>
      <c r="DT223" s="75"/>
      <c r="DU223" s="75"/>
      <c r="DV223" s="75"/>
      <c r="DW223" s="75"/>
      <c r="DX223" s="75"/>
      <c r="DY223" s="75"/>
      <c r="DZ223" s="75"/>
      <c r="EA223" s="75"/>
      <c r="EB223" s="81"/>
      <c r="EC223" s="74"/>
      <c r="ED223" s="75"/>
      <c r="EE223" s="75"/>
      <c r="EF223" s="75"/>
      <c r="EG223" s="75"/>
      <c r="EH223" s="75"/>
      <c r="EI223" s="75"/>
      <c r="EJ223" s="75"/>
      <c r="EK223" s="75"/>
      <c r="EL223" s="75"/>
      <c r="EM223" s="75"/>
      <c r="EN223" s="81"/>
      <c r="EO223" s="74"/>
      <c r="EP223" s="75"/>
      <c r="EQ223" s="75"/>
      <c r="ER223" s="75"/>
      <c r="ES223" s="75"/>
      <c r="ET223" s="75"/>
      <c r="EU223" s="75"/>
      <c r="EV223" s="75"/>
      <c r="EW223" s="75"/>
      <c r="EX223" s="75"/>
      <c r="EY223" s="75"/>
      <c r="EZ223" s="81"/>
      <c r="FA223" s="74"/>
      <c r="FB223" s="75"/>
      <c r="FC223" s="75"/>
      <c r="FD223" s="75"/>
      <c r="FE223" s="75"/>
      <c r="FF223" s="75"/>
      <c r="FG223" s="75"/>
      <c r="FH223" s="75"/>
      <c r="FI223" s="75"/>
      <c r="FJ223" s="75"/>
      <c r="FK223" s="75"/>
      <c r="FL223" s="81"/>
      <c r="FM223" s="74"/>
      <c r="FN223" s="75"/>
      <c r="FO223" s="75"/>
      <c r="FP223" s="75"/>
      <c r="FQ223" s="75"/>
      <c r="FR223" s="75"/>
      <c r="FS223" s="75"/>
      <c r="FT223" s="75"/>
      <c r="FU223" s="75"/>
      <c r="FV223" s="75"/>
      <c r="FW223" s="75"/>
      <c r="FX223" s="81"/>
      <c r="FY223" s="74"/>
      <c r="FZ223" s="75"/>
      <c r="GA223" s="75"/>
      <c r="GB223" s="75"/>
      <c r="GC223" s="75"/>
      <c r="GD223" s="75"/>
      <c r="GE223" s="75"/>
      <c r="GF223" s="75"/>
      <c r="GG223" s="75"/>
      <c r="GH223" s="75"/>
      <c r="GI223" s="75"/>
      <c r="GJ223" s="81"/>
      <c r="GK223" s="74"/>
      <c r="GL223" s="75"/>
      <c r="GM223" s="75"/>
      <c r="GN223" s="75"/>
      <c r="GO223" s="75"/>
      <c r="GP223" s="75"/>
      <c r="GQ223" s="75"/>
      <c r="GR223" s="75"/>
      <c r="GS223" s="75"/>
      <c r="GT223" s="75"/>
      <c r="GU223" s="75"/>
      <c r="GV223" s="81"/>
      <c r="GW223" s="74"/>
      <c r="GX223" s="75"/>
      <c r="GY223" s="75"/>
      <c r="GZ223" s="75"/>
      <c r="HA223" s="75"/>
      <c r="HB223" s="75"/>
      <c r="HC223" s="75"/>
      <c r="HD223" s="75"/>
      <c r="HE223" s="75"/>
      <c r="HF223" s="75"/>
      <c r="HG223" s="75"/>
      <c r="HH223" s="81"/>
      <c r="HI223" s="75"/>
    </row>
    <row r="224" ht="15.0" customHeight="1">
      <c r="A224" s="74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81"/>
      <c r="M224" s="74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81"/>
      <c r="Y224" s="74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81"/>
      <c r="AK224" s="74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81"/>
      <c r="AW224" s="74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81"/>
      <c r="BI224" s="74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81"/>
      <c r="BU224" s="74"/>
      <c r="BV224" s="75"/>
      <c r="BW224" s="75"/>
      <c r="BX224" s="75"/>
      <c r="BY224" s="75"/>
      <c r="BZ224" s="75"/>
      <c r="CA224" s="75"/>
      <c r="CB224" s="75"/>
      <c r="CC224" s="75"/>
      <c r="CD224" s="75"/>
      <c r="CE224" s="75"/>
      <c r="CF224" s="81"/>
      <c r="CG224" s="74"/>
      <c r="CH224" s="75"/>
      <c r="CI224" s="75"/>
      <c r="CJ224" s="75"/>
      <c r="CK224" s="75"/>
      <c r="CL224" s="75"/>
      <c r="CM224" s="75"/>
      <c r="CN224" s="75"/>
      <c r="CO224" s="75"/>
      <c r="CP224" s="75"/>
      <c r="CQ224" s="75"/>
      <c r="CR224" s="81"/>
      <c r="CS224" s="74"/>
      <c r="CT224" s="75"/>
      <c r="CU224" s="75"/>
      <c r="CV224" s="75"/>
      <c r="CW224" s="75"/>
      <c r="CX224" s="75"/>
      <c r="CY224" s="75"/>
      <c r="CZ224" s="75"/>
      <c r="DA224" s="75"/>
      <c r="DB224" s="75"/>
      <c r="DC224" s="75"/>
      <c r="DD224" s="81"/>
      <c r="DE224" s="74"/>
      <c r="DF224" s="75"/>
      <c r="DG224" s="75"/>
      <c r="DH224" s="75"/>
      <c r="DI224" s="75"/>
      <c r="DJ224" s="75"/>
      <c r="DK224" s="75"/>
      <c r="DL224" s="75"/>
      <c r="DM224" s="75"/>
      <c r="DN224" s="75"/>
      <c r="DO224" s="75"/>
      <c r="DP224" s="81"/>
      <c r="DQ224" s="74"/>
      <c r="DR224" s="75"/>
      <c r="DS224" s="75"/>
      <c r="DT224" s="75"/>
      <c r="DU224" s="75"/>
      <c r="DV224" s="75"/>
      <c r="DW224" s="75"/>
      <c r="DX224" s="75"/>
      <c r="DY224" s="75"/>
      <c r="DZ224" s="75"/>
      <c r="EA224" s="75"/>
      <c r="EB224" s="81"/>
      <c r="EC224" s="74"/>
      <c r="ED224" s="75"/>
      <c r="EE224" s="75"/>
      <c r="EF224" s="75"/>
      <c r="EG224" s="75"/>
      <c r="EH224" s="75"/>
      <c r="EI224" s="75"/>
      <c r="EJ224" s="75"/>
      <c r="EK224" s="75"/>
      <c r="EL224" s="75"/>
      <c r="EM224" s="75"/>
      <c r="EN224" s="81"/>
      <c r="EO224" s="74"/>
      <c r="EP224" s="75"/>
      <c r="EQ224" s="75"/>
      <c r="ER224" s="75"/>
      <c r="ES224" s="75"/>
      <c r="ET224" s="75"/>
      <c r="EU224" s="75"/>
      <c r="EV224" s="75"/>
      <c r="EW224" s="75"/>
      <c r="EX224" s="75"/>
      <c r="EY224" s="75"/>
      <c r="EZ224" s="81"/>
      <c r="FA224" s="74"/>
      <c r="FB224" s="75"/>
      <c r="FC224" s="75"/>
      <c r="FD224" s="75"/>
      <c r="FE224" s="75"/>
      <c r="FF224" s="75"/>
      <c r="FG224" s="75"/>
      <c r="FH224" s="75"/>
      <c r="FI224" s="75"/>
      <c r="FJ224" s="75"/>
      <c r="FK224" s="75"/>
      <c r="FL224" s="81"/>
      <c r="FM224" s="74"/>
      <c r="FN224" s="75"/>
      <c r="FO224" s="75"/>
      <c r="FP224" s="75"/>
      <c r="FQ224" s="75"/>
      <c r="FR224" s="75"/>
      <c r="FS224" s="75"/>
      <c r="FT224" s="75"/>
      <c r="FU224" s="75"/>
      <c r="FV224" s="75"/>
      <c r="FW224" s="75"/>
      <c r="FX224" s="81"/>
      <c r="FY224" s="74"/>
      <c r="FZ224" s="75"/>
      <c r="GA224" s="75"/>
      <c r="GB224" s="75"/>
      <c r="GC224" s="75"/>
      <c r="GD224" s="75"/>
      <c r="GE224" s="75"/>
      <c r="GF224" s="75"/>
      <c r="GG224" s="75"/>
      <c r="GH224" s="75"/>
      <c r="GI224" s="75"/>
      <c r="GJ224" s="81"/>
      <c r="GK224" s="74"/>
      <c r="GL224" s="75"/>
      <c r="GM224" s="75"/>
      <c r="GN224" s="75"/>
      <c r="GO224" s="75"/>
      <c r="GP224" s="75"/>
      <c r="GQ224" s="75"/>
      <c r="GR224" s="75"/>
      <c r="GS224" s="75"/>
      <c r="GT224" s="75"/>
      <c r="GU224" s="75"/>
      <c r="GV224" s="81"/>
      <c r="GW224" s="74"/>
      <c r="GX224" s="75"/>
      <c r="GY224" s="75"/>
      <c r="GZ224" s="75"/>
      <c r="HA224" s="75"/>
      <c r="HB224" s="75"/>
      <c r="HC224" s="75"/>
      <c r="HD224" s="75"/>
      <c r="HE224" s="75"/>
      <c r="HF224" s="75"/>
      <c r="HG224" s="75"/>
      <c r="HH224" s="81"/>
      <c r="HI224" s="75"/>
    </row>
    <row r="225" ht="15.0" customHeight="1">
      <c r="A225" s="74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81"/>
      <c r="M225" s="74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81"/>
      <c r="Y225" s="74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81"/>
      <c r="AK225" s="74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81"/>
      <c r="AW225" s="74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81"/>
      <c r="BI225" s="74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81"/>
      <c r="BU225" s="74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81"/>
      <c r="CG225" s="74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81"/>
      <c r="CS225" s="74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81"/>
      <c r="DE225" s="74"/>
      <c r="DF225" s="75"/>
      <c r="DG225" s="75"/>
      <c r="DH225" s="75"/>
      <c r="DI225" s="75"/>
      <c r="DJ225" s="75"/>
      <c r="DK225" s="75"/>
      <c r="DL225" s="75"/>
      <c r="DM225" s="75"/>
      <c r="DN225" s="75"/>
      <c r="DO225" s="75"/>
      <c r="DP225" s="81"/>
      <c r="DQ225" s="74"/>
      <c r="DR225" s="75"/>
      <c r="DS225" s="75"/>
      <c r="DT225" s="75"/>
      <c r="DU225" s="75"/>
      <c r="DV225" s="75"/>
      <c r="DW225" s="75"/>
      <c r="DX225" s="75"/>
      <c r="DY225" s="75"/>
      <c r="DZ225" s="75"/>
      <c r="EA225" s="75"/>
      <c r="EB225" s="81"/>
      <c r="EC225" s="74"/>
      <c r="ED225" s="75"/>
      <c r="EE225" s="75"/>
      <c r="EF225" s="75"/>
      <c r="EG225" s="75"/>
      <c r="EH225" s="75"/>
      <c r="EI225" s="75"/>
      <c r="EJ225" s="75"/>
      <c r="EK225" s="75"/>
      <c r="EL225" s="75"/>
      <c r="EM225" s="75"/>
      <c r="EN225" s="81"/>
      <c r="EO225" s="74"/>
      <c r="EP225" s="75"/>
      <c r="EQ225" s="75"/>
      <c r="ER225" s="75"/>
      <c r="ES225" s="75"/>
      <c r="ET225" s="75"/>
      <c r="EU225" s="75"/>
      <c r="EV225" s="75"/>
      <c r="EW225" s="75"/>
      <c r="EX225" s="75"/>
      <c r="EY225" s="75"/>
      <c r="EZ225" s="81"/>
      <c r="FA225" s="74"/>
      <c r="FB225" s="75"/>
      <c r="FC225" s="75"/>
      <c r="FD225" s="75"/>
      <c r="FE225" s="75"/>
      <c r="FF225" s="75"/>
      <c r="FG225" s="75"/>
      <c r="FH225" s="75"/>
      <c r="FI225" s="75"/>
      <c r="FJ225" s="75"/>
      <c r="FK225" s="75"/>
      <c r="FL225" s="81"/>
      <c r="FM225" s="74"/>
      <c r="FN225" s="75"/>
      <c r="FO225" s="75"/>
      <c r="FP225" s="75"/>
      <c r="FQ225" s="75"/>
      <c r="FR225" s="75"/>
      <c r="FS225" s="75"/>
      <c r="FT225" s="75"/>
      <c r="FU225" s="75"/>
      <c r="FV225" s="75"/>
      <c r="FW225" s="75"/>
      <c r="FX225" s="81"/>
      <c r="FY225" s="74"/>
      <c r="FZ225" s="75"/>
      <c r="GA225" s="75"/>
      <c r="GB225" s="75"/>
      <c r="GC225" s="75"/>
      <c r="GD225" s="75"/>
      <c r="GE225" s="75"/>
      <c r="GF225" s="75"/>
      <c r="GG225" s="75"/>
      <c r="GH225" s="75"/>
      <c r="GI225" s="75"/>
      <c r="GJ225" s="81"/>
      <c r="GK225" s="74"/>
      <c r="GL225" s="75"/>
      <c r="GM225" s="75"/>
      <c r="GN225" s="75"/>
      <c r="GO225" s="75"/>
      <c r="GP225" s="75"/>
      <c r="GQ225" s="75"/>
      <c r="GR225" s="75"/>
      <c r="GS225" s="75"/>
      <c r="GT225" s="75"/>
      <c r="GU225" s="75"/>
      <c r="GV225" s="81"/>
      <c r="GW225" s="74"/>
      <c r="GX225" s="75"/>
      <c r="GY225" s="75"/>
      <c r="GZ225" s="75"/>
      <c r="HA225" s="75"/>
      <c r="HB225" s="75"/>
      <c r="HC225" s="75"/>
      <c r="HD225" s="75"/>
      <c r="HE225" s="75"/>
      <c r="HF225" s="75"/>
      <c r="HG225" s="75"/>
      <c r="HH225" s="81"/>
      <c r="HI225" s="75"/>
    </row>
    <row r="226" ht="15.0" customHeight="1">
      <c r="A226" s="74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81"/>
      <c r="M226" s="74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81"/>
      <c r="Y226" s="74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81"/>
      <c r="AK226" s="74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81"/>
      <c r="AW226" s="74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81"/>
      <c r="BI226" s="74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81"/>
      <c r="BU226" s="74"/>
      <c r="BV226" s="75"/>
      <c r="BW226" s="75"/>
      <c r="BX226" s="75"/>
      <c r="BY226" s="75"/>
      <c r="BZ226" s="75"/>
      <c r="CA226" s="75"/>
      <c r="CB226" s="75"/>
      <c r="CC226" s="75"/>
      <c r="CD226" s="75"/>
      <c r="CE226" s="75"/>
      <c r="CF226" s="81"/>
      <c r="CG226" s="74"/>
      <c r="CH226" s="75"/>
      <c r="CI226" s="75"/>
      <c r="CJ226" s="75"/>
      <c r="CK226" s="75"/>
      <c r="CL226" s="75"/>
      <c r="CM226" s="75"/>
      <c r="CN226" s="75"/>
      <c r="CO226" s="75"/>
      <c r="CP226" s="75"/>
      <c r="CQ226" s="75"/>
      <c r="CR226" s="81"/>
      <c r="CS226" s="74"/>
      <c r="CT226" s="75"/>
      <c r="CU226" s="75"/>
      <c r="CV226" s="75"/>
      <c r="CW226" s="75"/>
      <c r="CX226" s="75"/>
      <c r="CY226" s="75"/>
      <c r="CZ226" s="75"/>
      <c r="DA226" s="75"/>
      <c r="DB226" s="75"/>
      <c r="DC226" s="75"/>
      <c r="DD226" s="81"/>
      <c r="DE226" s="74"/>
      <c r="DF226" s="75"/>
      <c r="DG226" s="75"/>
      <c r="DH226" s="75"/>
      <c r="DI226" s="75"/>
      <c r="DJ226" s="75"/>
      <c r="DK226" s="75"/>
      <c r="DL226" s="75"/>
      <c r="DM226" s="75"/>
      <c r="DN226" s="75"/>
      <c r="DO226" s="75"/>
      <c r="DP226" s="81"/>
      <c r="DQ226" s="74"/>
      <c r="DR226" s="75"/>
      <c r="DS226" s="75"/>
      <c r="DT226" s="75"/>
      <c r="DU226" s="75"/>
      <c r="DV226" s="75"/>
      <c r="DW226" s="75"/>
      <c r="DX226" s="75"/>
      <c r="DY226" s="75"/>
      <c r="DZ226" s="75"/>
      <c r="EA226" s="75"/>
      <c r="EB226" s="81"/>
      <c r="EC226" s="74"/>
      <c r="ED226" s="75"/>
      <c r="EE226" s="75"/>
      <c r="EF226" s="75"/>
      <c r="EG226" s="75"/>
      <c r="EH226" s="75"/>
      <c r="EI226" s="75"/>
      <c r="EJ226" s="75"/>
      <c r="EK226" s="75"/>
      <c r="EL226" s="75"/>
      <c r="EM226" s="75"/>
      <c r="EN226" s="81"/>
      <c r="EO226" s="74"/>
      <c r="EP226" s="75"/>
      <c r="EQ226" s="75"/>
      <c r="ER226" s="75"/>
      <c r="ES226" s="75"/>
      <c r="ET226" s="75"/>
      <c r="EU226" s="75"/>
      <c r="EV226" s="75"/>
      <c r="EW226" s="75"/>
      <c r="EX226" s="75"/>
      <c r="EY226" s="75"/>
      <c r="EZ226" s="81"/>
      <c r="FA226" s="74"/>
      <c r="FB226" s="75"/>
      <c r="FC226" s="75"/>
      <c r="FD226" s="75"/>
      <c r="FE226" s="75"/>
      <c r="FF226" s="75"/>
      <c r="FG226" s="75"/>
      <c r="FH226" s="75"/>
      <c r="FI226" s="75"/>
      <c r="FJ226" s="75"/>
      <c r="FK226" s="75"/>
      <c r="FL226" s="81"/>
      <c r="FM226" s="74"/>
      <c r="FN226" s="75"/>
      <c r="FO226" s="75"/>
      <c r="FP226" s="75"/>
      <c r="FQ226" s="75"/>
      <c r="FR226" s="75"/>
      <c r="FS226" s="75"/>
      <c r="FT226" s="75"/>
      <c r="FU226" s="75"/>
      <c r="FV226" s="75"/>
      <c r="FW226" s="75"/>
      <c r="FX226" s="81"/>
      <c r="FY226" s="74"/>
      <c r="FZ226" s="75"/>
      <c r="GA226" s="75"/>
      <c r="GB226" s="75"/>
      <c r="GC226" s="75"/>
      <c r="GD226" s="75"/>
      <c r="GE226" s="75"/>
      <c r="GF226" s="75"/>
      <c r="GG226" s="75"/>
      <c r="GH226" s="75"/>
      <c r="GI226" s="75"/>
      <c r="GJ226" s="81"/>
      <c r="GK226" s="74"/>
      <c r="GL226" s="75"/>
      <c r="GM226" s="75"/>
      <c r="GN226" s="75"/>
      <c r="GO226" s="75"/>
      <c r="GP226" s="75"/>
      <c r="GQ226" s="75"/>
      <c r="GR226" s="75"/>
      <c r="GS226" s="75"/>
      <c r="GT226" s="75"/>
      <c r="GU226" s="75"/>
      <c r="GV226" s="81"/>
      <c r="GW226" s="74"/>
      <c r="GX226" s="75"/>
      <c r="GY226" s="75"/>
      <c r="GZ226" s="75"/>
      <c r="HA226" s="75"/>
      <c r="HB226" s="75"/>
      <c r="HC226" s="75"/>
      <c r="HD226" s="75"/>
      <c r="HE226" s="75"/>
      <c r="HF226" s="75"/>
      <c r="HG226" s="75"/>
      <c r="HH226" s="81"/>
      <c r="HI226" s="75"/>
    </row>
    <row r="227" ht="15.0" customHeight="1">
      <c r="A227" s="74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81"/>
      <c r="M227" s="74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81"/>
      <c r="Y227" s="74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81"/>
      <c r="AK227" s="74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81"/>
      <c r="AW227" s="74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81"/>
      <c r="BI227" s="74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81"/>
      <c r="BU227" s="74"/>
      <c r="BV227" s="75"/>
      <c r="BW227" s="75"/>
      <c r="BX227" s="75"/>
      <c r="BY227" s="75"/>
      <c r="BZ227" s="75"/>
      <c r="CA227" s="75"/>
      <c r="CB227" s="75"/>
      <c r="CC227" s="75"/>
      <c r="CD227" s="75"/>
      <c r="CE227" s="75"/>
      <c r="CF227" s="81"/>
      <c r="CG227" s="74"/>
      <c r="CH227" s="75"/>
      <c r="CI227" s="75"/>
      <c r="CJ227" s="75"/>
      <c r="CK227" s="75"/>
      <c r="CL227" s="75"/>
      <c r="CM227" s="75"/>
      <c r="CN227" s="75"/>
      <c r="CO227" s="75"/>
      <c r="CP227" s="75"/>
      <c r="CQ227" s="75"/>
      <c r="CR227" s="81"/>
      <c r="CS227" s="74"/>
      <c r="CT227" s="75"/>
      <c r="CU227" s="75"/>
      <c r="CV227" s="75"/>
      <c r="CW227" s="75"/>
      <c r="CX227" s="75"/>
      <c r="CY227" s="75"/>
      <c r="CZ227" s="75"/>
      <c r="DA227" s="75"/>
      <c r="DB227" s="75"/>
      <c r="DC227" s="75"/>
      <c r="DD227" s="81"/>
      <c r="DE227" s="74"/>
      <c r="DF227" s="75"/>
      <c r="DG227" s="75"/>
      <c r="DH227" s="75"/>
      <c r="DI227" s="75"/>
      <c r="DJ227" s="75"/>
      <c r="DK227" s="75"/>
      <c r="DL227" s="75"/>
      <c r="DM227" s="75"/>
      <c r="DN227" s="75"/>
      <c r="DO227" s="75"/>
      <c r="DP227" s="81"/>
      <c r="DQ227" s="74"/>
      <c r="DR227" s="75"/>
      <c r="DS227" s="75"/>
      <c r="DT227" s="75"/>
      <c r="DU227" s="75"/>
      <c r="DV227" s="75"/>
      <c r="DW227" s="75"/>
      <c r="DX227" s="75"/>
      <c r="DY227" s="75"/>
      <c r="DZ227" s="75"/>
      <c r="EA227" s="75"/>
      <c r="EB227" s="81"/>
      <c r="EC227" s="74"/>
      <c r="ED227" s="75"/>
      <c r="EE227" s="75"/>
      <c r="EF227" s="75"/>
      <c r="EG227" s="75"/>
      <c r="EH227" s="75"/>
      <c r="EI227" s="75"/>
      <c r="EJ227" s="75"/>
      <c r="EK227" s="75"/>
      <c r="EL227" s="75"/>
      <c r="EM227" s="75"/>
      <c r="EN227" s="81"/>
      <c r="EO227" s="74"/>
      <c r="EP227" s="75"/>
      <c r="EQ227" s="75"/>
      <c r="ER227" s="75"/>
      <c r="ES227" s="75"/>
      <c r="ET227" s="75"/>
      <c r="EU227" s="75"/>
      <c r="EV227" s="75"/>
      <c r="EW227" s="75"/>
      <c r="EX227" s="75"/>
      <c r="EY227" s="75"/>
      <c r="EZ227" s="81"/>
      <c r="FA227" s="74"/>
      <c r="FB227" s="75"/>
      <c r="FC227" s="75"/>
      <c r="FD227" s="75"/>
      <c r="FE227" s="75"/>
      <c r="FF227" s="75"/>
      <c r="FG227" s="75"/>
      <c r="FH227" s="75"/>
      <c r="FI227" s="75"/>
      <c r="FJ227" s="75"/>
      <c r="FK227" s="75"/>
      <c r="FL227" s="81"/>
      <c r="FM227" s="74"/>
      <c r="FN227" s="75"/>
      <c r="FO227" s="75"/>
      <c r="FP227" s="75"/>
      <c r="FQ227" s="75"/>
      <c r="FR227" s="75"/>
      <c r="FS227" s="75"/>
      <c r="FT227" s="75"/>
      <c r="FU227" s="75"/>
      <c r="FV227" s="75"/>
      <c r="FW227" s="75"/>
      <c r="FX227" s="81"/>
      <c r="FY227" s="74"/>
      <c r="FZ227" s="75"/>
      <c r="GA227" s="75"/>
      <c r="GB227" s="75"/>
      <c r="GC227" s="75"/>
      <c r="GD227" s="75"/>
      <c r="GE227" s="75"/>
      <c r="GF227" s="75"/>
      <c r="GG227" s="75"/>
      <c r="GH227" s="75"/>
      <c r="GI227" s="75"/>
      <c r="GJ227" s="81"/>
      <c r="GK227" s="74"/>
      <c r="GL227" s="75"/>
      <c r="GM227" s="75"/>
      <c r="GN227" s="75"/>
      <c r="GO227" s="75"/>
      <c r="GP227" s="75"/>
      <c r="GQ227" s="75"/>
      <c r="GR227" s="75"/>
      <c r="GS227" s="75"/>
      <c r="GT227" s="75"/>
      <c r="GU227" s="75"/>
      <c r="GV227" s="81"/>
      <c r="GW227" s="74"/>
      <c r="GX227" s="75"/>
      <c r="GY227" s="75"/>
      <c r="GZ227" s="75"/>
      <c r="HA227" s="75"/>
      <c r="HB227" s="75"/>
      <c r="HC227" s="75"/>
      <c r="HD227" s="75"/>
      <c r="HE227" s="75"/>
      <c r="HF227" s="75"/>
      <c r="HG227" s="75"/>
      <c r="HH227" s="81"/>
      <c r="HI227" s="75"/>
    </row>
    <row r="228" ht="15.0" customHeight="1">
      <c r="A228" s="74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81"/>
      <c r="M228" s="74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81"/>
      <c r="Y228" s="74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81"/>
      <c r="AK228" s="74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81"/>
      <c r="AW228" s="74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81"/>
      <c r="BI228" s="74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81"/>
      <c r="BU228" s="74"/>
      <c r="BV228" s="75"/>
      <c r="BW228" s="75"/>
      <c r="BX228" s="75"/>
      <c r="BY228" s="75"/>
      <c r="BZ228" s="75"/>
      <c r="CA228" s="75"/>
      <c r="CB228" s="75"/>
      <c r="CC228" s="75"/>
      <c r="CD228" s="75"/>
      <c r="CE228" s="75"/>
      <c r="CF228" s="81"/>
      <c r="CG228" s="74"/>
      <c r="CH228" s="75"/>
      <c r="CI228" s="75"/>
      <c r="CJ228" s="75"/>
      <c r="CK228" s="75"/>
      <c r="CL228" s="75"/>
      <c r="CM228" s="75"/>
      <c r="CN228" s="75"/>
      <c r="CO228" s="75"/>
      <c r="CP228" s="75"/>
      <c r="CQ228" s="75"/>
      <c r="CR228" s="81"/>
      <c r="CS228" s="74"/>
      <c r="CT228" s="75"/>
      <c r="CU228" s="75"/>
      <c r="CV228" s="75"/>
      <c r="CW228" s="75"/>
      <c r="CX228" s="75"/>
      <c r="CY228" s="75"/>
      <c r="CZ228" s="75"/>
      <c r="DA228" s="75"/>
      <c r="DB228" s="75"/>
      <c r="DC228" s="75"/>
      <c r="DD228" s="81"/>
      <c r="DE228" s="74"/>
      <c r="DF228" s="75"/>
      <c r="DG228" s="75"/>
      <c r="DH228" s="75"/>
      <c r="DI228" s="75"/>
      <c r="DJ228" s="75"/>
      <c r="DK228" s="75"/>
      <c r="DL228" s="75"/>
      <c r="DM228" s="75"/>
      <c r="DN228" s="75"/>
      <c r="DO228" s="75"/>
      <c r="DP228" s="81"/>
      <c r="DQ228" s="74"/>
      <c r="DR228" s="75"/>
      <c r="DS228" s="75"/>
      <c r="DT228" s="75"/>
      <c r="DU228" s="75"/>
      <c r="DV228" s="75"/>
      <c r="DW228" s="75"/>
      <c r="DX228" s="75"/>
      <c r="DY228" s="75"/>
      <c r="DZ228" s="75"/>
      <c r="EA228" s="75"/>
      <c r="EB228" s="81"/>
      <c r="EC228" s="74"/>
      <c r="ED228" s="75"/>
      <c r="EE228" s="75"/>
      <c r="EF228" s="75"/>
      <c r="EG228" s="75"/>
      <c r="EH228" s="75"/>
      <c r="EI228" s="75"/>
      <c r="EJ228" s="75"/>
      <c r="EK228" s="75"/>
      <c r="EL228" s="75"/>
      <c r="EM228" s="75"/>
      <c r="EN228" s="81"/>
      <c r="EO228" s="74"/>
      <c r="EP228" s="75"/>
      <c r="EQ228" s="75"/>
      <c r="ER228" s="75"/>
      <c r="ES228" s="75"/>
      <c r="ET228" s="75"/>
      <c r="EU228" s="75"/>
      <c r="EV228" s="75"/>
      <c r="EW228" s="75"/>
      <c r="EX228" s="75"/>
      <c r="EY228" s="75"/>
      <c r="EZ228" s="81"/>
      <c r="FA228" s="74"/>
      <c r="FB228" s="75"/>
      <c r="FC228" s="75"/>
      <c r="FD228" s="75"/>
      <c r="FE228" s="75"/>
      <c r="FF228" s="75"/>
      <c r="FG228" s="75"/>
      <c r="FH228" s="75"/>
      <c r="FI228" s="75"/>
      <c r="FJ228" s="75"/>
      <c r="FK228" s="75"/>
      <c r="FL228" s="81"/>
      <c r="FM228" s="74"/>
      <c r="FN228" s="75"/>
      <c r="FO228" s="75"/>
      <c r="FP228" s="75"/>
      <c r="FQ228" s="75"/>
      <c r="FR228" s="75"/>
      <c r="FS228" s="75"/>
      <c r="FT228" s="75"/>
      <c r="FU228" s="75"/>
      <c r="FV228" s="75"/>
      <c r="FW228" s="75"/>
      <c r="FX228" s="81"/>
      <c r="FY228" s="74"/>
      <c r="FZ228" s="75"/>
      <c r="GA228" s="75"/>
      <c r="GB228" s="75"/>
      <c r="GC228" s="75"/>
      <c r="GD228" s="75"/>
      <c r="GE228" s="75"/>
      <c r="GF228" s="75"/>
      <c r="GG228" s="75"/>
      <c r="GH228" s="75"/>
      <c r="GI228" s="75"/>
      <c r="GJ228" s="81"/>
      <c r="GK228" s="74"/>
      <c r="GL228" s="75"/>
      <c r="GM228" s="75"/>
      <c r="GN228" s="75"/>
      <c r="GO228" s="75"/>
      <c r="GP228" s="75"/>
      <c r="GQ228" s="75"/>
      <c r="GR228" s="75"/>
      <c r="GS228" s="75"/>
      <c r="GT228" s="75"/>
      <c r="GU228" s="75"/>
      <c r="GV228" s="81"/>
      <c r="GW228" s="74"/>
      <c r="GX228" s="75"/>
      <c r="GY228" s="75"/>
      <c r="GZ228" s="75"/>
      <c r="HA228" s="75"/>
      <c r="HB228" s="75"/>
      <c r="HC228" s="75"/>
      <c r="HD228" s="75"/>
      <c r="HE228" s="75"/>
      <c r="HF228" s="75"/>
      <c r="HG228" s="75"/>
      <c r="HH228" s="81"/>
      <c r="HI228" s="75"/>
    </row>
    <row r="229" ht="15.0" customHeight="1">
      <c r="A229" s="74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81"/>
      <c r="M229" s="74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81"/>
      <c r="Y229" s="74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81"/>
      <c r="AK229" s="74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81"/>
      <c r="AW229" s="74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81"/>
      <c r="BI229" s="74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81"/>
      <c r="BU229" s="74"/>
      <c r="BV229" s="75"/>
      <c r="BW229" s="75"/>
      <c r="BX229" s="75"/>
      <c r="BY229" s="75"/>
      <c r="BZ229" s="75"/>
      <c r="CA229" s="75"/>
      <c r="CB229" s="75"/>
      <c r="CC229" s="75"/>
      <c r="CD229" s="75"/>
      <c r="CE229" s="75"/>
      <c r="CF229" s="81"/>
      <c r="CG229" s="74"/>
      <c r="CH229" s="75"/>
      <c r="CI229" s="75"/>
      <c r="CJ229" s="75"/>
      <c r="CK229" s="75"/>
      <c r="CL229" s="75"/>
      <c r="CM229" s="75"/>
      <c r="CN229" s="75"/>
      <c r="CO229" s="75"/>
      <c r="CP229" s="75"/>
      <c r="CQ229" s="75"/>
      <c r="CR229" s="81"/>
      <c r="CS229" s="74"/>
      <c r="CT229" s="75"/>
      <c r="CU229" s="75"/>
      <c r="CV229" s="75"/>
      <c r="CW229" s="75"/>
      <c r="CX229" s="75"/>
      <c r="CY229" s="75"/>
      <c r="CZ229" s="75"/>
      <c r="DA229" s="75"/>
      <c r="DB229" s="75"/>
      <c r="DC229" s="75"/>
      <c r="DD229" s="81"/>
      <c r="DE229" s="74"/>
      <c r="DF229" s="75"/>
      <c r="DG229" s="75"/>
      <c r="DH229" s="75"/>
      <c r="DI229" s="75"/>
      <c r="DJ229" s="75"/>
      <c r="DK229" s="75"/>
      <c r="DL229" s="75"/>
      <c r="DM229" s="75"/>
      <c r="DN229" s="75"/>
      <c r="DO229" s="75"/>
      <c r="DP229" s="81"/>
      <c r="DQ229" s="74"/>
      <c r="DR229" s="75"/>
      <c r="DS229" s="75"/>
      <c r="DT229" s="75"/>
      <c r="DU229" s="75"/>
      <c r="DV229" s="75"/>
      <c r="DW229" s="75"/>
      <c r="DX229" s="75"/>
      <c r="DY229" s="75"/>
      <c r="DZ229" s="75"/>
      <c r="EA229" s="75"/>
      <c r="EB229" s="81"/>
      <c r="EC229" s="74"/>
      <c r="ED229" s="75"/>
      <c r="EE229" s="75"/>
      <c r="EF229" s="75"/>
      <c r="EG229" s="75"/>
      <c r="EH229" s="75"/>
      <c r="EI229" s="75"/>
      <c r="EJ229" s="75"/>
      <c r="EK229" s="75"/>
      <c r="EL229" s="75"/>
      <c r="EM229" s="75"/>
      <c r="EN229" s="81"/>
      <c r="EO229" s="74"/>
      <c r="EP229" s="75"/>
      <c r="EQ229" s="75"/>
      <c r="ER229" s="75"/>
      <c r="ES229" s="75"/>
      <c r="ET229" s="75"/>
      <c r="EU229" s="75"/>
      <c r="EV229" s="75"/>
      <c r="EW229" s="75"/>
      <c r="EX229" s="75"/>
      <c r="EY229" s="75"/>
      <c r="EZ229" s="81"/>
      <c r="FA229" s="74"/>
      <c r="FB229" s="75"/>
      <c r="FC229" s="75"/>
      <c r="FD229" s="75"/>
      <c r="FE229" s="75"/>
      <c r="FF229" s="75"/>
      <c r="FG229" s="75"/>
      <c r="FH229" s="75"/>
      <c r="FI229" s="75"/>
      <c r="FJ229" s="75"/>
      <c r="FK229" s="75"/>
      <c r="FL229" s="81"/>
      <c r="FM229" s="74"/>
      <c r="FN229" s="75"/>
      <c r="FO229" s="75"/>
      <c r="FP229" s="75"/>
      <c r="FQ229" s="75"/>
      <c r="FR229" s="75"/>
      <c r="FS229" s="75"/>
      <c r="FT229" s="75"/>
      <c r="FU229" s="75"/>
      <c r="FV229" s="75"/>
      <c r="FW229" s="75"/>
      <c r="FX229" s="81"/>
      <c r="FY229" s="74"/>
      <c r="FZ229" s="75"/>
      <c r="GA229" s="75"/>
      <c r="GB229" s="75"/>
      <c r="GC229" s="75"/>
      <c r="GD229" s="75"/>
      <c r="GE229" s="75"/>
      <c r="GF229" s="75"/>
      <c r="GG229" s="75"/>
      <c r="GH229" s="75"/>
      <c r="GI229" s="75"/>
      <c r="GJ229" s="81"/>
      <c r="GK229" s="74"/>
      <c r="GL229" s="75"/>
      <c r="GM229" s="75"/>
      <c r="GN229" s="75"/>
      <c r="GO229" s="75"/>
      <c r="GP229" s="75"/>
      <c r="GQ229" s="75"/>
      <c r="GR229" s="75"/>
      <c r="GS229" s="75"/>
      <c r="GT229" s="75"/>
      <c r="GU229" s="75"/>
      <c r="GV229" s="81"/>
      <c r="GW229" s="74"/>
      <c r="GX229" s="75"/>
      <c r="GY229" s="75"/>
      <c r="GZ229" s="75"/>
      <c r="HA229" s="75"/>
      <c r="HB229" s="75"/>
      <c r="HC229" s="75"/>
      <c r="HD229" s="75"/>
      <c r="HE229" s="75"/>
      <c r="HF229" s="75"/>
      <c r="HG229" s="75"/>
      <c r="HH229" s="81"/>
      <c r="HI229" s="75"/>
    </row>
    <row r="230" ht="15.0" customHeight="1">
      <c r="A230" s="74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81"/>
      <c r="M230" s="74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81"/>
      <c r="Y230" s="74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81"/>
      <c r="AK230" s="74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81"/>
      <c r="AW230" s="74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81"/>
      <c r="BI230" s="74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81"/>
      <c r="BU230" s="74"/>
      <c r="BV230" s="75"/>
      <c r="BW230" s="75"/>
      <c r="BX230" s="75"/>
      <c r="BY230" s="75"/>
      <c r="BZ230" s="75"/>
      <c r="CA230" s="75"/>
      <c r="CB230" s="75"/>
      <c r="CC230" s="75"/>
      <c r="CD230" s="75"/>
      <c r="CE230" s="75"/>
      <c r="CF230" s="81"/>
      <c r="CG230" s="74"/>
      <c r="CH230" s="75"/>
      <c r="CI230" s="75"/>
      <c r="CJ230" s="75"/>
      <c r="CK230" s="75"/>
      <c r="CL230" s="75"/>
      <c r="CM230" s="75"/>
      <c r="CN230" s="75"/>
      <c r="CO230" s="75"/>
      <c r="CP230" s="75"/>
      <c r="CQ230" s="75"/>
      <c r="CR230" s="81"/>
      <c r="CS230" s="74"/>
      <c r="CT230" s="75"/>
      <c r="CU230" s="75"/>
      <c r="CV230" s="75"/>
      <c r="CW230" s="75"/>
      <c r="CX230" s="75"/>
      <c r="CY230" s="75"/>
      <c r="CZ230" s="75"/>
      <c r="DA230" s="75"/>
      <c r="DB230" s="75"/>
      <c r="DC230" s="75"/>
      <c r="DD230" s="81"/>
      <c r="DE230" s="74"/>
      <c r="DF230" s="75"/>
      <c r="DG230" s="75"/>
      <c r="DH230" s="75"/>
      <c r="DI230" s="75"/>
      <c r="DJ230" s="75"/>
      <c r="DK230" s="75"/>
      <c r="DL230" s="75"/>
      <c r="DM230" s="75"/>
      <c r="DN230" s="75"/>
      <c r="DO230" s="75"/>
      <c r="DP230" s="81"/>
      <c r="DQ230" s="74"/>
      <c r="DR230" s="75"/>
      <c r="DS230" s="75"/>
      <c r="DT230" s="75"/>
      <c r="DU230" s="75"/>
      <c r="DV230" s="75"/>
      <c r="DW230" s="75"/>
      <c r="DX230" s="75"/>
      <c r="DY230" s="75"/>
      <c r="DZ230" s="75"/>
      <c r="EA230" s="75"/>
      <c r="EB230" s="81"/>
      <c r="EC230" s="74"/>
      <c r="ED230" s="75"/>
      <c r="EE230" s="75"/>
      <c r="EF230" s="75"/>
      <c r="EG230" s="75"/>
      <c r="EH230" s="75"/>
      <c r="EI230" s="75"/>
      <c r="EJ230" s="75"/>
      <c r="EK230" s="75"/>
      <c r="EL230" s="75"/>
      <c r="EM230" s="75"/>
      <c r="EN230" s="81"/>
      <c r="EO230" s="74"/>
      <c r="EP230" s="75"/>
      <c r="EQ230" s="75"/>
      <c r="ER230" s="75"/>
      <c r="ES230" s="75"/>
      <c r="ET230" s="75"/>
      <c r="EU230" s="75"/>
      <c r="EV230" s="75"/>
      <c r="EW230" s="75"/>
      <c r="EX230" s="75"/>
      <c r="EY230" s="75"/>
      <c r="EZ230" s="81"/>
      <c r="FA230" s="74"/>
      <c r="FB230" s="75"/>
      <c r="FC230" s="75"/>
      <c r="FD230" s="75"/>
      <c r="FE230" s="75"/>
      <c r="FF230" s="75"/>
      <c r="FG230" s="75"/>
      <c r="FH230" s="75"/>
      <c r="FI230" s="75"/>
      <c r="FJ230" s="75"/>
      <c r="FK230" s="75"/>
      <c r="FL230" s="81"/>
      <c r="FM230" s="74"/>
      <c r="FN230" s="75"/>
      <c r="FO230" s="75"/>
      <c r="FP230" s="75"/>
      <c r="FQ230" s="75"/>
      <c r="FR230" s="75"/>
      <c r="FS230" s="75"/>
      <c r="FT230" s="75"/>
      <c r="FU230" s="75"/>
      <c r="FV230" s="75"/>
      <c r="FW230" s="75"/>
      <c r="FX230" s="81"/>
      <c r="FY230" s="74"/>
      <c r="FZ230" s="75"/>
      <c r="GA230" s="75"/>
      <c r="GB230" s="75"/>
      <c r="GC230" s="75"/>
      <c r="GD230" s="75"/>
      <c r="GE230" s="75"/>
      <c r="GF230" s="75"/>
      <c r="GG230" s="75"/>
      <c r="GH230" s="75"/>
      <c r="GI230" s="75"/>
      <c r="GJ230" s="81"/>
      <c r="GK230" s="74"/>
      <c r="GL230" s="75"/>
      <c r="GM230" s="75"/>
      <c r="GN230" s="75"/>
      <c r="GO230" s="75"/>
      <c r="GP230" s="75"/>
      <c r="GQ230" s="75"/>
      <c r="GR230" s="75"/>
      <c r="GS230" s="75"/>
      <c r="GT230" s="75"/>
      <c r="GU230" s="75"/>
      <c r="GV230" s="81"/>
      <c r="GW230" s="74"/>
      <c r="GX230" s="75"/>
      <c r="GY230" s="75"/>
      <c r="GZ230" s="75"/>
      <c r="HA230" s="75"/>
      <c r="HB230" s="75"/>
      <c r="HC230" s="75"/>
      <c r="HD230" s="75"/>
      <c r="HE230" s="75"/>
      <c r="HF230" s="75"/>
      <c r="HG230" s="75"/>
      <c r="HH230" s="81"/>
      <c r="HI230" s="75"/>
    </row>
    <row r="231" ht="15.0" customHeight="1">
      <c r="A231" s="74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81"/>
      <c r="M231" s="74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81"/>
      <c r="Y231" s="74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81"/>
      <c r="AK231" s="74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81"/>
      <c r="AW231" s="74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81"/>
      <c r="BI231" s="74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81"/>
      <c r="BU231" s="74"/>
      <c r="BV231" s="75"/>
      <c r="BW231" s="75"/>
      <c r="BX231" s="75"/>
      <c r="BY231" s="75"/>
      <c r="BZ231" s="75"/>
      <c r="CA231" s="75"/>
      <c r="CB231" s="75"/>
      <c r="CC231" s="75"/>
      <c r="CD231" s="75"/>
      <c r="CE231" s="75"/>
      <c r="CF231" s="81"/>
      <c r="CG231" s="74"/>
      <c r="CH231" s="75"/>
      <c r="CI231" s="75"/>
      <c r="CJ231" s="75"/>
      <c r="CK231" s="75"/>
      <c r="CL231" s="75"/>
      <c r="CM231" s="75"/>
      <c r="CN231" s="75"/>
      <c r="CO231" s="75"/>
      <c r="CP231" s="75"/>
      <c r="CQ231" s="75"/>
      <c r="CR231" s="81"/>
      <c r="CS231" s="74"/>
      <c r="CT231" s="75"/>
      <c r="CU231" s="75"/>
      <c r="CV231" s="75"/>
      <c r="CW231" s="75"/>
      <c r="CX231" s="75"/>
      <c r="CY231" s="75"/>
      <c r="CZ231" s="75"/>
      <c r="DA231" s="75"/>
      <c r="DB231" s="75"/>
      <c r="DC231" s="75"/>
      <c r="DD231" s="81"/>
      <c r="DE231" s="74"/>
      <c r="DF231" s="75"/>
      <c r="DG231" s="75"/>
      <c r="DH231" s="75"/>
      <c r="DI231" s="75"/>
      <c r="DJ231" s="75"/>
      <c r="DK231" s="75"/>
      <c r="DL231" s="75"/>
      <c r="DM231" s="75"/>
      <c r="DN231" s="75"/>
      <c r="DO231" s="75"/>
      <c r="DP231" s="81"/>
      <c r="DQ231" s="74"/>
      <c r="DR231" s="75"/>
      <c r="DS231" s="75"/>
      <c r="DT231" s="75"/>
      <c r="DU231" s="75"/>
      <c r="DV231" s="75"/>
      <c r="DW231" s="75"/>
      <c r="DX231" s="75"/>
      <c r="DY231" s="75"/>
      <c r="DZ231" s="75"/>
      <c r="EA231" s="75"/>
      <c r="EB231" s="81"/>
      <c r="EC231" s="74"/>
      <c r="ED231" s="75"/>
      <c r="EE231" s="75"/>
      <c r="EF231" s="75"/>
      <c r="EG231" s="75"/>
      <c r="EH231" s="75"/>
      <c r="EI231" s="75"/>
      <c r="EJ231" s="75"/>
      <c r="EK231" s="75"/>
      <c r="EL231" s="75"/>
      <c r="EM231" s="75"/>
      <c r="EN231" s="81"/>
      <c r="EO231" s="74"/>
      <c r="EP231" s="75"/>
      <c r="EQ231" s="75"/>
      <c r="ER231" s="75"/>
      <c r="ES231" s="75"/>
      <c r="ET231" s="75"/>
      <c r="EU231" s="75"/>
      <c r="EV231" s="75"/>
      <c r="EW231" s="75"/>
      <c r="EX231" s="75"/>
      <c r="EY231" s="75"/>
      <c r="EZ231" s="81"/>
      <c r="FA231" s="74"/>
      <c r="FB231" s="75"/>
      <c r="FC231" s="75"/>
      <c r="FD231" s="75"/>
      <c r="FE231" s="75"/>
      <c r="FF231" s="75"/>
      <c r="FG231" s="75"/>
      <c r="FH231" s="75"/>
      <c r="FI231" s="75"/>
      <c r="FJ231" s="75"/>
      <c r="FK231" s="75"/>
      <c r="FL231" s="81"/>
      <c r="FM231" s="74"/>
      <c r="FN231" s="75"/>
      <c r="FO231" s="75"/>
      <c r="FP231" s="75"/>
      <c r="FQ231" s="75"/>
      <c r="FR231" s="75"/>
      <c r="FS231" s="75"/>
      <c r="FT231" s="75"/>
      <c r="FU231" s="75"/>
      <c r="FV231" s="75"/>
      <c r="FW231" s="75"/>
      <c r="FX231" s="81"/>
      <c r="FY231" s="74"/>
      <c r="FZ231" s="75"/>
      <c r="GA231" s="75"/>
      <c r="GB231" s="75"/>
      <c r="GC231" s="75"/>
      <c r="GD231" s="75"/>
      <c r="GE231" s="75"/>
      <c r="GF231" s="75"/>
      <c r="GG231" s="75"/>
      <c r="GH231" s="75"/>
      <c r="GI231" s="75"/>
      <c r="GJ231" s="81"/>
      <c r="GK231" s="74"/>
      <c r="GL231" s="75"/>
      <c r="GM231" s="75"/>
      <c r="GN231" s="75"/>
      <c r="GO231" s="75"/>
      <c r="GP231" s="75"/>
      <c r="GQ231" s="75"/>
      <c r="GR231" s="75"/>
      <c r="GS231" s="75"/>
      <c r="GT231" s="75"/>
      <c r="GU231" s="75"/>
      <c r="GV231" s="81"/>
      <c r="GW231" s="74"/>
      <c r="GX231" s="75"/>
      <c r="GY231" s="75"/>
      <c r="GZ231" s="75"/>
      <c r="HA231" s="75"/>
      <c r="HB231" s="75"/>
      <c r="HC231" s="75"/>
      <c r="HD231" s="75"/>
      <c r="HE231" s="75"/>
      <c r="HF231" s="75"/>
      <c r="HG231" s="75"/>
      <c r="HH231" s="81"/>
      <c r="HI231" s="75"/>
    </row>
    <row r="232" ht="15.0" customHeight="1">
      <c r="A232" s="74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81"/>
      <c r="M232" s="74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81"/>
      <c r="Y232" s="74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81"/>
      <c r="AK232" s="74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81"/>
      <c r="AW232" s="74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81"/>
      <c r="BI232" s="74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81"/>
      <c r="BU232" s="74"/>
      <c r="BV232" s="75"/>
      <c r="BW232" s="75"/>
      <c r="BX232" s="75"/>
      <c r="BY232" s="75"/>
      <c r="BZ232" s="75"/>
      <c r="CA232" s="75"/>
      <c r="CB232" s="75"/>
      <c r="CC232" s="75"/>
      <c r="CD232" s="75"/>
      <c r="CE232" s="75"/>
      <c r="CF232" s="81"/>
      <c r="CG232" s="74"/>
      <c r="CH232" s="75"/>
      <c r="CI232" s="75"/>
      <c r="CJ232" s="75"/>
      <c r="CK232" s="75"/>
      <c r="CL232" s="75"/>
      <c r="CM232" s="75"/>
      <c r="CN232" s="75"/>
      <c r="CO232" s="75"/>
      <c r="CP232" s="75"/>
      <c r="CQ232" s="75"/>
      <c r="CR232" s="81"/>
      <c r="CS232" s="74"/>
      <c r="CT232" s="75"/>
      <c r="CU232" s="75"/>
      <c r="CV232" s="75"/>
      <c r="CW232" s="75"/>
      <c r="CX232" s="75"/>
      <c r="CY232" s="75"/>
      <c r="CZ232" s="75"/>
      <c r="DA232" s="75"/>
      <c r="DB232" s="75"/>
      <c r="DC232" s="75"/>
      <c r="DD232" s="81"/>
      <c r="DE232" s="74"/>
      <c r="DF232" s="75"/>
      <c r="DG232" s="75"/>
      <c r="DH232" s="75"/>
      <c r="DI232" s="75"/>
      <c r="DJ232" s="75"/>
      <c r="DK232" s="75"/>
      <c r="DL232" s="75"/>
      <c r="DM232" s="75"/>
      <c r="DN232" s="75"/>
      <c r="DO232" s="75"/>
      <c r="DP232" s="81"/>
      <c r="DQ232" s="74"/>
      <c r="DR232" s="75"/>
      <c r="DS232" s="75"/>
      <c r="DT232" s="75"/>
      <c r="DU232" s="75"/>
      <c r="DV232" s="75"/>
      <c r="DW232" s="75"/>
      <c r="DX232" s="75"/>
      <c r="DY232" s="75"/>
      <c r="DZ232" s="75"/>
      <c r="EA232" s="75"/>
      <c r="EB232" s="81"/>
      <c r="EC232" s="74"/>
      <c r="ED232" s="75"/>
      <c r="EE232" s="75"/>
      <c r="EF232" s="75"/>
      <c r="EG232" s="75"/>
      <c r="EH232" s="75"/>
      <c r="EI232" s="75"/>
      <c r="EJ232" s="75"/>
      <c r="EK232" s="75"/>
      <c r="EL232" s="75"/>
      <c r="EM232" s="75"/>
      <c r="EN232" s="81"/>
      <c r="EO232" s="74"/>
      <c r="EP232" s="75"/>
      <c r="EQ232" s="75"/>
      <c r="ER232" s="75"/>
      <c r="ES232" s="75"/>
      <c r="ET232" s="75"/>
      <c r="EU232" s="75"/>
      <c r="EV232" s="75"/>
      <c r="EW232" s="75"/>
      <c r="EX232" s="75"/>
      <c r="EY232" s="75"/>
      <c r="EZ232" s="81"/>
      <c r="FA232" s="74"/>
      <c r="FB232" s="75"/>
      <c r="FC232" s="75"/>
      <c r="FD232" s="75"/>
      <c r="FE232" s="75"/>
      <c r="FF232" s="75"/>
      <c r="FG232" s="75"/>
      <c r="FH232" s="75"/>
      <c r="FI232" s="75"/>
      <c r="FJ232" s="75"/>
      <c r="FK232" s="75"/>
      <c r="FL232" s="81"/>
      <c r="FM232" s="74"/>
      <c r="FN232" s="75"/>
      <c r="FO232" s="75"/>
      <c r="FP232" s="75"/>
      <c r="FQ232" s="75"/>
      <c r="FR232" s="75"/>
      <c r="FS232" s="75"/>
      <c r="FT232" s="75"/>
      <c r="FU232" s="75"/>
      <c r="FV232" s="75"/>
      <c r="FW232" s="75"/>
      <c r="FX232" s="81"/>
      <c r="FY232" s="74"/>
      <c r="FZ232" s="75"/>
      <c r="GA232" s="75"/>
      <c r="GB232" s="75"/>
      <c r="GC232" s="75"/>
      <c r="GD232" s="75"/>
      <c r="GE232" s="75"/>
      <c r="GF232" s="75"/>
      <c r="GG232" s="75"/>
      <c r="GH232" s="75"/>
      <c r="GI232" s="75"/>
      <c r="GJ232" s="81"/>
      <c r="GK232" s="74"/>
      <c r="GL232" s="75"/>
      <c r="GM232" s="75"/>
      <c r="GN232" s="75"/>
      <c r="GO232" s="75"/>
      <c r="GP232" s="75"/>
      <c r="GQ232" s="75"/>
      <c r="GR232" s="75"/>
      <c r="GS232" s="75"/>
      <c r="GT232" s="75"/>
      <c r="GU232" s="75"/>
      <c r="GV232" s="81"/>
      <c r="GW232" s="74"/>
      <c r="GX232" s="75"/>
      <c r="GY232" s="75"/>
      <c r="GZ232" s="75"/>
      <c r="HA232" s="75"/>
      <c r="HB232" s="75"/>
      <c r="HC232" s="75"/>
      <c r="HD232" s="75"/>
      <c r="HE232" s="75"/>
      <c r="HF232" s="75"/>
      <c r="HG232" s="75"/>
      <c r="HH232" s="81"/>
      <c r="HI232" s="75"/>
    </row>
    <row r="233" ht="15.0" customHeight="1">
      <c r="A233" s="74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81"/>
      <c r="M233" s="74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81"/>
      <c r="Y233" s="74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81"/>
      <c r="AK233" s="74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81"/>
      <c r="AW233" s="74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81"/>
      <c r="BI233" s="74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81"/>
      <c r="BU233" s="74"/>
      <c r="BV233" s="75"/>
      <c r="BW233" s="75"/>
      <c r="BX233" s="75"/>
      <c r="BY233" s="75"/>
      <c r="BZ233" s="75"/>
      <c r="CA233" s="75"/>
      <c r="CB233" s="75"/>
      <c r="CC233" s="75"/>
      <c r="CD233" s="75"/>
      <c r="CE233" s="75"/>
      <c r="CF233" s="81"/>
      <c r="CG233" s="74"/>
      <c r="CH233" s="75"/>
      <c r="CI233" s="75"/>
      <c r="CJ233" s="75"/>
      <c r="CK233" s="75"/>
      <c r="CL233" s="75"/>
      <c r="CM233" s="75"/>
      <c r="CN233" s="75"/>
      <c r="CO233" s="75"/>
      <c r="CP233" s="75"/>
      <c r="CQ233" s="75"/>
      <c r="CR233" s="81"/>
      <c r="CS233" s="74"/>
      <c r="CT233" s="75"/>
      <c r="CU233" s="75"/>
      <c r="CV233" s="75"/>
      <c r="CW233" s="75"/>
      <c r="CX233" s="75"/>
      <c r="CY233" s="75"/>
      <c r="CZ233" s="75"/>
      <c r="DA233" s="75"/>
      <c r="DB233" s="75"/>
      <c r="DC233" s="75"/>
      <c r="DD233" s="81"/>
      <c r="DE233" s="74"/>
      <c r="DF233" s="75"/>
      <c r="DG233" s="75"/>
      <c r="DH233" s="75"/>
      <c r="DI233" s="75"/>
      <c r="DJ233" s="75"/>
      <c r="DK233" s="75"/>
      <c r="DL233" s="75"/>
      <c r="DM233" s="75"/>
      <c r="DN233" s="75"/>
      <c r="DO233" s="75"/>
      <c r="DP233" s="81"/>
      <c r="DQ233" s="74"/>
      <c r="DR233" s="75"/>
      <c r="DS233" s="75"/>
      <c r="DT233" s="75"/>
      <c r="DU233" s="75"/>
      <c r="DV233" s="75"/>
      <c r="DW233" s="75"/>
      <c r="DX233" s="75"/>
      <c r="DY233" s="75"/>
      <c r="DZ233" s="75"/>
      <c r="EA233" s="75"/>
      <c r="EB233" s="81"/>
      <c r="EC233" s="74"/>
      <c r="ED233" s="75"/>
      <c r="EE233" s="75"/>
      <c r="EF233" s="75"/>
      <c r="EG233" s="75"/>
      <c r="EH233" s="75"/>
      <c r="EI233" s="75"/>
      <c r="EJ233" s="75"/>
      <c r="EK233" s="75"/>
      <c r="EL233" s="75"/>
      <c r="EM233" s="75"/>
      <c r="EN233" s="81"/>
      <c r="EO233" s="74"/>
      <c r="EP233" s="75"/>
      <c r="EQ233" s="75"/>
      <c r="ER233" s="75"/>
      <c r="ES233" s="75"/>
      <c r="ET233" s="75"/>
      <c r="EU233" s="75"/>
      <c r="EV233" s="75"/>
      <c r="EW233" s="75"/>
      <c r="EX233" s="75"/>
      <c r="EY233" s="75"/>
      <c r="EZ233" s="81"/>
      <c r="FA233" s="74"/>
      <c r="FB233" s="75"/>
      <c r="FC233" s="75"/>
      <c r="FD233" s="75"/>
      <c r="FE233" s="75"/>
      <c r="FF233" s="75"/>
      <c r="FG233" s="75"/>
      <c r="FH233" s="75"/>
      <c r="FI233" s="75"/>
      <c r="FJ233" s="75"/>
      <c r="FK233" s="75"/>
      <c r="FL233" s="81"/>
      <c r="FM233" s="74"/>
      <c r="FN233" s="75"/>
      <c r="FO233" s="75"/>
      <c r="FP233" s="75"/>
      <c r="FQ233" s="75"/>
      <c r="FR233" s="75"/>
      <c r="FS233" s="75"/>
      <c r="FT233" s="75"/>
      <c r="FU233" s="75"/>
      <c r="FV233" s="75"/>
      <c r="FW233" s="75"/>
      <c r="FX233" s="81"/>
      <c r="FY233" s="74"/>
      <c r="FZ233" s="75"/>
      <c r="GA233" s="75"/>
      <c r="GB233" s="75"/>
      <c r="GC233" s="75"/>
      <c r="GD233" s="75"/>
      <c r="GE233" s="75"/>
      <c r="GF233" s="75"/>
      <c r="GG233" s="75"/>
      <c r="GH233" s="75"/>
      <c r="GI233" s="75"/>
      <c r="GJ233" s="81"/>
      <c r="GK233" s="74"/>
      <c r="GL233" s="75"/>
      <c r="GM233" s="75"/>
      <c r="GN233" s="75"/>
      <c r="GO233" s="75"/>
      <c r="GP233" s="75"/>
      <c r="GQ233" s="75"/>
      <c r="GR233" s="75"/>
      <c r="GS233" s="75"/>
      <c r="GT233" s="75"/>
      <c r="GU233" s="75"/>
      <c r="GV233" s="81"/>
      <c r="GW233" s="74"/>
      <c r="GX233" s="75"/>
      <c r="GY233" s="75"/>
      <c r="GZ233" s="75"/>
      <c r="HA233" s="75"/>
      <c r="HB233" s="75"/>
      <c r="HC233" s="75"/>
      <c r="HD233" s="75"/>
      <c r="HE233" s="75"/>
      <c r="HF233" s="75"/>
      <c r="HG233" s="75"/>
      <c r="HH233" s="81"/>
      <c r="HI233" s="75"/>
    </row>
    <row r="234" ht="15.0" customHeight="1">
      <c r="A234" s="74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81"/>
      <c r="M234" s="74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81"/>
      <c r="Y234" s="74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81"/>
      <c r="AK234" s="74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81"/>
      <c r="AW234" s="74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81"/>
      <c r="BI234" s="74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81"/>
      <c r="BU234" s="74"/>
      <c r="BV234" s="75"/>
      <c r="BW234" s="75"/>
      <c r="BX234" s="75"/>
      <c r="BY234" s="75"/>
      <c r="BZ234" s="75"/>
      <c r="CA234" s="75"/>
      <c r="CB234" s="75"/>
      <c r="CC234" s="75"/>
      <c r="CD234" s="75"/>
      <c r="CE234" s="75"/>
      <c r="CF234" s="81"/>
      <c r="CG234" s="74"/>
      <c r="CH234" s="75"/>
      <c r="CI234" s="75"/>
      <c r="CJ234" s="75"/>
      <c r="CK234" s="75"/>
      <c r="CL234" s="75"/>
      <c r="CM234" s="75"/>
      <c r="CN234" s="75"/>
      <c r="CO234" s="75"/>
      <c r="CP234" s="75"/>
      <c r="CQ234" s="75"/>
      <c r="CR234" s="81"/>
      <c r="CS234" s="74"/>
      <c r="CT234" s="75"/>
      <c r="CU234" s="75"/>
      <c r="CV234" s="75"/>
      <c r="CW234" s="75"/>
      <c r="CX234" s="75"/>
      <c r="CY234" s="75"/>
      <c r="CZ234" s="75"/>
      <c r="DA234" s="75"/>
      <c r="DB234" s="75"/>
      <c r="DC234" s="75"/>
      <c r="DD234" s="81"/>
      <c r="DE234" s="74"/>
      <c r="DF234" s="75"/>
      <c r="DG234" s="75"/>
      <c r="DH234" s="75"/>
      <c r="DI234" s="75"/>
      <c r="DJ234" s="75"/>
      <c r="DK234" s="75"/>
      <c r="DL234" s="75"/>
      <c r="DM234" s="75"/>
      <c r="DN234" s="75"/>
      <c r="DO234" s="75"/>
      <c r="DP234" s="81"/>
      <c r="DQ234" s="74"/>
      <c r="DR234" s="75"/>
      <c r="DS234" s="75"/>
      <c r="DT234" s="75"/>
      <c r="DU234" s="75"/>
      <c r="DV234" s="75"/>
      <c r="DW234" s="75"/>
      <c r="DX234" s="75"/>
      <c r="DY234" s="75"/>
      <c r="DZ234" s="75"/>
      <c r="EA234" s="75"/>
      <c r="EB234" s="81"/>
      <c r="EC234" s="74"/>
      <c r="ED234" s="75"/>
      <c r="EE234" s="75"/>
      <c r="EF234" s="75"/>
      <c r="EG234" s="75"/>
      <c r="EH234" s="75"/>
      <c r="EI234" s="75"/>
      <c r="EJ234" s="75"/>
      <c r="EK234" s="75"/>
      <c r="EL234" s="75"/>
      <c r="EM234" s="75"/>
      <c r="EN234" s="81"/>
      <c r="EO234" s="74"/>
      <c r="EP234" s="75"/>
      <c r="EQ234" s="75"/>
      <c r="ER234" s="75"/>
      <c r="ES234" s="75"/>
      <c r="ET234" s="75"/>
      <c r="EU234" s="75"/>
      <c r="EV234" s="75"/>
      <c r="EW234" s="75"/>
      <c r="EX234" s="75"/>
      <c r="EY234" s="75"/>
      <c r="EZ234" s="81"/>
      <c r="FA234" s="74"/>
      <c r="FB234" s="75"/>
      <c r="FC234" s="75"/>
      <c r="FD234" s="75"/>
      <c r="FE234" s="75"/>
      <c r="FF234" s="75"/>
      <c r="FG234" s="75"/>
      <c r="FH234" s="75"/>
      <c r="FI234" s="75"/>
      <c r="FJ234" s="75"/>
      <c r="FK234" s="75"/>
      <c r="FL234" s="81"/>
      <c r="FM234" s="74"/>
      <c r="FN234" s="75"/>
      <c r="FO234" s="75"/>
      <c r="FP234" s="75"/>
      <c r="FQ234" s="75"/>
      <c r="FR234" s="75"/>
      <c r="FS234" s="75"/>
      <c r="FT234" s="75"/>
      <c r="FU234" s="75"/>
      <c r="FV234" s="75"/>
      <c r="FW234" s="75"/>
      <c r="FX234" s="81"/>
      <c r="FY234" s="74"/>
      <c r="FZ234" s="75"/>
      <c r="GA234" s="75"/>
      <c r="GB234" s="75"/>
      <c r="GC234" s="75"/>
      <c r="GD234" s="75"/>
      <c r="GE234" s="75"/>
      <c r="GF234" s="75"/>
      <c r="GG234" s="75"/>
      <c r="GH234" s="75"/>
      <c r="GI234" s="75"/>
      <c r="GJ234" s="81"/>
      <c r="GK234" s="74"/>
      <c r="GL234" s="75"/>
      <c r="GM234" s="75"/>
      <c r="GN234" s="75"/>
      <c r="GO234" s="75"/>
      <c r="GP234" s="75"/>
      <c r="GQ234" s="75"/>
      <c r="GR234" s="75"/>
      <c r="GS234" s="75"/>
      <c r="GT234" s="75"/>
      <c r="GU234" s="75"/>
      <c r="GV234" s="81"/>
      <c r="GW234" s="74"/>
      <c r="GX234" s="75"/>
      <c r="GY234" s="75"/>
      <c r="GZ234" s="75"/>
      <c r="HA234" s="75"/>
      <c r="HB234" s="75"/>
      <c r="HC234" s="75"/>
      <c r="HD234" s="75"/>
      <c r="HE234" s="75"/>
      <c r="HF234" s="75"/>
      <c r="HG234" s="75"/>
      <c r="HH234" s="81"/>
      <c r="HI234" s="75"/>
    </row>
    <row r="235" ht="15.0" customHeight="1">
      <c r="A235" s="74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81"/>
      <c r="M235" s="74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81"/>
      <c r="Y235" s="74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81"/>
      <c r="AK235" s="74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81"/>
      <c r="AW235" s="74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81"/>
      <c r="BI235" s="74"/>
      <c r="BJ235" s="75"/>
      <c r="BK235" s="75"/>
      <c r="BL235" s="75"/>
      <c r="BM235" s="75"/>
      <c r="BN235" s="75"/>
      <c r="BO235" s="75"/>
      <c r="BP235" s="75"/>
      <c r="BQ235" s="75"/>
      <c r="BR235" s="75"/>
      <c r="BS235" s="75"/>
      <c r="BT235" s="81"/>
      <c r="BU235" s="74"/>
      <c r="BV235" s="75"/>
      <c r="BW235" s="75"/>
      <c r="BX235" s="75"/>
      <c r="BY235" s="75"/>
      <c r="BZ235" s="75"/>
      <c r="CA235" s="75"/>
      <c r="CB235" s="75"/>
      <c r="CC235" s="75"/>
      <c r="CD235" s="75"/>
      <c r="CE235" s="75"/>
      <c r="CF235" s="81"/>
      <c r="CG235" s="74"/>
      <c r="CH235" s="75"/>
      <c r="CI235" s="75"/>
      <c r="CJ235" s="75"/>
      <c r="CK235" s="75"/>
      <c r="CL235" s="75"/>
      <c r="CM235" s="75"/>
      <c r="CN235" s="75"/>
      <c r="CO235" s="75"/>
      <c r="CP235" s="75"/>
      <c r="CQ235" s="75"/>
      <c r="CR235" s="81"/>
      <c r="CS235" s="74"/>
      <c r="CT235" s="75"/>
      <c r="CU235" s="75"/>
      <c r="CV235" s="75"/>
      <c r="CW235" s="75"/>
      <c r="CX235" s="75"/>
      <c r="CY235" s="75"/>
      <c r="CZ235" s="75"/>
      <c r="DA235" s="75"/>
      <c r="DB235" s="75"/>
      <c r="DC235" s="75"/>
      <c r="DD235" s="81"/>
      <c r="DE235" s="74"/>
      <c r="DF235" s="75"/>
      <c r="DG235" s="75"/>
      <c r="DH235" s="75"/>
      <c r="DI235" s="75"/>
      <c r="DJ235" s="75"/>
      <c r="DK235" s="75"/>
      <c r="DL235" s="75"/>
      <c r="DM235" s="75"/>
      <c r="DN235" s="75"/>
      <c r="DO235" s="75"/>
      <c r="DP235" s="81"/>
      <c r="DQ235" s="74"/>
      <c r="DR235" s="75"/>
      <c r="DS235" s="75"/>
      <c r="DT235" s="75"/>
      <c r="DU235" s="75"/>
      <c r="DV235" s="75"/>
      <c r="DW235" s="75"/>
      <c r="DX235" s="75"/>
      <c r="DY235" s="75"/>
      <c r="DZ235" s="75"/>
      <c r="EA235" s="75"/>
      <c r="EB235" s="81"/>
      <c r="EC235" s="74"/>
      <c r="ED235" s="75"/>
      <c r="EE235" s="75"/>
      <c r="EF235" s="75"/>
      <c r="EG235" s="75"/>
      <c r="EH235" s="75"/>
      <c r="EI235" s="75"/>
      <c r="EJ235" s="75"/>
      <c r="EK235" s="75"/>
      <c r="EL235" s="75"/>
      <c r="EM235" s="75"/>
      <c r="EN235" s="81"/>
      <c r="EO235" s="74"/>
      <c r="EP235" s="75"/>
      <c r="EQ235" s="75"/>
      <c r="ER235" s="75"/>
      <c r="ES235" s="75"/>
      <c r="ET235" s="75"/>
      <c r="EU235" s="75"/>
      <c r="EV235" s="75"/>
      <c r="EW235" s="75"/>
      <c r="EX235" s="75"/>
      <c r="EY235" s="75"/>
      <c r="EZ235" s="81"/>
      <c r="FA235" s="74"/>
      <c r="FB235" s="75"/>
      <c r="FC235" s="75"/>
      <c r="FD235" s="75"/>
      <c r="FE235" s="75"/>
      <c r="FF235" s="75"/>
      <c r="FG235" s="75"/>
      <c r="FH235" s="75"/>
      <c r="FI235" s="75"/>
      <c r="FJ235" s="75"/>
      <c r="FK235" s="75"/>
      <c r="FL235" s="81"/>
      <c r="FM235" s="74"/>
      <c r="FN235" s="75"/>
      <c r="FO235" s="75"/>
      <c r="FP235" s="75"/>
      <c r="FQ235" s="75"/>
      <c r="FR235" s="75"/>
      <c r="FS235" s="75"/>
      <c r="FT235" s="75"/>
      <c r="FU235" s="75"/>
      <c r="FV235" s="75"/>
      <c r="FW235" s="75"/>
      <c r="FX235" s="81"/>
      <c r="FY235" s="74"/>
      <c r="FZ235" s="75"/>
      <c r="GA235" s="75"/>
      <c r="GB235" s="75"/>
      <c r="GC235" s="75"/>
      <c r="GD235" s="75"/>
      <c r="GE235" s="75"/>
      <c r="GF235" s="75"/>
      <c r="GG235" s="75"/>
      <c r="GH235" s="75"/>
      <c r="GI235" s="75"/>
      <c r="GJ235" s="81"/>
      <c r="GK235" s="74"/>
      <c r="GL235" s="75"/>
      <c r="GM235" s="75"/>
      <c r="GN235" s="75"/>
      <c r="GO235" s="75"/>
      <c r="GP235" s="75"/>
      <c r="GQ235" s="75"/>
      <c r="GR235" s="75"/>
      <c r="GS235" s="75"/>
      <c r="GT235" s="75"/>
      <c r="GU235" s="75"/>
      <c r="GV235" s="81"/>
      <c r="GW235" s="74"/>
      <c r="GX235" s="75"/>
      <c r="GY235" s="75"/>
      <c r="GZ235" s="75"/>
      <c r="HA235" s="75"/>
      <c r="HB235" s="75"/>
      <c r="HC235" s="75"/>
      <c r="HD235" s="75"/>
      <c r="HE235" s="75"/>
      <c r="HF235" s="75"/>
      <c r="HG235" s="75"/>
      <c r="HH235" s="81"/>
      <c r="HI235" s="75"/>
    </row>
    <row r="236" ht="15.0" customHeight="1">
      <c r="A236" s="74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81"/>
      <c r="M236" s="74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81"/>
      <c r="Y236" s="74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81"/>
      <c r="AK236" s="74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81"/>
      <c r="AW236" s="74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81"/>
      <c r="BI236" s="74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81"/>
      <c r="BU236" s="74"/>
      <c r="BV236" s="75"/>
      <c r="BW236" s="75"/>
      <c r="BX236" s="75"/>
      <c r="BY236" s="75"/>
      <c r="BZ236" s="75"/>
      <c r="CA236" s="75"/>
      <c r="CB236" s="75"/>
      <c r="CC236" s="75"/>
      <c r="CD236" s="75"/>
      <c r="CE236" s="75"/>
      <c r="CF236" s="81"/>
      <c r="CG236" s="74"/>
      <c r="CH236" s="75"/>
      <c r="CI236" s="75"/>
      <c r="CJ236" s="75"/>
      <c r="CK236" s="75"/>
      <c r="CL236" s="75"/>
      <c r="CM236" s="75"/>
      <c r="CN236" s="75"/>
      <c r="CO236" s="75"/>
      <c r="CP236" s="75"/>
      <c r="CQ236" s="75"/>
      <c r="CR236" s="81"/>
      <c r="CS236" s="74"/>
      <c r="CT236" s="75"/>
      <c r="CU236" s="75"/>
      <c r="CV236" s="75"/>
      <c r="CW236" s="75"/>
      <c r="CX236" s="75"/>
      <c r="CY236" s="75"/>
      <c r="CZ236" s="75"/>
      <c r="DA236" s="75"/>
      <c r="DB236" s="75"/>
      <c r="DC236" s="75"/>
      <c r="DD236" s="81"/>
      <c r="DE236" s="74"/>
      <c r="DF236" s="75"/>
      <c r="DG236" s="75"/>
      <c r="DH236" s="75"/>
      <c r="DI236" s="75"/>
      <c r="DJ236" s="75"/>
      <c r="DK236" s="75"/>
      <c r="DL236" s="75"/>
      <c r="DM236" s="75"/>
      <c r="DN236" s="75"/>
      <c r="DO236" s="75"/>
      <c r="DP236" s="81"/>
      <c r="DQ236" s="74"/>
      <c r="DR236" s="75"/>
      <c r="DS236" s="75"/>
      <c r="DT236" s="75"/>
      <c r="DU236" s="75"/>
      <c r="DV236" s="75"/>
      <c r="DW236" s="75"/>
      <c r="DX236" s="75"/>
      <c r="DY236" s="75"/>
      <c r="DZ236" s="75"/>
      <c r="EA236" s="75"/>
      <c r="EB236" s="81"/>
      <c r="EC236" s="74"/>
      <c r="ED236" s="75"/>
      <c r="EE236" s="75"/>
      <c r="EF236" s="75"/>
      <c r="EG236" s="75"/>
      <c r="EH236" s="75"/>
      <c r="EI236" s="75"/>
      <c r="EJ236" s="75"/>
      <c r="EK236" s="75"/>
      <c r="EL236" s="75"/>
      <c r="EM236" s="75"/>
      <c r="EN236" s="81"/>
      <c r="EO236" s="74"/>
      <c r="EP236" s="75"/>
      <c r="EQ236" s="75"/>
      <c r="ER236" s="75"/>
      <c r="ES236" s="75"/>
      <c r="ET236" s="75"/>
      <c r="EU236" s="75"/>
      <c r="EV236" s="75"/>
      <c r="EW236" s="75"/>
      <c r="EX236" s="75"/>
      <c r="EY236" s="75"/>
      <c r="EZ236" s="81"/>
      <c r="FA236" s="74"/>
      <c r="FB236" s="75"/>
      <c r="FC236" s="75"/>
      <c r="FD236" s="75"/>
      <c r="FE236" s="75"/>
      <c r="FF236" s="75"/>
      <c r="FG236" s="75"/>
      <c r="FH236" s="75"/>
      <c r="FI236" s="75"/>
      <c r="FJ236" s="75"/>
      <c r="FK236" s="75"/>
      <c r="FL236" s="81"/>
      <c r="FM236" s="74"/>
      <c r="FN236" s="75"/>
      <c r="FO236" s="75"/>
      <c r="FP236" s="75"/>
      <c r="FQ236" s="75"/>
      <c r="FR236" s="75"/>
      <c r="FS236" s="75"/>
      <c r="FT236" s="75"/>
      <c r="FU236" s="75"/>
      <c r="FV236" s="75"/>
      <c r="FW236" s="75"/>
      <c r="FX236" s="81"/>
      <c r="FY236" s="74"/>
      <c r="FZ236" s="75"/>
      <c r="GA236" s="75"/>
      <c r="GB236" s="75"/>
      <c r="GC236" s="75"/>
      <c r="GD236" s="75"/>
      <c r="GE236" s="75"/>
      <c r="GF236" s="75"/>
      <c r="GG236" s="75"/>
      <c r="GH236" s="75"/>
      <c r="GI236" s="75"/>
      <c r="GJ236" s="81"/>
      <c r="GK236" s="74"/>
      <c r="GL236" s="75"/>
      <c r="GM236" s="75"/>
      <c r="GN236" s="75"/>
      <c r="GO236" s="75"/>
      <c r="GP236" s="75"/>
      <c r="GQ236" s="75"/>
      <c r="GR236" s="75"/>
      <c r="GS236" s="75"/>
      <c r="GT236" s="75"/>
      <c r="GU236" s="75"/>
      <c r="GV236" s="81"/>
      <c r="GW236" s="74"/>
      <c r="GX236" s="75"/>
      <c r="GY236" s="75"/>
      <c r="GZ236" s="75"/>
      <c r="HA236" s="75"/>
      <c r="HB236" s="75"/>
      <c r="HC236" s="75"/>
      <c r="HD236" s="75"/>
      <c r="HE236" s="75"/>
      <c r="HF236" s="75"/>
      <c r="HG236" s="75"/>
      <c r="HH236" s="81"/>
      <c r="HI236" s="75"/>
    </row>
    <row r="237" ht="15.0" customHeight="1">
      <c r="A237" s="74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81"/>
      <c r="M237" s="74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81"/>
      <c r="Y237" s="74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81"/>
      <c r="AK237" s="74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81"/>
      <c r="AW237" s="74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81"/>
      <c r="BI237" s="74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81"/>
      <c r="BU237" s="74"/>
      <c r="BV237" s="75"/>
      <c r="BW237" s="75"/>
      <c r="BX237" s="75"/>
      <c r="BY237" s="75"/>
      <c r="BZ237" s="75"/>
      <c r="CA237" s="75"/>
      <c r="CB237" s="75"/>
      <c r="CC237" s="75"/>
      <c r="CD237" s="75"/>
      <c r="CE237" s="75"/>
      <c r="CF237" s="81"/>
      <c r="CG237" s="74"/>
      <c r="CH237" s="75"/>
      <c r="CI237" s="75"/>
      <c r="CJ237" s="75"/>
      <c r="CK237" s="75"/>
      <c r="CL237" s="75"/>
      <c r="CM237" s="75"/>
      <c r="CN237" s="75"/>
      <c r="CO237" s="75"/>
      <c r="CP237" s="75"/>
      <c r="CQ237" s="75"/>
      <c r="CR237" s="81"/>
      <c r="CS237" s="74"/>
      <c r="CT237" s="75"/>
      <c r="CU237" s="75"/>
      <c r="CV237" s="75"/>
      <c r="CW237" s="75"/>
      <c r="CX237" s="75"/>
      <c r="CY237" s="75"/>
      <c r="CZ237" s="75"/>
      <c r="DA237" s="75"/>
      <c r="DB237" s="75"/>
      <c r="DC237" s="75"/>
      <c r="DD237" s="81"/>
      <c r="DE237" s="74"/>
      <c r="DF237" s="75"/>
      <c r="DG237" s="75"/>
      <c r="DH237" s="75"/>
      <c r="DI237" s="75"/>
      <c r="DJ237" s="75"/>
      <c r="DK237" s="75"/>
      <c r="DL237" s="75"/>
      <c r="DM237" s="75"/>
      <c r="DN237" s="75"/>
      <c r="DO237" s="75"/>
      <c r="DP237" s="81"/>
      <c r="DQ237" s="74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81"/>
      <c r="EC237" s="74"/>
      <c r="ED237" s="75"/>
      <c r="EE237" s="75"/>
      <c r="EF237" s="75"/>
      <c r="EG237" s="75"/>
      <c r="EH237" s="75"/>
      <c r="EI237" s="75"/>
      <c r="EJ237" s="75"/>
      <c r="EK237" s="75"/>
      <c r="EL237" s="75"/>
      <c r="EM237" s="75"/>
      <c r="EN237" s="81"/>
      <c r="EO237" s="74"/>
      <c r="EP237" s="75"/>
      <c r="EQ237" s="75"/>
      <c r="ER237" s="75"/>
      <c r="ES237" s="75"/>
      <c r="ET237" s="75"/>
      <c r="EU237" s="75"/>
      <c r="EV237" s="75"/>
      <c r="EW237" s="75"/>
      <c r="EX237" s="75"/>
      <c r="EY237" s="75"/>
      <c r="EZ237" s="81"/>
      <c r="FA237" s="74"/>
      <c r="FB237" s="75"/>
      <c r="FC237" s="75"/>
      <c r="FD237" s="75"/>
      <c r="FE237" s="75"/>
      <c r="FF237" s="75"/>
      <c r="FG237" s="75"/>
      <c r="FH237" s="75"/>
      <c r="FI237" s="75"/>
      <c r="FJ237" s="75"/>
      <c r="FK237" s="75"/>
      <c r="FL237" s="81"/>
      <c r="FM237" s="74"/>
      <c r="FN237" s="75"/>
      <c r="FO237" s="75"/>
      <c r="FP237" s="75"/>
      <c r="FQ237" s="75"/>
      <c r="FR237" s="75"/>
      <c r="FS237" s="75"/>
      <c r="FT237" s="75"/>
      <c r="FU237" s="75"/>
      <c r="FV237" s="75"/>
      <c r="FW237" s="75"/>
      <c r="FX237" s="81"/>
      <c r="FY237" s="74"/>
      <c r="FZ237" s="75"/>
      <c r="GA237" s="75"/>
      <c r="GB237" s="75"/>
      <c r="GC237" s="75"/>
      <c r="GD237" s="75"/>
      <c r="GE237" s="75"/>
      <c r="GF237" s="75"/>
      <c r="GG237" s="75"/>
      <c r="GH237" s="75"/>
      <c r="GI237" s="75"/>
      <c r="GJ237" s="81"/>
      <c r="GK237" s="74"/>
      <c r="GL237" s="75"/>
      <c r="GM237" s="75"/>
      <c r="GN237" s="75"/>
      <c r="GO237" s="75"/>
      <c r="GP237" s="75"/>
      <c r="GQ237" s="75"/>
      <c r="GR237" s="75"/>
      <c r="GS237" s="75"/>
      <c r="GT237" s="75"/>
      <c r="GU237" s="75"/>
      <c r="GV237" s="81"/>
      <c r="GW237" s="74"/>
      <c r="GX237" s="75"/>
      <c r="GY237" s="75"/>
      <c r="GZ237" s="75"/>
      <c r="HA237" s="75"/>
      <c r="HB237" s="75"/>
      <c r="HC237" s="75"/>
      <c r="HD237" s="75"/>
      <c r="HE237" s="75"/>
      <c r="HF237" s="75"/>
      <c r="HG237" s="75"/>
      <c r="HH237" s="81"/>
      <c r="HI237" s="75"/>
    </row>
    <row r="238" ht="15.0" customHeight="1">
      <c r="A238" s="74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81"/>
      <c r="M238" s="74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81"/>
      <c r="Y238" s="74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81"/>
      <c r="AK238" s="74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81"/>
      <c r="AW238" s="74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81"/>
      <c r="BI238" s="74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81"/>
      <c r="BU238" s="74"/>
      <c r="BV238" s="75"/>
      <c r="BW238" s="75"/>
      <c r="BX238" s="75"/>
      <c r="BY238" s="75"/>
      <c r="BZ238" s="75"/>
      <c r="CA238" s="75"/>
      <c r="CB238" s="75"/>
      <c r="CC238" s="75"/>
      <c r="CD238" s="75"/>
      <c r="CE238" s="75"/>
      <c r="CF238" s="81"/>
      <c r="CG238" s="74"/>
      <c r="CH238" s="75"/>
      <c r="CI238" s="75"/>
      <c r="CJ238" s="75"/>
      <c r="CK238" s="75"/>
      <c r="CL238" s="75"/>
      <c r="CM238" s="75"/>
      <c r="CN238" s="75"/>
      <c r="CO238" s="75"/>
      <c r="CP238" s="75"/>
      <c r="CQ238" s="75"/>
      <c r="CR238" s="81"/>
      <c r="CS238" s="74"/>
      <c r="CT238" s="75"/>
      <c r="CU238" s="75"/>
      <c r="CV238" s="75"/>
      <c r="CW238" s="75"/>
      <c r="CX238" s="75"/>
      <c r="CY238" s="75"/>
      <c r="CZ238" s="75"/>
      <c r="DA238" s="75"/>
      <c r="DB238" s="75"/>
      <c r="DC238" s="75"/>
      <c r="DD238" s="81"/>
      <c r="DE238" s="74"/>
      <c r="DF238" s="75"/>
      <c r="DG238" s="75"/>
      <c r="DH238" s="75"/>
      <c r="DI238" s="75"/>
      <c r="DJ238" s="75"/>
      <c r="DK238" s="75"/>
      <c r="DL238" s="75"/>
      <c r="DM238" s="75"/>
      <c r="DN238" s="75"/>
      <c r="DO238" s="75"/>
      <c r="DP238" s="81"/>
      <c r="DQ238" s="74"/>
      <c r="DR238" s="75"/>
      <c r="DS238" s="75"/>
      <c r="DT238" s="75"/>
      <c r="DU238" s="75"/>
      <c r="DV238" s="75"/>
      <c r="DW238" s="75"/>
      <c r="DX238" s="75"/>
      <c r="DY238" s="75"/>
      <c r="DZ238" s="75"/>
      <c r="EA238" s="75"/>
      <c r="EB238" s="81"/>
      <c r="EC238" s="74"/>
      <c r="ED238" s="75"/>
      <c r="EE238" s="75"/>
      <c r="EF238" s="75"/>
      <c r="EG238" s="75"/>
      <c r="EH238" s="75"/>
      <c r="EI238" s="75"/>
      <c r="EJ238" s="75"/>
      <c r="EK238" s="75"/>
      <c r="EL238" s="75"/>
      <c r="EM238" s="75"/>
      <c r="EN238" s="81"/>
      <c r="EO238" s="74"/>
      <c r="EP238" s="75"/>
      <c r="EQ238" s="75"/>
      <c r="ER238" s="75"/>
      <c r="ES238" s="75"/>
      <c r="ET238" s="75"/>
      <c r="EU238" s="75"/>
      <c r="EV238" s="75"/>
      <c r="EW238" s="75"/>
      <c r="EX238" s="75"/>
      <c r="EY238" s="75"/>
      <c r="EZ238" s="81"/>
      <c r="FA238" s="74"/>
      <c r="FB238" s="75"/>
      <c r="FC238" s="75"/>
      <c r="FD238" s="75"/>
      <c r="FE238" s="75"/>
      <c r="FF238" s="75"/>
      <c r="FG238" s="75"/>
      <c r="FH238" s="75"/>
      <c r="FI238" s="75"/>
      <c r="FJ238" s="75"/>
      <c r="FK238" s="75"/>
      <c r="FL238" s="81"/>
      <c r="FM238" s="74"/>
      <c r="FN238" s="75"/>
      <c r="FO238" s="75"/>
      <c r="FP238" s="75"/>
      <c r="FQ238" s="75"/>
      <c r="FR238" s="75"/>
      <c r="FS238" s="75"/>
      <c r="FT238" s="75"/>
      <c r="FU238" s="75"/>
      <c r="FV238" s="75"/>
      <c r="FW238" s="75"/>
      <c r="FX238" s="81"/>
      <c r="FY238" s="74"/>
      <c r="FZ238" s="75"/>
      <c r="GA238" s="75"/>
      <c r="GB238" s="75"/>
      <c r="GC238" s="75"/>
      <c r="GD238" s="75"/>
      <c r="GE238" s="75"/>
      <c r="GF238" s="75"/>
      <c r="GG238" s="75"/>
      <c r="GH238" s="75"/>
      <c r="GI238" s="75"/>
      <c r="GJ238" s="81"/>
      <c r="GK238" s="74"/>
      <c r="GL238" s="75"/>
      <c r="GM238" s="75"/>
      <c r="GN238" s="75"/>
      <c r="GO238" s="75"/>
      <c r="GP238" s="75"/>
      <c r="GQ238" s="75"/>
      <c r="GR238" s="75"/>
      <c r="GS238" s="75"/>
      <c r="GT238" s="75"/>
      <c r="GU238" s="75"/>
      <c r="GV238" s="81"/>
      <c r="GW238" s="74"/>
      <c r="GX238" s="75"/>
      <c r="GY238" s="75"/>
      <c r="GZ238" s="75"/>
      <c r="HA238" s="75"/>
      <c r="HB238" s="75"/>
      <c r="HC238" s="75"/>
      <c r="HD238" s="75"/>
      <c r="HE238" s="75"/>
      <c r="HF238" s="75"/>
      <c r="HG238" s="75"/>
      <c r="HH238" s="81"/>
      <c r="HI238" s="75"/>
    </row>
    <row r="239" ht="15.0" customHeight="1">
      <c r="A239" s="74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81"/>
      <c r="M239" s="74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81"/>
      <c r="Y239" s="74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81"/>
      <c r="AK239" s="74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81"/>
      <c r="AW239" s="74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81"/>
      <c r="BI239" s="74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81"/>
      <c r="BU239" s="74"/>
      <c r="BV239" s="75"/>
      <c r="BW239" s="75"/>
      <c r="BX239" s="75"/>
      <c r="BY239" s="75"/>
      <c r="BZ239" s="75"/>
      <c r="CA239" s="75"/>
      <c r="CB239" s="75"/>
      <c r="CC239" s="75"/>
      <c r="CD239" s="75"/>
      <c r="CE239" s="75"/>
      <c r="CF239" s="81"/>
      <c r="CG239" s="74"/>
      <c r="CH239" s="75"/>
      <c r="CI239" s="75"/>
      <c r="CJ239" s="75"/>
      <c r="CK239" s="75"/>
      <c r="CL239" s="75"/>
      <c r="CM239" s="75"/>
      <c r="CN239" s="75"/>
      <c r="CO239" s="75"/>
      <c r="CP239" s="75"/>
      <c r="CQ239" s="75"/>
      <c r="CR239" s="81"/>
      <c r="CS239" s="74"/>
      <c r="CT239" s="75"/>
      <c r="CU239" s="75"/>
      <c r="CV239" s="75"/>
      <c r="CW239" s="75"/>
      <c r="CX239" s="75"/>
      <c r="CY239" s="75"/>
      <c r="CZ239" s="75"/>
      <c r="DA239" s="75"/>
      <c r="DB239" s="75"/>
      <c r="DC239" s="75"/>
      <c r="DD239" s="81"/>
      <c r="DE239" s="74"/>
      <c r="DF239" s="75"/>
      <c r="DG239" s="75"/>
      <c r="DH239" s="75"/>
      <c r="DI239" s="75"/>
      <c r="DJ239" s="75"/>
      <c r="DK239" s="75"/>
      <c r="DL239" s="75"/>
      <c r="DM239" s="75"/>
      <c r="DN239" s="75"/>
      <c r="DO239" s="75"/>
      <c r="DP239" s="81"/>
      <c r="DQ239" s="74"/>
      <c r="DR239" s="75"/>
      <c r="DS239" s="75"/>
      <c r="DT239" s="75"/>
      <c r="DU239" s="75"/>
      <c r="DV239" s="75"/>
      <c r="DW239" s="75"/>
      <c r="DX239" s="75"/>
      <c r="DY239" s="75"/>
      <c r="DZ239" s="75"/>
      <c r="EA239" s="75"/>
      <c r="EB239" s="81"/>
      <c r="EC239" s="74"/>
      <c r="ED239" s="75"/>
      <c r="EE239" s="75"/>
      <c r="EF239" s="75"/>
      <c r="EG239" s="75"/>
      <c r="EH239" s="75"/>
      <c r="EI239" s="75"/>
      <c r="EJ239" s="75"/>
      <c r="EK239" s="75"/>
      <c r="EL239" s="75"/>
      <c r="EM239" s="75"/>
      <c r="EN239" s="81"/>
      <c r="EO239" s="74"/>
      <c r="EP239" s="75"/>
      <c r="EQ239" s="75"/>
      <c r="ER239" s="75"/>
      <c r="ES239" s="75"/>
      <c r="ET239" s="75"/>
      <c r="EU239" s="75"/>
      <c r="EV239" s="75"/>
      <c r="EW239" s="75"/>
      <c r="EX239" s="75"/>
      <c r="EY239" s="75"/>
      <c r="EZ239" s="81"/>
      <c r="FA239" s="74"/>
      <c r="FB239" s="75"/>
      <c r="FC239" s="75"/>
      <c r="FD239" s="75"/>
      <c r="FE239" s="75"/>
      <c r="FF239" s="75"/>
      <c r="FG239" s="75"/>
      <c r="FH239" s="75"/>
      <c r="FI239" s="75"/>
      <c r="FJ239" s="75"/>
      <c r="FK239" s="75"/>
      <c r="FL239" s="81"/>
      <c r="FM239" s="74"/>
      <c r="FN239" s="75"/>
      <c r="FO239" s="75"/>
      <c r="FP239" s="75"/>
      <c r="FQ239" s="75"/>
      <c r="FR239" s="75"/>
      <c r="FS239" s="75"/>
      <c r="FT239" s="75"/>
      <c r="FU239" s="75"/>
      <c r="FV239" s="75"/>
      <c r="FW239" s="75"/>
      <c r="FX239" s="81"/>
      <c r="FY239" s="74"/>
      <c r="FZ239" s="75"/>
      <c r="GA239" s="75"/>
      <c r="GB239" s="75"/>
      <c r="GC239" s="75"/>
      <c r="GD239" s="75"/>
      <c r="GE239" s="75"/>
      <c r="GF239" s="75"/>
      <c r="GG239" s="75"/>
      <c r="GH239" s="75"/>
      <c r="GI239" s="75"/>
      <c r="GJ239" s="81"/>
      <c r="GK239" s="74"/>
      <c r="GL239" s="75"/>
      <c r="GM239" s="75"/>
      <c r="GN239" s="75"/>
      <c r="GO239" s="75"/>
      <c r="GP239" s="75"/>
      <c r="GQ239" s="75"/>
      <c r="GR239" s="75"/>
      <c r="GS239" s="75"/>
      <c r="GT239" s="75"/>
      <c r="GU239" s="75"/>
      <c r="GV239" s="81"/>
      <c r="GW239" s="74"/>
      <c r="GX239" s="75"/>
      <c r="GY239" s="75"/>
      <c r="GZ239" s="75"/>
      <c r="HA239" s="75"/>
      <c r="HB239" s="75"/>
      <c r="HC239" s="75"/>
      <c r="HD239" s="75"/>
      <c r="HE239" s="75"/>
      <c r="HF239" s="75"/>
      <c r="HG239" s="75"/>
      <c r="HH239" s="81"/>
      <c r="HI239" s="75"/>
    </row>
    <row r="240" ht="15.0" customHeight="1">
      <c r="A240" s="74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81"/>
      <c r="M240" s="74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81"/>
      <c r="Y240" s="74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81"/>
      <c r="AK240" s="74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81"/>
      <c r="AW240" s="74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81"/>
      <c r="BI240" s="74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81"/>
      <c r="BU240" s="74"/>
      <c r="BV240" s="75"/>
      <c r="BW240" s="75"/>
      <c r="BX240" s="75"/>
      <c r="BY240" s="75"/>
      <c r="BZ240" s="75"/>
      <c r="CA240" s="75"/>
      <c r="CB240" s="75"/>
      <c r="CC240" s="75"/>
      <c r="CD240" s="75"/>
      <c r="CE240" s="75"/>
      <c r="CF240" s="81"/>
      <c r="CG240" s="74"/>
      <c r="CH240" s="75"/>
      <c r="CI240" s="75"/>
      <c r="CJ240" s="75"/>
      <c r="CK240" s="75"/>
      <c r="CL240" s="75"/>
      <c r="CM240" s="75"/>
      <c r="CN240" s="75"/>
      <c r="CO240" s="75"/>
      <c r="CP240" s="75"/>
      <c r="CQ240" s="75"/>
      <c r="CR240" s="81"/>
      <c r="CS240" s="74"/>
      <c r="CT240" s="75"/>
      <c r="CU240" s="75"/>
      <c r="CV240" s="75"/>
      <c r="CW240" s="75"/>
      <c r="CX240" s="75"/>
      <c r="CY240" s="75"/>
      <c r="CZ240" s="75"/>
      <c r="DA240" s="75"/>
      <c r="DB240" s="75"/>
      <c r="DC240" s="75"/>
      <c r="DD240" s="81"/>
      <c r="DE240" s="74"/>
      <c r="DF240" s="75"/>
      <c r="DG240" s="75"/>
      <c r="DH240" s="75"/>
      <c r="DI240" s="75"/>
      <c r="DJ240" s="75"/>
      <c r="DK240" s="75"/>
      <c r="DL240" s="75"/>
      <c r="DM240" s="75"/>
      <c r="DN240" s="75"/>
      <c r="DO240" s="75"/>
      <c r="DP240" s="81"/>
      <c r="DQ240" s="74"/>
      <c r="DR240" s="75"/>
      <c r="DS240" s="75"/>
      <c r="DT240" s="75"/>
      <c r="DU240" s="75"/>
      <c r="DV240" s="75"/>
      <c r="DW240" s="75"/>
      <c r="DX240" s="75"/>
      <c r="DY240" s="75"/>
      <c r="DZ240" s="75"/>
      <c r="EA240" s="75"/>
      <c r="EB240" s="81"/>
      <c r="EC240" s="74"/>
      <c r="ED240" s="75"/>
      <c r="EE240" s="75"/>
      <c r="EF240" s="75"/>
      <c r="EG240" s="75"/>
      <c r="EH240" s="75"/>
      <c r="EI240" s="75"/>
      <c r="EJ240" s="75"/>
      <c r="EK240" s="75"/>
      <c r="EL240" s="75"/>
      <c r="EM240" s="75"/>
      <c r="EN240" s="81"/>
      <c r="EO240" s="74"/>
      <c r="EP240" s="75"/>
      <c r="EQ240" s="75"/>
      <c r="ER240" s="75"/>
      <c r="ES240" s="75"/>
      <c r="ET240" s="75"/>
      <c r="EU240" s="75"/>
      <c r="EV240" s="75"/>
      <c r="EW240" s="75"/>
      <c r="EX240" s="75"/>
      <c r="EY240" s="75"/>
      <c r="EZ240" s="81"/>
      <c r="FA240" s="74"/>
      <c r="FB240" s="75"/>
      <c r="FC240" s="75"/>
      <c r="FD240" s="75"/>
      <c r="FE240" s="75"/>
      <c r="FF240" s="75"/>
      <c r="FG240" s="75"/>
      <c r="FH240" s="75"/>
      <c r="FI240" s="75"/>
      <c r="FJ240" s="75"/>
      <c r="FK240" s="75"/>
      <c r="FL240" s="81"/>
      <c r="FM240" s="74"/>
      <c r="FN240" s="75"/>
      <c r="FO240" s="75"/>
      <c r="FP240" s="75"/>
      <c r="FQ240" s="75"/>
      <c r="FR240" s="75"/>
      <c r="FS240" s="75"/>
      <c r="FT240" s="75"/>
      <c r="FU240" s="75"/>
      <c r="FV240" s="75"/>
      <c r="FW240" s="75"/>
      <c r="FX240" s="81"/>
      <c r="FY240" s="74"/>
      <c r="FZ240" s="75"/>
      <c r="GA240" s="75"/>
      <c r="GB240" s="75"/>
      <c r="GC240" s="75"/>
      <c r="GD240" s="75"/>
      <c r="GE240" s="75"/>
      <c r="GF240" s="75"/>
      <c r="GG240" s="75"/>
      <c r="GH240" s="75"/>
      <c r="GI240" s="75"/>
      <c r="GJ240" s="81"/>
      <c r="GK240" s="74"/>
      <c r="GL240" s="75"/>
      <c r="GM240" s="75"/>
      <c r="GN240" s="75"/>
      <c r="GO240" s="75"/>
      <c r="GP240" s="75"/>
      <c r="GQ240" s="75"/>
      <c r="GR240" s="75"/>
      <c r="GS240" s="75"/>
      <c r="GT240" s="75"/>
      <c r="GU240" s="75"/>
      <c r="GV240" s="81"/>
      <c r="GW240" s="74"/>
      <c r="GX240" s="75"/>
      <c r="GY240" s="75"/>
      <c r="GZ240" s="75"/>
      <c r="HA240" s="75"/>
      <c r="HB240" s="75"/>
      <c r="HC240" s="75"/>
      <c r="HD240" s="75"/>
      <c r="HE240" s="75"/>
      <c r="HF240" s="75"/>
      <c r="HG240" s="75"/>
      <c r="HH240" s="81"/>
      <c r="HI240" s="75"/>
    </row>
    <row r="241" ht="15.0" customHeight="1">
      <c r="A241" s="74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81"/>
      <c r="M241" s="74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81"/>
      <c r="Y241" s="74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81"/>
      <c r="AK241" s="74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81"/>
      <c r="AW241" s="74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81"/>
      <c r="BI241" s="74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81"/>
      <c r="BU241" s="74"/>
      <c r="BV241" s="75"/>
      <c r="BW241" s="75"/>
      <c r="BX241" s="75"/>
      <c r="BY241" s="75"/>
      <c r="BZ241" s="75"/>
      <c r="CA241" s="75"/>
      <c r="CB241" s="75"/>
      <c r="CC241" s="75"/>
      <c r="CD241" s="75"/>
      <c r="CE241" s="75"/>
      <c r="CF241" s="81"/>
      <c r="CG241" s="74"/>
      <c r="CH241" s="75"/>
      <c r="CI241" s="75"/>
      <c r="CJ241" s="75"/>
      <c r="CK241" s="75"/>
      <c r="CL241" s="75"/>
      <c r="CM241" s="75"/>
      <c r="CN241" s="75"/>
      <c r="CO241" s="75"/>
      <c r="CP241" s="75"/>
      <c r="CQ241" s="75"/>
      <c r="CR241" s="81"/>
      <c r="CS241" s="74"/>
      <c r="CT241" s="75"/>
      <c r="CU241" s="75"/>
      <c r="CV241" s="75"/>
      <c r="CW241" s="75"/>
      <c r="CX241" s="75"/>
      <c r="CY241" s="75"/>
      <c r="CZ241" s="75"/>
      <c r="DA241" s="75"/>
      <c r="DB241" s="75"/>
      <c r="DC241" s="75"/>
      <c r="DD241" s="81"/>
      <c r="DE241" s="74"/>
      <c r="DF241" s="75"/>
      <c r="DG241" s="75"/>
      <c r="DH241" s="75"/>
      <c r="DI241" s="75"/>
      <c r="DJ241" s="75"/>
      <c r="DK241" s="75"/>
      <c r="DL241" s="75"/>
      <c r="DM241" s="75"/>
      <c r="DN241" s="75"/>
      <c r="DO241" s="75"/>
      <c r="DP241" s="81"/>
      <c r="DQ241" s="74"/>
      <c r="DR241" s="75"/>
      <c r="DS241" s="75"/>
      <c r="DT241" s="75"/>
      <c r="DU241" s="75"/>
      <c r="DV241" s="75"/>
      <c r="DW241" s="75"/>
      <c r="DX241" s="75"/>
      <c r="DY241" s="75"/>
      <c r="DZ241" s="75"/>
      <c r="EA241" s="75"/>
      <c r="EB241" s="81"/>
      <c r="EC241" s="74"/>
      <c r="ED241" s="75"/>
      <c r="EE241" s="75"/>
      <c r="EF241" s="75"/>
      <c r="EG241" s="75"/>
      <c r="EH241" s="75"/>
      <c r="EI241" s="75"/>
      <c r="EJ241" s="75"/>
      <c r="EK241" s="75"/>
      <c r="EL241" s="75"/>
      <c r="EM241" s="75"/>
      <c r="EN241" s="81"/>
      <c r="EO241" s="74"/>
      <c r="EP241" s="75"/>
      <c r="EQ241" s="75"/>
      <c r="ER241" s="75"/>
      <c r="ES241" s="75"/>
      <c r="ET241" s="75"/>
      <c r="EU241" s="75"/>
      <c r="EV241" s="75"/>
      <c r="EW241" s="75"/>
      <c r="EX241" s="75"/>
      <c r="EY241" s="75"/>
      <c r="EZ241" s="81"/>
      <c r="FA241" s="74"/>
      <c r="FB241" s="75"/>
      <c r="FC241" s="75"/>
      <c r="FD241" s="75"/>
      <c r="FE241" s="75"/>
      <c r="FF241" s="75"/>
      <c r="FG241" s="75"/>
      <c r="FH241" s="75"/>
      <c r="FI241" s="75"/>
      <c r="FJ241" s="75"/>
      <c r="FK241" s="75"/>
      <c r="FL241" s="81"/>
      <c r="FM241" s="74"/>
      <c r="FN241" s="75"/>
      <c r="FO241" s="75"/>
      <c r="FP241" s="75"/>
      <c r="FQ241" s="75"/>
      <c r="FR241" s="75"/>
      <c r="FS241" s="75"/>
      <c r="FT241" s="75"/>
      <c r="FU241" s="75"/>
      <c r="FV241" s="75"/>
      <c r="FW241" s="75"/>
      <c r="FX241" s="81"/>
      <c r="FY241" s="74"/>
      <c r="FZ241" s="75"/>
      <c r="GA241" s="75"/>
      <c r="GB241" s="75"/>
      <c r="GC241" s="75"/>
      <c r="GD241" s="75"/>
      <c r="GE241" s="75"/>
      <c r="GF241" s="75"/>
      <c r="GG241" s="75"/>
      <c r="GH241" s="75"/>
      <c r="GI241" s="75"/>
      <c r="GJ241" s="81"/>
      <c r="GK241" s="74"/>
      <c r="GL241" s="75"/>
      <c r="GM241" s="75"/>
      <c r="GN241" s="75"/>
      <c r="GO241" s="75"/>
      <c r="GP241" s="75"/>
      <c r="GQ241" s="75"/>
      <c r="GR241" s="75"/>
      <c r="GS241" s="75"/>
      <c r="GT241" s="75"/>
      <c r="GU241" s="75"/>
      <c r="GV241" s="81"/>
      <c r="GW241" s="74"/>
      <c r="GX241" s="75"/>
      <c r="GY241" s="75"/>
      <c r="GZ241" s="75"/>
      <c r="HA241" s="75"/>
      <c r="HB241" s="75"/>
      <c r="HC241" s="75"/>
      <c r="HD241" s="75"/>
      <c r="HE241" s="75"/>
      <c r="HF241" s="75"/>
      <c r="HG241" s="75"/>
      <c r="HH241" s="81"/>
      <c r="HI241" s="75"/>
    </row>
    <row r="242" ht="15.0" customHeight="1">
      <c r="A242" s="74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81"/>
      <c r="M242" s="74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81"/>
      <c r="Y242" s="74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81"/>
      <c r="AK242" s="74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81"/>
      <c r="AW242" s="74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81"/>
      <c r="BI242" s="74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81"/>
      <c r="BU242" s="74"/>
      <c r="BV242" s="75"/>
      <c r="BW242" s="75"/>
      <c r="BX242" s="75"/>
      <c r="BY242" s="75"/>
      <c r="BZ242" s="75"/>
      <c r="CA242" s="75"/>
      <c r="CB242" s="75"/>
      <c r="CC242" s="75"/>
      <c r="CD242" s="75"/>
      <c r="CE242" s="75"/>
      <c r="CF242" s="81"/>
      <c r="CG242" s="74"/>
      <c r="CH242" s="75"/>
      <c r="CI242" s="75"/>
      <c r="CJ242" s="75"/>
      <c r="CK242" s="75"/>
      <c r="CL242" s="75"/>
      <c r="CM242" s="75"/>
      <c r="CN242" s="75"/>
      <c r="CO242" s="75"/>
      <c r="CP242" s="75"/>
      <c r="CQ242" s="75"/>
      <c r="CR242" s="81"/>
      <c r="CS242" s="74"/>
      <c r="CT242" s="75"/>
      <c r="CU242" s="75"/>
      <c r="CV242" s="75"/>
      <c r="CW242" s="75"/>
      <c r="CX242" s="75"/>
      <c r="CY242" s="75"/>
      <c r="CZ242" s="75"/>
      <c r="DA242" s="75"/>
      <c r="DB242" s="75"/>
      <c r="DC242" s="75"/>
      <c r="DD242" s="81"/>
      <c r="DE242" s="74"/>
      <c r="DF242" s="75"/>
      <c r="DG242" s="75"/>
      <c r="DH242" s="75"/>
      <c r="DI242" s="75"/>
      <c r="DJ242" s="75"/>
      <c r="DK242" s="75"/>
      <c r="DL242" s="75"/>
      <c r="DM242" s="75"/>
      <c r="DN242" s="75"/>
      <c r="DO242" s="75"/>
      <c r="DP242" s="81"/>
      <c r="DQ242" s="74"/>
      <c r="DR242" s="75"/>
      <c r="DS242" s="75"/>
      <c r="DT242" s="75"/>
      <c r="DU242" s="75"/>
      <c r="DV242" s="75"/>
      <c r="DW242" s="75"/>
      <c r="DX242" s="75"/>
      <c r="DY242" s="75"/>
      <c r="DZ242" s="75"/>
      <c r="EA242" s="75"/>
      <c r="EB242" s="81"/>
      <c r="EC242" s="74"/>
      <c r="ED242" s="75"/>
      <c r="EE242" s="75"/>
      <c r="EF242" s="75"/>
      <c r="EG242" s="75"/>
      <c r="EH242" s="75"/>
      <c r="EI242" s="75"/>
      <c r="EJ242" s="75"/>
      <c r="EK242" s="75"/>
      <c r="EL242" s="75"/>
      <c r="EM242" s="75"/>
      <c r="EN242" s="81"/>
      <c r="EO242" s="74"/>
      <c r="EP242" s="75"/>
      <c r="EQ242" s="75"/>
      <c r="ER242" s="75"/>
      <c r="ES242" s="75"/>
      <c r="ET242" s="75"/>
      <c r="EU242" s="75"/>
      <c r="EV242" s="75"/>
      <c r="EW242" s="75"/>
      <c r="EX242" s="75"/>
      <c r="EY242" s="75"/>
      <c r="EZ242" s="81"/>
      <c r="FA242" s="74"/>
      <c r="FB242" s="75"/>
      <c r="FC242" s="75"/>
      <c r="FD242" s="75"/>
      <c r="FE242" s="75"/>
      <c r="FF242" s="75"/>
      <c r="FG242" s="75"/>
      <c r="FH242" s="75"/>
      <c r="FI242" s="75"/>
      <c r="FJ242" s="75"/>
      <c r="FK242" s="75"/>
      <c r="FL242" s="81"/>
      <c r="FM242" s="74"/>
      <c r="FN242" s="75"/>
      <c r="FO242" s="75"/>
      <c r="FP242" s="75"/>
      <c r="FQ242" s="75"/>
      <c r="FR242" s="75"/>
      <c r="FS242" s="75"/>
      <c r="FT242" s="75"/>
      <c r="FU242" s="75"/>
      <c r="FV242" s="75"/>
      <c r="FW242" s="75"/>
      <c r="FX242" s="81"/>
      <c r="FY242" s="74"/>
      <c r="FZ242" s="75"/>
      <c r="GA242" s="75"/>
      <c r="GB242" s="75"/>
      <c r="GC242" s="75"/>
      <c r="GD242" s="75"/>
      <c r="GE242" s="75"/>
      <c r="GF242" s="75"/>
      <c r="GG242" s="75"/>
      <c r="GH242" s="75"/>
      <c r="GI242" s="75"/>
      <c r="GJ242" s="81"/>
      <c r="GK242" s="74"/>
      <c r="GL242" s="75"/>
      <c r="GM242" s="75"/>
      <c r="GN242" s="75"/>
      <c r="GO242" s="75"/>
      <c r="GP242" s="75"/>
      <c r="GQ242" s="75"/>
      <c r="GR242" s="75"/>
      <c r="GS242" s="75"/>
      <c r="GT242" s="75"/>
      <c r="GU242" s="75"/>
      <c r="GV242" s="81"/>
      <c r="GW242" s="74"/>
      <c r="GX242" s="75"/>
      <c r="GY242" s="75"/>
      <c r="GZ242" s="75"/>
      <c r="HA242" s="75"/>
      <c r="HB242" s="75"/>
      <c r="HC242" s="75"/>
      <c r="HD242" s="75"/>
      <c r="HE242" s="75"/>
      <c r="HF242" s="75"/>
      <c r="HG242" s="75"/>
      <c r="HH242" s="81"/>
      <c r="HI242" s="75"/>
    </row>
    <row r="243" ht="15.0" customHeight="1">
      <c r="A243" s="74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81"/>
      <c r="M243" s="74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81"/>
      <c r="Y243" s="74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81"/>
      <c r="AK243" s="74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81"/>
      <c r="AW243" s="74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81"/>
      <c r="BI243" s="74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81"/>
      <c r="BU243" s="74"/>
      <c r="BV243" s="75"/>
      <c r="BW243" s="75"/>
      <c r="BX243" s="75"/>
      <c r="BY243" s="75"/>
      <c r="BZ243" s="75"/>
      <c r="CA243" s="75"/>
      <c r="CB243" s="75"/>
      <c r="CC243" s="75"/>
      <c r="CD243" s="75"/>
      <c r="CE243" s="75"/>
      <c r="CF243" s="81"/>
      <c r="CG243" s="74"/>
      <c r="CH243" s="75"/>
      <c r="CI243" s="75"/>
      <c r="CJ243" s="75"/>
      <c r="CK243" s="75"/>
      <c r="CL243" s="75"/>
      <c r="CM243" s="75"/>
      <c r="CN243" s="75"/>
      <c r="CO243" s="75"/>
      <c r="CP243" s="75"/>
      <c r="CQ243" s="75"/>
      <c r="CR243" s="81"/>
      <c r="CS243" s="74"/>
      <c r="CT243" s="75"/>
      <c r="CU243" s="75"/>
      <c r="CV243" s="75"/>
      <c r="CW243" s="75"/>
      <c r="CX243" s="75"/>
      <c r="CY243" s="75"/>
      <c r="CZ243" s="75"/>
      <c r="DA243" s="75"/>
      <c r="DB243" s="75"/>
      <c r="DC243" s="75"/>
      <c r="DD243" s="81"/>
      <c r="DE243" s="74"/>
      <c r="DF243" s="75"/>
      <c r="DG243" s="75"/>
      <c r="DH243" s="75"/>
      <c r="DI243" s="75"/>
      <c r="DJ243" s="75"/>
      <c r="DK243" s="75"/>
      <c r="DL243" s="75"/>
      <c r="DM243" s="75"/>
      <c r="DN243" s="75"/>
      <c r="DO243" s="75"/>
      <c r="DP243" s="81"/>
      <c r="DQ243" s="74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81"/>
      <c r="EC243" s="74"/>
      <c r="ED243" s="75"/>
      <c r="EE243" s="75"/>
      <c r="EF243" s="75"/>
      <c r="EG243" s="75"/>
      <c r="EH243" s="75"/>
      <c r="EI243" s="75"/>
      <c r="EJ243" s="75"/>
      <c r="EK243" s="75"/>
      <c r="EL243" s="75"/>
      <c r="EM243" s="75"/>
      <c r="EN243" s="81"/>
      <c r="EO243" s="74"/>
      <c r="EP243" s="75"/>
      <c r="EQ243" s="75"/>
      <c r="ER243" s="75"/>
      <c r="ES243" s="75"/>
      <c r="ET243" s="75"/>
      <c r="EU243" s="75"/>
      <c r="EV243" s="75"/>
      <c r="EW243" s="75"/>
      <c r="EX243" s="75"/>
      <c r="EY243" s="75"/>
      <c r="EZ243" s="81"/>
      <c r="FA243" s="74"/>
      <c r="FB243" s="75"/>
      <c r="FC243" s="75"/>
      <c r="FD243" s="75"/>
      <c r="FE243" s="75"/>
      <c r="FF243" s="75"/>
      <c r="FG243" s="75"/>
      <c r="FH243" s="75"/>
      <c r="FI243" s="75"/>
      <c r="FJ243" s="75"/>
      <c r="FK243" s="75"/>
      <c r="FL243" s="81"/>
      <c r="FM243" s="74"/>
      <c r="FN243" s="75"/>
      <c r="FO243" s="75"/>
      <c r="FP243" s="75"/>
      <c r="FQ243" s="75"/>
      <c r="FR243" s="75"/>
      <c r="FS243" s="75"/>
      <c r="FT243" s="75"/>
      <c r="FU243" s="75"/>
      <c r="FV243" s="75"/>
      <c r="FW243" s="75"/>
      <c r="FX243" s="81"/>
      <c r="FY243" s="74"/>
      <c r="FZ243" s="75"/>
      <c r="GA243" s="75"/>
      <c r="GB243" s="75"/>
      <c r="GC243" s="75"/>
      <c r="GD243" s="75"/>
      <c r="GE243" s="75"/>
      <c r="GF243" s="75"/>
      <c r="GG243" s="75"/>
      <c r="GH243" s="75"/>
      <c r="GI243" s="75"/>
      <c r="GJ243" s="81"/>
      <c r="GK243" s="74"/>
      <c r="GL243" s="75"/>
      <c r="GM243" s="75"/>
      <c r="GN243" s="75"/>
      <c r="GO243" s="75"/>
      <c r="GP243" s="75"/>
      <c r="GQ243" s="75"/>
      <c r="GR243" s="75"/>
      <c r="GS243" s="75"/>
      <c r="GT243" s="75"/>
      <c r="GU243" s="75"/>
      <c r="GV243" s="81"/>
      <c r="GW243" s="74"/>
      <c r="GX243" s="75"/>
      <c r="GY243" s="75"/>
      <c r="GZ243" s="75"/>
      <c r="HA243" s="75"/>
      <c r="HB243" s="75"/>
      <c r="HC243" s="75"/>
      <c r="HD243" s="75"/>
      <c r="HE243" s="75"/>
      <c r="HF243" s="75"/>
      <c r="HG243" s="75"/>
      <c r="HH243" s="81"/>
      <c r="HI243" s="75"/>
    </row>
    <row r="244" ht="15.0" customHeight="1">
      <c r="A244" s="74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81"/>
      <c r="M244" s="74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81"/>
      <c r="Y244" s="74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81"/>
      <c r="AK244" s="74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81"/>
      <c r="AW244" s="74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81"/>
      <c r="BI244" s="74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81"/>
      <c r="BU244" s="74"/>
      <c r="BV244" s="75"/>
      <c r="BW244" s="75"/>
      <c r="BX244" s="75"/>
      <c r="BY244" s="75"/>
      <c r="BZ244" s="75"/>
      <c r="CA244" s="75"/>
      <c r="CB244" s="75"/>
      <c r="CC244" s="75"/>
      <c r="CD244" s="75"/>
      <c r="CE244" s="75"/>
      <c r="CF244" s="81"/>
      <c r="CG244" s="74"/>
      <c r="CH244" s="75"/>
      <c r="CI244" s="75"/>
      <c r="CJ244" s="75"/>
      <c r="CK244" s="75"/>
      <c r="CL244" s="75"/>
      <c r="CM244" s="75"/>
      <c r="CN244" s="75"/>
      <c r="CO244" s="75"/>
      <c r="CP244" s="75"/>
      <c r="CQ244" s="75"/>
      <c r="CR244" s="81"/>
      <c r="CS244" s="74"/>
      <c r="CT244" s="75"/>
      <c r="CU244" s="75"/>
      <c r="CV244" s="75"/>
      <c r="CW244" s="75"/>
      <c r="CX244" s="75"/>
      <c r="CY244" s="75"/>
      <c r="CZ244" s="75"/>
      <c r="DA244" s="75"/>
      <c r="DB244" s="75"/>
      <c r="DC244" s="75"/>
      <c r="DD244" s="81"/>
      <c r="DE244" s="74"/>
      <c r="DF244" s="75"/>
      <c r="DG244" s="75"/>
      <c r="DH244" s="75"/>
      <c r="DI244" s="75"/>
      <c r="DJ244" s="75"/>
      <c r="DK244" s="75"/>
      <c r="DL244" s="75"/>
      <c r="DM244" s="75"/>
      <c r="DN244" s="75"/>
      <c r="DO244" s="75"/>
      <c r="DP244" s="81"/>
      <c r="DQ244" s="74"/>
      <c r="DR244" s="75"/>
      <c r="DS244" s="75"/>
      <c r="DT244" s="75"/>
      <c r="DU244" s="75"/>
      <c r="DV244" s="75"/>
      <c r="DW244" s="75"/>
      <c r="DX244" s="75"/>
      <c r="DY244" s="75"/>
      <c r="DZ244" s="75"/>
      <c r="EA244" s="75"/>
      <c r="EB244" s="81"/>
      <c r="EC244" s="74"/>
      <c r="ED244" s="75"/>
      <c r="EE244" s="75"/>
      <c r="EF244" s="75"/>
      <c r="EG244" s="75"/>
      <c r="EH244" s="75"/>
      <c r="EI244" s="75"/>
      <c r="EJ244" s="75"/>
      <c r="EK244" s="75"/>
      <c r="EL244" s="75"/>
      <c r="EM244" s="75"/>
      <c r="EN244" s="81"/>
      <c r="EO244" s="74"/>
      <c r="EP244" s="75"/>
      <c r="EQ244" s="75"/>
      <c r="ER244" s="75"/>
      <c r="ES244" s="75"/>
      <c r="ET244" s="75"/>
      <c r="EU244" s="75"/>
      <c r="EV244" s="75"/>
      <c r="EW244" s="75"/>
      <c r="EX244" s="75"/>
      <c r="EY244" s="75"/>
      <c r="EZ244" s="81"/>
      <c r="FA244" s="74"/>
      <c r="FB244" s="75"/>
      <c r="FC244" s="75"/>
      <c r="FD244" s="75"/>
      <c r="FE244" s="75"/>
      <c r="FF244" s="75"/>
      <c r="FG244" s="75"/>
      <c r="FH244" s="75"/>
      <c r="FI244" s="75"/>
      <c r="FJ244" s="75"/>
      <c r="FK244" s="75"/>
      <c r="FL244" s="81"/>
      <c r="FM244" s="74"/>
      <c r="FN244" s="75"/>
      <c r="FO244" s="75"/>
      <c r="FP244" s="75"/>
      <c r="FQ244" s="75"/>
      <c r="FR244" s="75"/>
      <c r="FS244" s="75"/>
      <c r="FT244" s="75"/>
      <c r="FU244" s="75"/>
      <c r="FV244" s="75"/>
      <c r="FW244" s="75"/>
      <c r="FX244" s="81"/>
      <c r="FY244" s="74"/>
      <c r="FZ244" s="75"/>
      <c r="GA244" s="75"/>
      <c r="GB244" s="75"/>
      <c r="GC244" s="75"/>
      <c r="GD244" s="75"/>
      <c r="GE244" s="75"/>
      <c r="GF244" s="75"/>
      <c r="GG244" s="75"/>
      <c r="GH244" s="75"/>
      <c r="GI244" s="75"/>
      <c r="GJ244" s="81"/>
      <c r="GK244" s="74"/>
      <c r="GL244" s="75"/>
      <c r="GM244" s="75"/>
      <c r="GN244" s="75"/>
      <c r="GO244" s="75"/>
      <c r="GP244" s="75"/>
      <c r="GQ244" s="75"/>
      <c r="GR244" s="75"/>
      <c r="GS244" s="75"/>
      <c r="GT244" s="75"/>
      <c r="GU244" s="75"/>
      <c r="GV244" s="81"/>
      <c r="GW244" s="74"/>
      <c r="GX244" s="75"/>
      <c r="GY244" s="75"/>
      <c r="GZ244" s="75"/>
      <c r="HA244" s="75"/>
      <c r="HB244" s="75"/>
      <c r="HC244" s="75"/>
      <c r="HD244" s="75"/>
      <c r="HE244" s="75"/>
      <c r="HF244" s="75"/>
      <c r="HG244" s="75"/>
      <c r="HH244" s="81"/>
      <c r="HI244" s="75"/>
    </row>
    <row r="245" ht="15.0" customHeight="1">
      <c r="A245" s="74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81"/>
      <c r="M245" s="74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81"/>
      <c r="Y245" s="74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81"/>
      <c r="AK245" s="74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81"/>
      <c r="AW245" s="74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81"/>
      <c r="BI245" s="74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81"/>
      <c r="BU245" s="74"/>
      <c r="BV245" s="75"/>
      <c r="BW245" s="75"/>
      <c r="BX245" s="75"/>
      <c r="BY245" s="75"/>
      <c r="BZ245" s="75"/>
      <c r="CA245" s="75"/>
      <c r="CB245" s="75"/>
      <c r="CC245" s="75"/>
      <c r="CD245" s="75"/>
      <c r="CE245" s="75"/>
      <c r="CF245" s="81"/>
      <c r="CG245" s="74"/>
      <c r="CH245" s="75"/>
      <c r="CI245" s="75"/>
      <c r="CJ245" s="75"/>
      <c r="CK245" s="75"/>
      <c r="CL245" s="75"/>
      <c r="CM245" s="75"/>
      <c r="CN245" s="75"/>
      <c r="CO245" s="75"/>
      <c r="CP245" s="75"/>
      <c r="CQ245" s="75"/>
      <c r="CR245" s="81"/>
      <c r="CS245" s="74"/>
      <c r="CT245" s="75"/>
      <c r="CU245" s="75"/>
      <c r="CV245" s="75"/>
      <c r="CW245" s="75"/>
      <c r="CX245" s="75"/>
      <c r="CY245" s="75"/>
      <c r="CZ245" s="75"/>
      <c r="DA245" s="75"/>
      <c r="DB245" s="75"/>
      <c r="DC245" s="75"/>
      <c r="DD245" s="81"/>
      <c r="DE245" s="74"/>
      <c r="DF245" s="75"/>
      <c r="DG245" s="75"/>
      <c r="DH245" s="75"/>
      <c r="DI245" s="75"/>
      <c r="DJ245" s="75"/>
      <c r="DK245" s="75"/>
      <c r="DL245" s="75"/>
      <c r="DM245" s="75"/>
      <c r="DN245" s="75"/>
      <c r="DO245" s="75"/>
      <c r="DP245" s="81"/>
      <c r="DQ245" s="74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81"/>
      <c r="EC245" s="74"/>
      <c r="ED245" s="75"/>
      <c r="EE245" s="75"/>
      <c r="EF245" s="75"/>
      <c r="EG245" s="75"/>
      <c r="EH245" s="75"/>
      <c r="EI245" s="75"/>
      <c r="EJ245" s="75"/>
      <c r="EK245" s="75"/>
      <c r="EL245" s="75"/>
      <c r="EM245" s="75"/>
      <c r="EN245" s="81"/>
      <c r="EO245" s="74"/>
      <c r="EP245" s="75"/>
      <c r="EQ245" s="75"/>
      <c r="ER245" s="75"/>
      <c r="ES245" s="75"/>
      <c r="ET245" s="75"/>
      <c r="EU245" s="75"/>
      <c r="EV245" s="75"/>
      <c r="EW245" s="75"/>
      <c r="EX245" s="75"/>
      <c r="EY245" s="75"/>
      <c r="EZ245" s="81"/>
      <c r="FA245" s="74"/>
      <c r="FB245" s="75"/>
      <c r="FC245" s="75"/>
      <c r="FD245" s="75"/>
      <c r="FE245" s="75"/>
      <c r="FF245" s="75"/>
      <c r="FG245" s="75"/>
      <c r="FH245" s="75"/>
      <c r="FI245" s="75"/>
      <c r="FJ245" s="75"/>
      <c r="FK245" s="75"/>
      <c r="FL245" s="81"/>
      <c r="FM245" s="74"/>
      <c r="FN245" s="75"/>
      <c r="FO245" s="75"/>
      <c r="FP245" s="75"/>
      <c r="FQ245" s="75"/>
      <c r="FR245" s="75"/>
      <c r="FS245" s="75"/>
      <c r="FT245" s="75"/>
      <c r="FU245" s="75"/>
      <c r="FV245" s="75"/>
      <c r="FW245" s="75"/>
      <c r="FX245" s="81"/>
      <c r="FY245" s="74"/>
      <c r="FZ245" s="75"/>
      <c r="GA245" s="75"/>
      <c r="GB245" s="75"/>
      <c r="GC245" s="75"/>
      <c r="GD245" s="75"/>
      <c r="GE245" s="75"/>
      <c r="GF245" s="75"/>
      <c r="GG245" s="75"/>
      <c r="GH245" s="75"/>
      <c r="GI245" s="75"/>
      <c r="GJ245" s="81"/>
      <c r="GK245" s="74"/>
      <c r="GL245" s="75"/>
      <c r="GM245" s="75"/>
      <c r="GN245" s="75"/>
      <c r="GO245" s="75"/>
      <c r="GP245" s="75"/>
      <c r="GQ245" s="75"/>
      <c r="GR245" s="75"/>
      <c r="GS245" s="75"/>
      <c r="GT245" s="75"/>
      <c r="GU245" s="75"/>
      <c r="GV245" s="81"/>
      <c r="GW245" s="74"/>
      <c r="GX245" s="75"/>
      <c r="GY245" s="75"/>
      <c r="GZ245" s="75"/>
      <c r="HA245" s="75"/>
      <c r="HB245" s="75"/>
      <c r="HC245" s="75"/>
      <c r="HD245" s="75"/>
      <c r="HE245" s="75"/>
      <c r="HF245" s="75"/>
      <c r="HG245" s="75"/>
      <c r="HH245" s="81"/>
      <c r="HI245" s="75"/>
    </row>
    <row r="246" ht="15.0" customHeight="1">
      <c r="A246" s="74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81"/>
      <c r="M246" s="74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81"/>
      <c r="Y246" s="74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81"/>
      <c r="AK246" s="74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81"/>
      <c r="AW246" s="74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81"/>
      <c r="BI246" s="74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81"/>
      <c r="BU246" s="74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81"/>
      <c r="CG246" s="74"/>
      <c r="CH246" s="75"/>
      <c r="CI246" s="75"/>
      <c r="CJ246" s="75"/>
      <c r="CK246" s="75"/>
      <c r="CL246" s="75"/>
      <c r="CM246" s="75"/>
      <c r="CN246" s="75"/>
      <c r="CO246" s="75"/>
      <c r="CP246" s="75"/>
      <c r="CQ246" s="75"/>
      <c r="CR246" s="81"/>
      <c r="CS246" s="74"/>
      <c r="CT246" s="75"/>
      <c r="CU246" s="75"/>
      <c r="CV246" s="75"/>
      <c r="CW246" s="75"/>
      <c r="CX246" s="75"/>
      <c r="CY246" s="75"/>
      <c r="CZ246" s="75"/>
      <c r="DA246" s="75"/>
      <c r="DB246" s="75"/>
      <c r="DC246" s="75"/>
      <c r="DD246" s="81"/>
      <c r="DE246" s="74"/>
      <c r="DF246" s="75"/>
      <c r="DG246" s="75"/>
      <c r="DH246" s="75"/>
      <c r="DI246" s="75"/>
      <c r="DJ246" s="75"/>
      <c r="DK246" s="75"/>
      <c r="DL246" s="75"/>
      <c r="DM246" s="75"/>
      <c r="DN246" s="75"/>
      <c r="DO246" s="75"/>
      <c r="DP246" s="81"/>
      <c r="DQ246" s="74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81"/>
      <c r="EC246" s="74"/>
      <c r="ED246" s="75"/>
      <c r="EE246" s="75"/>
      <c r="EF246" s="75"/>
      <c r="EG246" s="75"/>
      <c r="EH246" s="75"/>
      <c r="EI246" s="75"/>
      <c r="EJ246" s="75"/>
      <c r="EK246" s="75"/>
      <c r="EL246" s="75"/>
      <c r="EM246" s="75"/>
      <c r="EN246" s="81"/>
      <c r="EO246" s="74"/>
      <c r="EP246" s="75"/>
      <c r="EQ246" s="75"/>
      <c r="ER246" s="75"/>
      <c r="ES246" s="75"/>
      <c r="ET246" s="75"/>
      <c r="EU246" s="75"/>
      <c r="EV246" s="75"/>
      <c r="EW246" s="75"/>
      <c r="EX246" s="75"/>
      <c r="EY246" s="75"/>
      <c r="EZ246" s="81"/>
      <c r="FA246" s="74"/>
      <c r="FB246" s="75"/>
      <c r="FC246" s="75"/>
      <c r="FD246" s="75"/>
      <c r="FE246" s="75"/>
      <c r="FF246" s="75"/>
      <c r="FG246" s="75"/>
      <c r="FH246" s="75"/>
      <c r="FI246" s="75"/>
      <c r="FJ246" s="75"/>
      <c r="FK246" s="75"/>
      <c r="FL246" s="81"/>
      <c r="FM246" s="74"/>
      <c r="FN246" s="75"/>
      <c r="FO246" s="75"/>
      <c r="FP246" s="75"/>
      <c r="FQ246" s="75"/>
      <c r="FR246" s="75"/>
      <c r="FS246" s="75"/>
      <c r="FT246" s="75"/>
      <c r="FU246" s="75"/>
      <c r="FV246" s="75"/>
      <c r="FW246" s="75"/>
      <c r="FX246" s="81"/>
      <c r="FY246" s="74"/>
      <c r="FZ246" s="75"/>
      <c r="GA246" s="75"/>
      <c r="GB246" s="75"/>
      <c r="GC246" s="75"/>
      <c r="GD246" s="75"/>
      <c r="GE246" s="75"/>
      <c r="GF246" s="75"/>
      <c r="GG246" s="75"/>
      <c r="GH246" s="75"/>
      <c r="GI246" s="75"/>
      <c r="GJ246" s="81"/>
      <c r="GK246" s="74"/>
      <c r="GL246" s="75"/>
      <c r="GM246" s="75"/>
      <c r="GN246" s="75"/>
      <c r="GO246" s="75"/>
      <c r="GP246" s="75"/>
      <c r="GQ246" s="75"/>
      <c r="GR246" s="75"/>
      <c r="GS246" s="75"/>
      <c r="GT246" s="75"/>
      <c r="GU246" s="75"/>
      <c r="GV246" s="81"/>
      <c r="GW246" s="74"/>
      <c r="GX246" s="75"/>
      <c r="GY246" s="75"/>
      <c r="GZ246" s="75"/>
      <c r="HA246" s="75"/>
      <c r="HB246" s="75"/>
      <c r="HC246" s="75"/>
      <c r="HD246" s="75"/>
      <c r="HE246" s="75"/>
      <c r="HF246" s="75"/>
      <c r="HG246" s="75"/>
      <c r="HH246" s="81"/>
      <c r="HI246" s="75"/>
    </row>
    <row r="247" ht="15.0" customHeight="1">
      <c r="A247" s="74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81"/>
      <c r="M247" s="74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81"/>
      <c r="Y247" s="74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81"/>
      <c r="AK247" s="74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81"/>
      <c r="AW247" s="74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81"/>
      <c r="BI247" s="74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81"/>
      <c r="BU247" s="74"/>
      <c r="BV247" s="75"/>
      <c r="BW247" s="75"/>
      <c r="BX247" s="75"/>
      <c r="BY247" s="75"/>
      <c r="BZ247" s="75"/>
      <c r="CA247" s="75"/>
      <c r="CB247" s="75"/>
      <c r="CC247" s="75"/>
      <c r="CD247" s="75"/>
      <c r="CE247" s="75"/>
      <c r="CF247" s="81"/>
      <c r="CG247" s="74"/>
      <c r="CH247" s="75"/>
      <c r="CI247" s="75"/>
      <c r="CJ247" s="75"/>
      <c r="CK247" s="75"/>
      <c r="CL247" s="75"/>
      <c r="CM247" s="75"/>
      <c r="CN247" s="75"/>
      <c r="CO247" s="75"/>
      <c r="CP247" s="75"/>
      <c r="CQ247" s="75"/>
      <c r="CR247" s="81"/>
      <c r="CS247" s="74"/>
      <c r="CT247" s="75"/>
      <c r="CU247" s="75"/>
      <c r="CV247" s="75"/>
      <c r="CW247" s="75"/>
      <c r="CX247" s="75"/>
      <c r="CY247" s="75"/>
      <c r="CZ247" s="75"/>
      <c r="DA247" s="75"/>
      <c r="DB247" s="75"/>
      <c r="DC247" s="75"/>
      <c r="DD247" s="81"/>
      <c r="DE247" s="74"/>
      <c r="DF247" s="75"/>
      <c r="DG247" s="75"/>
      <c r="DH247" s="75"/>
      <c r="DI247" s="75"/>
      <c r="DJ247" s="75"/>
      <c r="DK247" s="75"/>
      <c r="DL247" s="75"/>
      <c r="DM247" s="75"/>
      <c r="DN247" s="75"/>
      <c r="DO247" s="75"/>
      <c r="DP247" s="81"/>
      <c r="DQ247" s="74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81"/>
      <c r="EC247" s="74"/>
      <c r="ED247" s="75"/>
      <c r="EE247" s="75"/>
      <c r="EF247" s="75"/>
      <c r="EG247" s="75"/>
      <c r="EH247" s="75"/>
      <c r="EI247" s="75"/>
      <c r="EJ247" s="75"/>
      <c r="EK247" s="75"/>
      <c r="EL247" s="75"/>
      <c r="EM247" s="75"/>
      <c r="EN247" s="81"/>
      <c r="EO247" s="74"/>
      <c r="EP247" s="75"/>
      <c r="EQ247" s="75"/>
      <c r="ER247" s="75"/>
      <c r="ES247" s="75"/>
      <c r="ET247" s="75"/>
      <c r="EU247" s="75"/>
      <c r="EV247" s="75"/>
      <c r="EW247" s="75"/>
      <c r="EX247" s="75"/>
      <c r="EY247" s="75"/>
      <c r="EZ247" s="81"/>
      <c r="FA247" s="74"/>
      <c r="FB247" s="75"/>
      <c r="FC247" s="75"/>
      <c r="FD247" s="75"/>
      <c r="FE247" s="75"/>
      <c r="FF247" s="75"/>
      <c r="FG247" s="75"/>
      <c r="FH247" s="75"/>
      <c r="FI247" s="75"/>
      <c r="FJ247" s="75"/>
      <c r="FK247" s="75"/>
      <c r="FL247" s="81"/>
      <c r="FM247" s="74"/>
      <c r="FN247" s="75"/>
      <c r="FO247" s="75"/>
      <c r="FP247" s="75"/>
      <c r="FQ247" s="75"/>
      <c r="FR247" s="75"/>
      <c r="FS247" s="75"/>
      <c r="FT247" s="75"/>
      <c r="FU247" s="75"/>
      <c r="FV247" s="75"/>
      <c r="FW247" s="75"/>
      <c r="FX247" s="81"/>
      <c r="FY247" s="74"/>
      <c r="FZ247" s="75"/>
      <c r="GA247" s="75"/>
      <c r="GB247" s="75"/>
      <c r="GC247" s="75"/>
      <c r="GD247" s="75"/>
      <c r="GE247" s="75"/>
      <c r="GF247" s="75"/>
      <c r="GG247" s="75"/>
      <c r="GH247" s="75"/>
      <c r="GI247" s="75"/>
      <c r="GJ247" s="81"/>
      <c r="GK247" s="74"/>
      <c r="GL247" s="75"/>
      <c r="GM247" s="75"/>
      <c r="GN247" s="75"/>
      <c r="GO247" s="75"/>
      <c r="GP247" s="75"/>
      <c r="GQ247" s="75"/>
      <c r="GR247" s="75"/>
      <c r="GS247" s="75"/>
      <c r="GT247" s="75"/>
      <c r="GU247" s="75"/>
      <c r="GV247" s="81"/>
      <c r="GW247" s="74"/>
      <c r="GX247" s="75"/>
      <c r="GY247" s="75"/>
      <c r="GZ247" s="75"/>
      <c r="HA247" s="75"/>
      <c r="HB247" s="75"/>
      <c r="HC247" s="75"/>
      <c r="HD247" s="75"/>
      <c r="HE247" s="75"/>
      <c r="HF247" s="75"/>
      <c r="HG247" s="75"/>
      <c r="HH247" s="81"/>
      <c r="HI247" s="75"/>
    </row>
    <row r="248" ht="15.0" customHeight="1">
      <c r="A248" s="74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81"/>
      <c r="M248" s="74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81"/>
      <c r="Y248" s="74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81"/>
      <c r="AK248" s="74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81"/>
      <c r="AW248" s="74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81"/>
      <c r="BI248" s="74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81"/>
      <c r="BU248" s="74"/>
      <c r="BV248" s="75"/>
      <c r="BW248" s="75"/>
      <c r="BX248" s="75"/>
      <c r="BY248" s="75"/>
      <c r="BZ248" s="75"/>
      <c r="CA248" s="75"/>
      <c r="CB248" s="75"/>
      <c r="CC248" s="75"/>
      <c r="CD248" s="75"/>
      <c r="CE248" s="75"/>
      <c r="CF248" s="81"/>
      <c r="CG248" s="74"/>
      <c r="CH248" s="75"/>
      <c r="CI248" s="75"/>
      <c r="CJ248" s="75"/>
      <c r="CK248" s="75"/>
      <c r="CL248" s="75"/>
      <c r="CM248" s="75"/>
      <c r="CN248" s="75"/>
      <c r="CO248" s="75"/>
      <c r="CP248" s="75"/>
      <c r="CQ248" s="75"/>
      <c r="CR248" s="81"/>
      <c r="CS248" s="74"/>
      <c r="CT248" s="75"/>
      <c r="CU248" s="75"/>
      <c r="CV248" s="75"/>
      <c r="CW248" s="75"/>
      <c r="CX248" s="75"/>
      <c r="CY248" s="75"/>
      <c r="CZ248" s="75"/>
      <c r="DA248" s="75"/>
      <c r="DB248" s="75"/>
      <c r="DC248" s="75"/>
      <c r="DD248" s="81"/>
      <c r="DE248" s="74"/>
      <c r="DF248" s="75"/>
      <c r="DG248" s="75"/>
      <c r="DH248" s="75"/>
      <c r="DI248" s="75"/>
      <c r="DJ248" s="75"/>
      <c r="DK248" s="75"/>
      <c r="DL248" s="75"/>
      <c r="DM248" s="75"/>
      <c r="DN248" s="75"/>
      <c r="DO248" s="75"/>
      <c r="DP248" s="81"/>
      <c r="DQ248" s="74"/>
      <c r="DR248" s="75"/>
      <c r="DS248" s="75"/>
      <c r="DT248" s="75"/>
      <c r="DU248" s="75"/>
      <c r="DV248" s="75"/>
      <c r="DW248" s="75"/>
      <c r="DX248" s="75"/>
      <c r="DY248" s="75"/>
      <c r="DZ248" s="75"/>
      <c r="EA248" s="75"/>
      <c r="EB248" s="81"/>
      <c r="EC248" s="74"/>
      <c r="ED248" s="75"/>
      <c r="EE248" s="75"/>
      <c r="EF248" s="75"/>
      <c r="EG248" s="75"/>
      <c r="EH248" s="75"/>
      <c r="EI248" s="75"/>
      <c r="EJ248" s="75"/>
      <c r="EK248" s="75"/>
      <c r="EL248" s="75"/>
      <c r="EM248" s="75"/>
      <c r="EN248" s="81"/>
      <c r="EO248" s="74"/>
      <c r="EP248" s="75"/>
      <c r="EQ248" s="75"/>
      <c r="ER248" s="75"/>
      <c r="ES248" s="75"/>
      <c r="ET248" s="75"/>
      <c r="EU248" s="75"/>
      <c r="EV248" s="75"/>
      <c r="EW248" s="75"/>
      <c r="EX248" s="75"/>
      <c r="EY248" s="75"/>
      <c r="EZ248" s="81"/>
      <c r="FA248" s="74"/>
      <c r="FB248" s="75"/>
      <c r="FC248" s="75"/>
      <c r="FD248" s="75"/>
      <c r="FE248" s="75"/>
      <c r="FF248" s="75"/>
      <c r="FG248" s="75"/>
      <c r="FH248" s="75"/>
      <c r="FI248" s="75"/>
      <c r="FJ248" s="75"/>
      <c r="FK248" s="75"/>
      <c r="FL248" s="81"/>
      <c r="FM248" s="74"/>
      <c r="FN248" s="75"/>
      <c r="FO248" s="75"/>
      <c r="FP248" s="75"/>
      <c r="FQ248" s="75"/>
      <c r="FR248" s="75"/>
      <c r="FS248" s="75"/>
      <c r="FT248" s="75"/>
      <c r="FU248" s="75"/>
      <c r="FV248" s="75"/>
      <c r="FW248" s="75"/>
      <c r="FX248" s="81"/>
      <c r="FY248" s="74"/>
      <c r="FZ248" s="75"/>
      <c r="GA248" s="75"/>
      <c r="GB248" s="75"/>
      <c r="GC248" s="75"/>
      <c r="GD248" s="75"/>
      <c r="GE248" s="75"/>
      <c r="GF248" s="75"/>
      <c r="GG248" s="75"/>
      <c r="GH248" s="75"/>
      <c r="GI248" s="75"/>
      <c r="GJ248" s="81"/>
      <c r="GK248" s="74"/>
      <c r="GL248" s="75"/>
      <c r="GM248" s="75"/>
      <c r="GN248" s="75"/>
      <c r="GO248" s="75"/>
      <c r="GP248" s="75"/>
      <c r="GQ248" s="75"/>
      <c r="GR248" s="75"/>
      <c r="GS248" s="75"/>
      <c r="GT248" s="75"/>
      <c r="GU248" s="75"/>
      <c r="GV248" s="81"/>
      <c r="GW248" s="74"/>
      <c r="GX248" s="75"/>
      <c r="GY248" s="75"/>
      <c r="GZ248" s="75"/>
      <c r="HA248" s="75"/>
      <c r="HB248" s="75"/>
      <c r="HC248" s="75"/>
      <c r="HD248" s="75"/>
      <c r="HE248" s="75"/>
      <c r="HF248" s="75"/>
      <c r="HG248" s="75"/>
      <c r="HH248" s="81"/>
      <c r="HI248" s="75"/>
    </row>
    <row r="249" ht="15.0" customHeight="1">
      <c r="A249" s="74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81"/>
      <c r="M249" s="74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81"/>
      <c r="Y249" s="74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81"/>
      <c r="AK249" s="74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81"/>
      <c r="AW249" s="74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81"/>
      <c r="BI249" s="74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81"/>
      <c r="BU249" s="74"/>
      <c r="BV249" s="75"/>
      <c r="BW249" s="75"/>
      <c r="BX249" s="75"/>
      <c r="BY249" s="75"/>
      <c r="BZ249" s="75"/>
      <c r="CA249" s="75"/>
      <c r="CB249" s="75"/>
      <c r="CC249" s="75"/>
      <c r="CD249" s="75"/>
      <c r="CE249" s="75"/>
      <c r="CF249" s="81"/>
      <c r="CG249" s="74"/>
      <c r="CH249" s="75"/>
      <c r="CI249" s="75"/>
      <c r="CJ249" s="75"/>
      <c r="CK249" s="75"/>
      <c r="CL249" s="75"/>
      <c r="CM249" s="75"/>
      <c r="CN249" s="75"/>
      <c r="CO249" s="75"/>
      <c r="CP249" s="75"/>
      <c r="CQ249" s="75"/>
      <c r="CR249" s="81"/>
      <c r="CS249" s="74"/>
      <c r="CT249" s="75"/>
      <c r="CU249" s="75"/>
      <c r="CV249" s="75"/>
      <c r="CW249" s="75"/>
      <c r="CX249" s="75"/>
      <c r="CY249" s="75"/>
      <c r="CZ249" s="75"/>
      <c r="DA249" s="75"/>
      <c r="DB249" s="75"/>
      <c r="DC249" s="75"/>
      <c r="DD249" s="81"/>
      <c r="DE249" s="74"/>
      <c r="DF249" s="75"/>
      <c r="DG249" s="75"/>
      <c r="DH249" s="75"/>
      <c r="DI249" s="75"/>
      <c r="DJ249" s="75"/>
      <c r="DK249" s="75"/>
      <c r="DL249" s="75"/>
      <c r="DM249" s="75"/>
      <c r="DN249" s="75"/>
      <c r="DO249" s="75"/>
      <c r="DP249" s="81"/>
      <c r="DQ249" s="74"/>
      <c r="DR249" s="75"/>
      <c r="DS249" s="75"/>
      <c r="DT249" s="75"/>
      <c r="DU249" s="75"/>
      <c r="DV249" s="75"/>
      <c r="DW249" s="75"/>
      <c r="DX249" s="75"/>
      <c r="DY249" s="75"/>
      <c r="DZ249" s="75"/>
      <c r="EA249" s="75"/>
      <c r="EB249" s="81"/>
      <c r="EC249" s="74"/>
      <c r="ED249" s="75"/>
      <c r="EE249" s="75"/>
      <c r="EF249" s="75"/>
      <c r="EG249" s="75"/>
      <c r="EH249" s="75"/>
      <c r="EI249" s="75"/>
      <c r="EJ249" s="75"/>
      <c r="EK249" s="75"/>
      <c r="EL249" s="75"/>
      <c r="EM249" s="75"/>
      <c r="EN249" s="81"/>
      <c r="EO249" s="74"/>
      <c r="EP249" s="75"/>
      <c r="EQ249" s="75"/>
      <c r="ER249" s="75"/>
      <c r="ES249" s="75"/>
      <c r="ET249" s="75"/>
      <c r="EU249" s="75"/>
      <c r="EV249" s="75"/>
      <c r="EW249" s="75"/>
      <c r="EX249" s="75"/>
      <c r="EY249" s="75"/>
      <c r="EZ249" s="81"/>
      <c r="FA249" s="74"/>
      <c r="FB249" s="75"/>
      <c r="FC249" s="75"/>
      <c r="FD249" s="75"/>
      <c r="FE249" s="75"/>
      <c r="FF249" s="75"/>
      <c r="FG249" s="75"/>
      <c r="FH249" s="75"/>
      <c r="FI249" s="75"/>
      <c r="FJ249" s="75"/>
      <c r="FK249" s="75"/>
      <c r="FL249" s="81"/>
      <c r="FM249" s="74"/>
      <c r="FN249" s="75"/>
      <c r="FO249" s="75"/>
      <c r="FP249" s="75"/>
      <c r="FQ249" s="75"/>
      <c r="FR249" s="75"/>
      <c r="FS249" s="75"/>
      <c r="FT249" s="75"/>
      <c r="FU249" s="75"/>
      <c r="FV249" s="75"/>
      <c r="FW249" s="75"/>
      <c r="FX249" s="81"/>
      <c r="FY249" s="74"/>
      <c r="FZ249" s="75"/>
      <c r="GA249" s="75"/>
      <c r="GB249" s="75"/>
      <c r="GC249" s="75"/>
      <c r="GD249" s="75"/>
      <c r="GE249" s="75"/>
      <c r="GF249" s="75"/>
      <c r="GG249" s="75"/>
      <c r="GH249" s="75"/>
      <c r="GI249" s="75"/>
      <c r="GJ249" s="81"/>
      <c r="GK249" s="74"/>
      <c r="GL249" s="75"/>
      <c r="GM249" s="75"/>
      <c r="GN249" s="75"/>
      <c r="GO249" s="75"/>
      <c r="GP249" s="75"/>
      <c r="GQ249" s="75"/>
      <c r="GR249" s="75"/>
      <c r="GS249" s="75"/>
      <c r="GT249" s="75"/>
      <c r="GU249" s="75"/>
      <c r="GV249" s="81"/>
      <c r="GW249" s="74"/>
      <c r="GX249" s="75"/>
      <c r="GY249" s="75"/>
      <c r="GZ249" s="75"/>
      <c r="HA249" s="75"/>
      <c r="HB249" s="75"/>
      <c r="HC249" s="75"/>
      <c r="HD249" s="75"/>
      <c r="HE249" s="75"/>
      <c r="HF249" s="75"/>
      <c r="HG249" s="75"/>
      <c r="HH249" s="81"/>
      <c r="HI249" s="75"/>
    </row>
    <row r="250" ht="15.0" customHeight="1">
      <c r="A250" s="74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81"/>
      <c r="M250" s="74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81"/>
      <c r="Y250" s="74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81"/>
      <c r="AK250" s="74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81"/>
      <c r="AW250" s="74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81"/>
      <c r="BI250" s="74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81"/>
      <c r="BU250" s="74"/>
      <c r="BV250" s="75"/>
      <c r="BW250" s="75"/>
      <c r="BX250" s="75"/>
      <c r="BY250" s="75"/>
      <c r="BZ250" s="75"/>
      <c r="CA250" s="75"/>
      <c r="CB250" s="75"/>
      <c r="CC250" s="75"/>
      <c r="CD250" s="75"/>
      <c r="CE250" s="75"/>
      <c r="CF250" s="81"/>
      <c r="CG250" s="74"/>
      <c r="CH250" s="75"/>
      <c r="CI250" s="75"/>
      <c r="CJ250" s="75"/>
      <c r="CK250" s="75"/>
      <c r="CL250" s="75"/>
      <c r="CM250" s="75"/>
      <c r="CN250" s="75"/>
      <c r="CO250" s="75"/>
      <c r="CP250" s="75"/>
      <c r="CQ250" s="75"/>
      <c r="CR250" s="81"/>
      <c r="CS250" s="74"/>
      <c r="CT250" s="75"/>
      <c r="CU250" s="75"/>
      <c r="CV250" s="75"/>
      <c r="CW250" s="75"/>
      <c r="CX250" s="75"/>
      <c r="CY250" s="75"/>
      <c r="CZ250" s="75"/>
      <c r="DA250" s="75"/>
      <c r="DB250" s="75"/>
      <c r="DC250" s="75"/>
      <c r="DD250" s="81"/>
      <c r="DE250" s="74"/>
      <c r="DF250" s="75"/>
      <c r="DG250" s="75"/>
      <c r="DH250" s="75"/>
      <c r="DI250" s="75"/>
      <c r="DJ250" s="75"/>
      <c r="DK250" s="75"/>
      <c r="DL250" s="75"/>
      <c r="DM250" s="75"/>
      <c r="DN250" s="75"/>
      <c r="DO250" s="75"/>
      <c r="DP250" s="81"/>
      <c r="DQ250" s="74"/>
      <c r="DR250" s="75"/>
      <c r="DS250" s="75"/>
      <c r="DT250" s="75"/>
      <c r="DU250" s="75"/>
      <c r="DV250" s="75"/>
      <c r="DW250" s="75"/>
      <c r="DX250" s="75"/>
      <c r="DY250" s="75"/>
      <c r="DZ250" s="75"/>
      <c r="EA250" s="75"/>
      <c r="EB250" s="81"/>
      <c r="EC250" s="74"/>
      <c r="ED250" s="75"/>
      <c r="EE250" s="75"/>
      <c r="EF250" s="75"/>
      <c r="EG250" s="75"/>
      <c r="EH250" s="75"/>
      <c r="EI250" s="75"/>
      <c r="EJ250" s="75"/>
      <c r="EK250" s="75"/>
      <c r="EL250" s="75"/>
      <c r="EM250" s="75"/>
      <c r="EN250" s="81"/>
      <c r="EO250" s="74"/>
      <c r="EP250" s="75"/>
      <c r="EQ250" s="75"/>
      <c r="ER250" s="75"/>
      <c r="ES250" s="75"/>
      <c r="ET250" s="75"/>
      <c r="EU250" s="75"/>
      <c r="EV250" s="75"/>
      <c r="EW250" s="75"/>
      <c r="EX250" s="75"/>
      <c r="EY250" s="75"/>
      <c r="EZ250" s="81"/>
      <c r="FA250" s="74"/>
      <c r="FB250" s="75"/>
      <c r="FC250" s="75"/>
      <c r="FD250" s="75"/>
      <c r="FE250" s="75"/>
      <c r="FF250" s="75"/>
      <c r="FG250" s="75"/>
      <c r="FH250" s="75"/>
      <c r="FI250" s="75"/>
      <c r="FJ250" s="75"/>
      <c r="FK250" s="75"/>
      <c r="FL250" s="81"/>
      <c r="FM250" s="74"/>
      <c r="FN250" s="75"/>
      <c r="FO250" s="75"/>
      <c r="FP250" s="75"/>
      <c r="FQ250" s="75"/>
      <c r="FR250" s="75"/>
      <c r="FS250" s="75"/>
      <c r="FT250" s="75"/>
      <c r="FU250" s="75"/>
      <c r="FV250" s="75"/>
      <c r="FW250" s="75"/>
      <c r="FX250" s="81"/>
      <c r="FY250" s="74"/>
      <c r="FZ250" s="75"/>
      <c r="GA250" s="75"/>
      <c r="GB250" s="75"/>
      <c r="GC250" s="75"/>
      <c r="GD250" s="75"/>
      <c r="GE250" s="75"/>
      <c r="GF250" s="75"/>
      <c r="GG250" s="75"/>
      <c r="GH250" s="75"/>
      <c r="GI250" s="75"/>
      <c r="GJ250" s="81"/>
      <c r="GK250" s="74"/>
      <c r="GL250" s="75"/>
      <c r="GM250" s="75"/>
      <c r="GN250" s="75"/>
      <c r="GO250" s="75"/>
      <c r="GP250" s="75"/>
      <c r="GQ250" s="75"/>
      <c r="GR250" s="75"/>
      <c r="GS250" s="75"/>
      <c r="GT250" s="75"/>
      <c r="GU250" s="75"/>
      <c r="GV250" s="81"/>
      <c r="GW250" s="74"/>
      <c r="GX250" s="75"/>
      <c r="GY250" s="75"/>
      <c r="GZ250" s="75"/>
      <c r="HA250" s="75"/>
      <c r="HB250" s="75"/>
      <c r="HC250" s="75"/>
      <c r="HD250" s="75"/>
      <c r="HE250" s="75"/>
      <c r="HF250" s="75"/>
      <c r="HG250" s="75"/>
      <c r="HH250" s="81"/>
      <c r="HI250" s="75"/>
    </row>
    <row r="251" ht="15.0" customHeight="1">
      <c r="A251" s="74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81"/>
      <c r="M251" s="74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81"/>
      <c r="Y251" s="74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81"/>
      <c r="AK251" s="74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81"/>
      <c r="AW251" s="74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81"/>
      <c r="BI251" s="74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81"/>
      <c r="BU251" s="74"/>
      <c r="BV251" s="75"/>
      <c r="BW251" s="75"/>
      <c r="BX251" s="75"/>
      <c r="BY251" s="75"/>
      <c r="BZ251" s="75"/>
      <c r="CA251" s="75"/>
      <c r="CB251" s="75"/>
      <c r="CC251" s="75"/>
      <c r="CD251" s="75"/>
      <c r="CE251" s="75"/>
      <c r="CF251" s="81"/>
      <c r="CG251" s="74"/>
      <c r="CH251" s="75"/>
      <c r="CI251" s="75"/>
      <c r="CJ251" s="75"/>
      <c r="CK251" s="75"/>
      <c r="CL251" s="75"/>
      <c r="CM251" s="75"/>
      <c r="CN251" s="75"/>
      <c r="CO251" s="75"/>
      <c r="CP251" s="75"/>
      <c r="CQ251" s="75"/>
      <c r="CR251" s="81"/>
      <c r="CS251" s="74"/>
      <c r="CT251" s="75"/>
      <c r="CU251" s="75"/>
      <c r="CV251" s="75"/>
      <c r="CW251" s="75"/>
      <c r="CX251" s="75"/>
      <c r="CY251" s="75"/>
      <c r="CZ251" s="75"/>
      <c r="DA251" s="75"/>
      <c r="DB251" s="75"/>
      <c r="DC251" s="75"/>
      <c r="DD251" s="81"/>
      <c r="DE251" s="74"/>
      <c r="DF251" s="75"/>
      <c r="DG251" s="75"/>
      <c r="DH251" s="75"/>
      <c r="DI251" s="75"/>
      <c r="DJ251" s="75"/>
      <c r="DK251" s="75"/>
      <c r="DL251" s="75"/>
      <c r="DM251" s="75"/>
      <c r="DN251" s="75"/>
      <c r="DO251" s="75"/>
      <c r="DP251" s="81"/>
      <c r="DQ251" s="74"/>
      <c r="DR251" s="75"/>
      <c r="DS251" s="75"/>
      <c r="DT251" s="75"/>
      <c r="DU251" s="75"/>
      <c r="DV251" s="75"/>
      <c r="DW251" s="75"/>
      <c r="DX251" s="75"/>
      <c r="DY251" s="75"/>
      <c r="DZ251" s="75"/>
      <c r="EA251" s="75"/>
      <c r="EB251" s="81"/>
      <c r="EC251" s="74"/>
      <c r="ED251" s="75"/>
      <c r="EE251" s="75"/>
      <c r="EF251" s="75"/>
      <c r="EG251" s="75"/>
      <c r="EH251" s="75"/>
      <c r="EI251" s="75"/>
      <c r="EJ251" s="75"/>
      <c r="EK251" s="75"/>
      <c r="EL251" s="75"/>
      <c r="EM251" s="75"/>
      <c r="EN251" s="81"/>
      <c r="EO251" s="74"/>
      <c r="EP251" s="75"/>
      <c r="EQ251" s="75"/>
      <c r="ER251" s="75"/>
      <c r="ES251" s="75"/>
      <c r="ET251" s="75"/>
      <c r="EU251" s="75"/>
      <c r="EV251" s="75"/>
      <c r="EW251" s="75"/>
      <c r="EX251" s="75"/>
      <c r="EY251" s="75"/>
      <c r="EZ251" s="81"/>
      <c r="FA251" s="74"/>
      <c r="FB251" s="75"/>
      <c r="FC251" s="75"/>
      <c r="FD251" s="75"/>
      <c r="FE251" s="75"/>
      <c r="FF251" s="75"/>
      <c r="FG251" s="75"/>
      <c r="FH251" s="75"/>
      <c r="FI251" s="75"/>
      <c r="FJ251" s="75"/>
      <c r="FK251" s="75"/>
      <c r="FL251" s="81"/>
      <c r="FM251" s="74"/>
      <c r="FN251" s="75"/>
      <c r="FO251" s="75"/>
      <c r="FP251" s="75"/>
      <c r="FQ251" s="75"/>
      <c r="FR251" s="75"/>
      <c r="FS251" s="75"/>
      <c r="FT251" s="75"/>
      <c r="FU251" s="75"/>
      <c r="FV251" s="75"/>
      <c r="FW251" s="75"/>
      <c r="FX251" s="81"/>
      <c r="FY251" s="74"/>
      <c r="FZ251" s="75"/>
      <c r="GA251" s="75"/>
      <c r="GB251" s="75"/>
      <c r="GC251" s="75"/>
      <c r="GD251" s="75"/>
      <c r="GE251" s="75"/>
      <c r="GF251" s="75"/>
      <c r="GG251" s="75"/>
      <c r="GH251" s="75"/>
      <c r="GI251" s="75"/>
      <c r="GJ251" s="81"/>
      <c r="GK251" s="74"/>
      <c r="GL251" s="75"/>
      <c r="GM251" s="75"/>
      <c r="GN251" s="75"/>
      <c r="GO251" s="75"/>
      <c r="GP251" s="75"/>
      <c r="GQ251" s="75"/>
      <c r="GR251" s="75"/>
      <c r="GS251" s="75"/>
      <c r="GT251" s="75"/>
      <c r="GU251" s="75"/>
      <c r="GV251" s="81"/>
      <c r="GW251" s="74"/>
      <c r="GX251" s="75"/>
      <c r="GY251" s="75"/>
      <c r="GZ251" s="75"/>
      <c r="HA251" s="75"/>
      <c r="HB251" s="75"/>
      <c r="HC251" s="75"/>
      <c r="HD251" s="75"/>
      <c r="HE251" s="75"/>
      <c r="HF251" s="75"/>
      <c r="HG251" s="75"/>
      <c r="HH251" s="81"/>
      <c r="HI251" s="75"/>
    </row>
    <row r="252" ht="15.0" customHeight="1">
      <c r="A252" s="74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81"/>
      <c r="M252" s="74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81"/>
      <c r="Y252" s="74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81"/>
      <c r="AK252" s="74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81"/>
      <c r="AW252" s="74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81"/>
      <c r="BI252" s="74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81"/>
      <c r="BU252" s="74"/>
      <c r="BV252" s="75"/>
      <c r="BW252" s="75"/>
      <c r="BX252" s="75"/>
      <c r="BY252" s="75"/>
      <c r="BZ252" s="75"/>
      <c r="CA252" s="75"/>
      <c r="CB252" s="75"/>
      <c r="CC252" s="75"/>
      <c r="CD252" s="75"/>
      <c r="CE252" s="75"/>
      <c r="CF252" s="81"/>
      <c r="CG252" s="74"/>
      <c r="CH252" s="75"/>
      <c r="CI252" s="75"/>
      <c r="CJ252" s="75"/>
      <c r="CK252" s="75"/>
      <c r="CL252" s="75"/>
      <c r="CM252" s="75"/>
      <c r="CN252" s="75"/>
      <c r="CO252" s="75"/>
      <c r="CP252" s="75"/>
      <c r="CQ252" s="75"/>
      <c r="CR252" s="81"/>
      <c r="CS252" s="74"/>
      <c r="CT252" s="75"/>
      <c r="CU252" s="75"/>
      <c r="CV252" s="75"/>
      <c r="CW252" s="75"/>
      <c r="CX252" s="75"/>
      <c r="CY252" s="75"/>
      <c r="CZ252" s="75"/>
      <c r="DA252" s="75"/>
      <c r="DB252" s="75"/>
      <c r="DC252" s="75"/>
      <c r="DD252" s="81"/>
      <c r="DE252" s="74"/>
      <c r="DF252" s="75"/>
      <c r="DG252" s="75"/>
      <c r="DH252" s="75"/>
      <c r="DI252" s="75"/>
      <c r="DJ252" s="75"/>
      <c r="DK252" s="75"/>
      <c r="DL252" s="75"/>
      <c r="DM252" s="75"/>
      <c r="DN252" s="75"/>
      <c r="DO252" s="75"/>
      <c r="DP252" s="81"/>
      <c r="DQ252" s="74"/>
      <c r="DR252" s="75"/>
      <c r="DS252" s="75"/>
      <c r="DT252" s="75"/>
      <c r="DU252" s="75"/>
      <c r="DV252" s="75"/>
      <c r="DW252" s="75"/>
      <c r="DX252" s="75"/>
      <c r="DY252" s="75"/>
      <c r="DZ252" s="75"/>
      <c r="EA252" s="75"/>
      <c r="EB252" s="81"/>
      <c r="EC252" s="74"/>
      <c r="ED252" s="75"/>
      <c r="EE252" s="75"/>
      <c r="EF252" s="75"/>
      <c r="EG252" s="75"/>
      <c r="EH252" s="75"/>
      <c r="EI252" s="75"/>
      <c r="EJ252" s="75"/>
      <c r="EK252" s="75"/>
      <c r="EL252" s="75"/>
      <c r="EM252" s="75"/>
      <c r="EN252" s="81"/>
      <c r="EO252" s="74"/>
      <c r="EP252" s="75"/>
      <c r="EQ252" s="75"/>
      <c r="ER252" s="75"/>
      <c r="ES252" s="75"/>
      <c r="ET252" s="75"/>
      <c r="EU252" s="75"/>
      <c r="EV252" s="75"/>
      <c r="EW252" s="75"/>
      <c r="EX252" s="75"/>
      <c r="EY252" s="75"/>
      <c r="EZ252" s="81"/>
      <c r="FA252" s="74"/>
      <c r="FB252" s="75"/>
      <c r="FC252" s="75"/>
      <c r="FD252" s="75"/>
      <c r="FE252" s="75"/>
      <c r="FF252" s="75"/>
      <c r="FG252" s="75"/>
      <c r="FH252" s="75"/>
      <c r="FI252" s="75"/>
      <c r="FJ252" s="75"/>
      <c r="FK252" s="75"/>
      <c r="FL252" s="81"/>
      <c r="FM252" s="74"/>
      <c r="FN252" s="75"/>
      <c r="FO252" s="75"/>
      <c r="FP252" s="75"/>
      <c r="FQ252" s="75"/>
      <c r="FR252" s="75"/>
      <c r="FS252" s="75"/>
      <c r="FT252" s="75"/>
      <c r="FU252" s="75"/>
      <c r="FV252" s="75"/>
      <c r="FW252" s="75"/>
      <c r="FX252" s="81"/>
      <c r="FY252" s="74"/>
      <c r="FZ252" s="75"/>
      <c r="GA252" s="75"/>
      <c r="GB252" s="75"/>
      <c r="GC252" s="75"/>
      <c r="GD252" s="75"/>
      <c r="GE252" s="75"/>
      <c r="GF252" s="75"/>
      <c r="GG252" s="75"/>
      <c r="GH252" s="75"/>
      <c r="GI252" s="75"/>
      <c r="GJ252" s="81"/>
      <c r="GK252" s="74"/>
      <c r="GL252" s="75"/>
      <c r="GM252" s="75"/>
      <c r="GN252" s="75"/>
      <c r="GO252" s="75"/>
      <c r="GP252" s="75"/>
      <c r="GQ252" s="75"/>
      <c r="GR252" s="75"/>
      <c r="GS252" s="75"/>
      <c r="GT252" s="75"/>
      <c r="GU252" s="75"/>
      <c r="GV252" s="81"/>
      <c r="GW252" s="74"/>
      <c r="GX252" s="75"/>
      <c r="GY252" s="75"/>
      <c r="GZ252" s="75"/>
      <c r="HA252" s="75"/>
      <c r="HB252" s="75"/>
      <c r="HC252" s="75"/>
      <c r="HD252" s="75"/>
      <c r="HE252" s="75"/>
      <c r="HF252" s="75"/>
      <c r="HG252" s="75"/>
      <c r="HH252" s="81"/>
      <c r="HI252" s="75"/>
    </row>
    <row r="253" ht="15.0" customHeight="1">
      <c r="A253" s="74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81"/>
      <c r="M253" s="74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81"/>
      <c r="Y253" s="74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81"/>
      <c r="AK253" s="74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81"/>
      <c r="AW253" s="74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81"/>
      <c r="BI253" s="74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81"/>
      <c r="BU253" s="74"/>
      <c r="BV253" s="75"/>
      <c r="BW253" s="75"/>
      <c r="BX253" s="75"/>
      <c r="BY253" s="75"/>
      <c r="BZ253" s="75"/>
      <c r="CA253" s="75"/>
      <c r="CB253" s="75"/>
      <c r="CC253" s="75"/>
      <c r="CD253" s="75"/>
      <c r="CE253" s="75"/>
      <c r="CF253" s="81"/>
      <c r="CG253" s="74"/>
      <c r="CH253" s="75"/>
      <c r="CI253" s="75"/>
      <c r="CJ253" s="75"/>
      <c r="CK253" s="75"/>
      <c r="CL253" s="75"/>
      <c r="CM253" s="75"/>
      <c r="CN253" s="75"/>
      <c r="CO253" s="75"/>
      <c r="CP253" s="75"/>
      <c r="CQ253" s="75"/>
      <c r="CR253" s="81"/>
      <c r="CS253" s="74"/>
      <c r="CT253" s="75"/>
      <c r="CU253" s="75"/>
      <c r="CV253" s="75"/>
      <c r="CW253" s="75"/>
      <c r="CX253" s="75"/>
      <c r="CY253" s="75"/>
      <c r="CZ253" s="75"/>
      <c r="DA253" s="75"/>
      <c r="DB253" s="75"/>
      <c r="DC253" s="75"/>
      <c r="DD253" s="81"/>
      <c r="DE253" s="74"/>
      <c r="DF253" s="75"/>
      <c r="DG253" s="75"/>
      <c r="DH253" s="75"/>
      <c r="DI253" s="75"/>
      <c r="DJ253" s="75"/>
      <c r="DK253" s="75"/>
      <c r="DL253" s="75"/>
      <c r="DM253" s="75"/>
      <c r="DN253" s="75"/>
      <c r="DO253" s="75"/>
      <c r="DP253" s="81"/>
      <c r="DQ253" s="74"/>
      <c r="DR253" s="75"/>
      <c r="DS253" s="75"/>
      <c r="DT253" s="75"/>
      <c r="DU253" s="75"/>
      <c r="DV253" s="75"/>
      <c r="DW253" s="75"/>
      <c r="DX253" s="75"/>
      <c r="DY253" s="75"/>
      <c r="DZ253" s="75"/>
      <c r="EA253" s="75"/>
      <c r="EB253" s="81"/>
      <c r="EC253" s="74"/>
      <c r="ED253" s="75"/>
      <c r="EE253" s="75"/>
      <c r="EF253" s="75"/>
      <c r="EG253" s="75"/>
      <c r="EH253" s="75"/>
      <c r="EI253" s="75"/>
      <c r="EJ253" s="75"/>
      <c r="EK253" s="75"/>
      <c r="EL253" s="75"/>
      <c r="EM253" s="75"/>
      <c r="EN253" s="81"/>
      <c r="EO253" s="74"/>
      <c r="EP253" s="75"/>
      <c r="EQ253" s="75"/>
      <c r="ER253" s="75"/>
      <c r="ES253" s="75"/>
      <c r="ET253" s="75"/>
      <c r="EU253" s="75"/>
      <c r="EV253" s="75"/>
      <c r="EW253" s="75"/>
      <c r="EX253" s="75"/>
      <c r="EY253" s="75"/>
      <c r="EZ253" s="81"/>
      <c r="FA253" s="74"/>
      <c r="FB253" s="75"/>
      <c r="FC253" s="75"/>
      <c r="FD253" s="75"/>
      <c r="FE253" s="75"/>
      <c r="FF253" s="75"/>
      <c r="FG253" s="75"/>
      <c r="FH253" s="75"/>
      <c r="FI253" s="75"/>
      <c r="FJ253" s="75"/>
      <c r="FK253" s="75"/>
      <c r="FL253" s="81"/>
      <c r="FM253" s="74"/>
      <c r="FN253" s="75"/>
      <c r="FO253" s="75"/>
      <c r="FP253" s="75"/>
      <c r="FQ253" s="75"/>
      <c r="FR253" s="75"/>
      <c r="FS253" s="75"/>
      <c r="FT253" s="75"/>
      <c r="FU253" s="75"/>
      <c r="FV253" s="75"/>
      <c r="FW253" s="75"/>
      <c r="FX253" s="81"/>
      <c r="FY253" s="74"/>
      <c r="FZ253" s="75"/>
      <c r="GA253" s="75"/>
      <c r="GB253" s="75"/>
      <c r="GC253" s="75"/>
      <c r="GD253" s="75"/>
      <c r="GE253" s="75"/>
      <c r="GF253" s="75"/>
      <c r="GG253" s="75"/>
      <c r="GH253" s="75"/>
      <c r="GI253" s="75"/>
      <c r="GJ253" s="81"/>
      <c r="GK253" s="74"/>
      <c r="GL253" s="75"/>
      <c r="GM253" s="75"/>
      <c r="GN253" s="75"/>
      <c r="GO253" s="75"/>
      <c r="GP253" s="75"/>
      <c r="GQ253" s="75"/>
      <c r="GR253" s="75"/>
      <c r="GS253" s="75"/>
      <c r="GT253" s="75"/>
      <c r="GU253" s="75"/>
      <c r="GV253" s="81"/>
      <c r="GW253" s="74"/>
      <c r="GX253" s="75"/>
      <c r="GY253" s="75"/>
      <c r="GZ253" s="75"/>
      <c r="HA253" s="75"/>
      <c r="HB253" s="75"/>
      <c r="HC253" s="75"/>
      <c r="HD253" s="75"/>
      <c r="HE253" s="75"/>
      <c r="HF253" s="75"/>
      <c r="HG253" s="75"/>
      <c r="HH253" s="81"/>
      <c r="HI253" s="75"/>
    </row>
    <row r="254" ht="15.0" customHeight="1">
      <c r="A254" s="74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81"/>
      <c r="M254" s="74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81"/>
      <c r="Y254" s="74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81"/>
      <c r="AK254" s="74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81"/>
      <c r="AW254" s="74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81"/>
      <c r="BI254" s="74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81"/>
      <c r="BU254" s="74"/>
      <c r="BV254" s="75"/>
      <c r="BW254" s="75"/>
      <c r="BX254" s="75"/>
      <c r="BY254" s="75"/>
      <c r="BZ254" s="75"/>
      <c r="CA254" s="75"/>
      <c r="CB254" s="75"/>
      <c r="CC254" s="75"/>
      <c r="CD254" s="75"/>
      <c r="CE254" s="75"/>
      <c r="CF254" s="81"/>
      <c r="CG254" s="74"/>
      <c r="CH254" s="75"/>
      <c r="CI254" s="75"/>
      <c r="CJ254" s="75"/>
      <c r="CK254" s="75"/>
      <c r="CL254" s="75"/>
      <c r="CM254" s="75"/>
      <c r="CN254" s="75"/>
      <c r="CO254" s="75"/>
      <c r="CP254" s="75"/>
      <c r="CQ254" s="75"/>
      <c r="CR254" s="81"/>
      <c r="CS254" s="74"/>
      <c r="CT254" s="75"/>
      <c r="CU254" s="75"/>
      <c r="CV254" s="75"/>
      <c r="CW254" s="75"/>
      <c r="CX254" s="75"/>
      <c r="CY254" s="75"/>
      <c r="CZ254" s="75"/>
      <c r="DA254" s="75"/>
      <c r="DB254" s="75"/>
      <c r="DC254" s="75"/>
      <c r="DD254" s="81"/>
      <c r="DE254" s="74"/>
      <c r="DF254" s="75"/>
      <c r="DG254" s="75"/>
      <c r="DH254" s="75"/>
      <c r="DI254" s="75"/>
      <c r="DJ254" s="75"/>
      <c r="DK254" s="75"/>
      <c r="DL254" s="75"/>
      <c r="DM254" s="75"/>
      <c r="DN254" s="75"/>
      <c r="DO254" s="75"/>
      <c r="DP254" s="81"/>
      <c r="DQ254" s="74"/>
      <c r="DR254" s="75"/>
      <c r="DS254" s="75"/>
      <c r="DT254" s="75"/>
      <c r="DU254" s="75"/>
      <c r="DV254" s="75"/>
      <c r="DW254" s="75"/>
      <c r="DX254" s="75"/>
      <c r="DY254" s="75"/>
      <c r="DZ254" s="75"/>
      <c r="EA254" s="75"/>
      <c r="EB254" s="81"/>
      <c r="EC254" s="74"/>
      <c r="ED254" s="75"/>
      <c r="EE254" s="75"/>
      <c r="EF254" s="75"/>
      <c r="EG254" s="75"/>
      <c r="EH254" s="75"/>
      <c r="EI254" s="75"/>
      <c r="EJ254" s="75"/>
      <c r="EK254" s="75"/>
      <c r="EL254" s="75"/>
      <c r="EM254" s="75"/>
      <c r="EN254" s="81"/>
      <c r="EO254" s="74"/>
      <c r="EP254" s="75"/>
      <c r="EQ254" s="75"/>
      <c r="ER254" s="75"/>
      <c r="ES254" s="75"/>
      <c r="ET254" s="75"/>
      <c r="EU254" s="75"/>
      <c r="EV254" s="75"/>
      <c r="EW254" s="75"/>
      <c r="EX254" s="75"/>
      <c r="EY254" s="75"/>
      <c r="EZ254" s="81"/>
      <c r="FA254" s="74"/>
      <c r="FB254" s="75"/>
      <c r="FC254" s="75"/>
      <c r="FD254" s="75"/>
      <c r="FE254" s="75"/>
      <c r="FF254" s="75"/>
      <c r="FG254" s="75"/>
      <c r="FH254" s="75"/>
      <c r="FI254" s="75"/>
      <c r="FJ254" s="75"/>
      <c r="FK254" s="75"/>
      <c r="FL254" s="81"/>
      <c r="FM254" s="74"/>
      <c r="FN254" s="75"/>
      <c r="FO254" s="75"/>
      <c r="FP254" s="75"/>
      <c r="FQ254" s="75"/>
      <c r="FR254" s="75"/>
      <c r="FS254" s="75"/>
      <c r="FT254" s="75"/>
      <c r="FU254" s="75"/>
      <c r="FV254" s="75"/>
      <c r="FW254" s="75"/>
      <c r="FX254" s="81"/>
      <c r="FY254" s="74"/>
      <c r="FZ254" s="75"/>
      <c r="GA254" s="75"/>
      <c r="GB254" s="75"/>
      <c r="GC254" s="75"/>
      <c r="GD254" s="75"/>
      <c r="GE254" s="75"/>
      <c r="GF254" s="75"/>
      <c r="GG254" s="75"/>
      <c r="GH254" s="75"/>
      <c r="GI254" s="75"/>
      <c r="GJ254" s="81"/>
      <c r="GK254" s="74"/>
      <c r="GL254" s="75"/>
      <c r="GM254" s="75"/>
      <c r="GN254" s="75"/>
      <c r="GO254" s="75"/>
      <c r="GP254" s="75"/>
      <c r="GQ254" s="75"/>
      <c r="GR254" s="75"/>
      <c r="GS254" s="75"/>
      <c r="GT254" s="75"/>
      <c r="GU254" s="75"/>
      <c r="GV254" s="81"/>
      <c r="GW254" s="74"/>
      <c r="GX254" s="75"/>
      <c r="GY254" s="75"/>
      <c r="GZ254" s="75"/>
      <c r="HA254" s="75"/>
      <c r="HB254" s="75"/>
      <c r="HC254" s="75"/>
      <c r="HD254" s="75"/>
      <c r="HE254" s="75"/>
      <c r="HF254" s="75"/>
      <c r="HG254" s="75"/>
      <c r="HH254" s="81"/>
      <c r="HI254" s="75"/>
    </row>
    <row r="255" ht="15.0" customHeight="1">
      <c r="A255" s="74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81"/>
      <c r="M255" s="74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81"/>
      <c r="Y255" s="74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81"/>
      <c r="AK255" s="74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81"/>
      <c r="AW255" s="74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81"/>
      <c r="BI255" s="74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81"/>
      <c r="BU255" s="74"/>
      <c r="BV255" s="75"/>
      <c r="BW255" s="75"/>
      <c r="BX255" s="75"/>
      <c r="BY255" s="75"/>
      <c r="BZ255" s="75"/>
      <c r="CA255" s="75"/>
      <c r="CB255" s="75"/>
      <c r="CC255" s="75"/>
      <c r="CD255" s="75"/>
      <c r="CE255" s="75"/>
      <c r="CF255" s="81"/>
      <c r="CG255" s="74"/>
      <c r="CH255" s="75"/>
      <c r="CI255" s="75"/>
      <c r="CJ255" s="75"/>
      <c r="CK255" s="75"/>
      <c r="CL255" s="75"/>
      <c r="CM255" s="75"/>
      <c r="CN255" s="75"/>
      <c r="CO255" s="75"/>
      <c r="CP255" s="75"/>
      <c r="CQ255" s="75"/>
      <c r="CR255" s="81"/>
      <c r="CS255" s="74"/>
      <c r="CT255" s="75"/>
      <c r="CU255" s="75"/>
      <c r="CV255" s="75"/>
      <c r="CW255" s="75"/>
      <c r="CX255" s="75"/>
      <c r="CY255" s="75"/>
      <c r="CZ255" s="75"/>
      <c r="DA255" s="75"/>
      <c r="DB255" s="75"/>
      <c r="DC255" s="75"/>
      <c r="DD255" s="81"/>
      <c r="DE255" s="74"/>
      <c r="DF255" s="75"/>
      <c r="DG255" s="75"/>
      <c r="DH255" s="75"/>
      <c r="DI255" s="75"/>
      <c r="DJ255" s="75"/>
      <c r="DK255" s="75"/>
      <c r="DL255" s="75"/>
      <c r="DM255" s="75"/>
      <c r="DN255" s="75"/>
      <c r="DO255" s="75"/>
      <c r="DP255" s="81"/>
      <c r="DQ255" s="74"/>
      <c r="DR255" s="75"/>
      <c r="DS255" s="75"/>
      <c r="DT255" s="75"/>
      <c r="DU255" s="75"/>
      <c r="DV255" s="75"/>
      <c r="DW255" s="75"/>
      <c r="DX255" s="75"/>
      <c r="DY255" s="75"/>
      <c r="DZ255" s="75"/>
      <c r="EA255" s="75"/>
      <c r="EB255" s="81"/>
      <c r="EC255" s="74"/>
      <c r="ED255" s="75"/>
      <c r="EE255" s="75"/>
      <c r="EF255" s="75"/>
      <c r="EG255" s="75"/>
      <c r="EH255" s="75"/>
      <c r="EI255" s="75"/>
      <c r="EJ255" s="75"/>
      <c r="EK255" s="75"/>
      <c r="EL255" s="75"/>
      <c r="EM255" s="75"/>
      <c r="EN255" s="81"/>
      <c r="EO255" s="74"/>
      <c r="EP255" s="75"/>
      <c r="EQ255" s="75"/>
      <c r="ER255" s="75"/>
      <c r="ES255" s="75"/>
      <c r="ET255" s="75"/>
      <c r="EU255" s="75"/>
      <c r="EV255" s="75"/>
      <c r="EW255" s="75"/>
      <c r="EX255" s="75"/>
      <c r="EY255" s="75"/>
      <c r="EZ255" s="81"/>
      <c r="FA255" s="74"/>
      <c r="FB255" s="75"/>
      <c r="FC255" s="75"/>
      <c r="FD255" s="75"/>
      <c r="FE255" s="75"/>
      <c r="FF255" s="75"/>
      <c r="FG255" s="75"/>
      <c r="FH255" s="75"/>
      <c r="FI255" s="75"/>
      <c r="FJ255" s="75"/>
      <c r="FK255" s="75"/>
      <c r="FL255" s="81"/>
      <c r="FM255" s="74"/>
      <c r="FN255" s="75"/>
      <c r="FO255" s="75"/>
      <c r="FP255" s="75"/>
      <c r="FQ255" s="75"/>
      <c r="FR255" s="75"/>
      <c r="FS255" s="75"/>
      <c r="FT255" s="75"/>
      <c r="FU255" s="75"/>
      <c r="FV255" s="75"/>
      <c r="FW255" s="75"/>
      <c r="FX255" s="81"/>
      <c r="FY255" s="74"/>
      <c r="FZ255" s="75"/>
      <c r="GA255" s="75"/>
      <c r="GB255" s="75"/>
      <c r="GC255" s="75"/>
      <c r="GD255" s="75"/>
      <c r="GE255" s="75"/>
      <c r="GF255" s="75"/>
      <c r="GG255" s="75"/>
      <c r="GH255" s="75"/>
      <c r="GI255" s="75"/>
      <c r="GJ255" s="81"/>
      <c r="GK255" s="74"/>
      <c r="GL255" s="75"/>
      <c r="GM255" s="75"/>
      <c r="GN255" s="75"/>
      <c r="GO255" s="75"/>
      <c r="GP255" s="75"/>
      <c r="GQ255" s="75"/>
      <c r="GR255" s="75"/>
      <c r="GS255" s="75"/>
      <c r="GT255" s="75"/>
      <c r="GU255" s="75"/>
      <c r="GV255" s="81"/>
      <c r="GW255" s="74"/>
      <c r="GX255" s="75"/>
      <c r="GY255" s="75"/>
      <c r="GZ255" s="75"/>
      <c r="HA255" s="75"/>
      <c r="HB255" s="75"/>
      <c r="HC255" s="75"/>
      <c r="HD255" s="75"/>
      <c r="HE255" s="75"/>
      <c r="HF255" s="75"/>
      <c r="HG255" s="75"/>
      <c r="HH255" s="81"/>
      <c r="HI255" s="75"/>
    </row>
    <row r="256" ht="15.0" customHeight="1">
      <c r="A256" s="74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81"/>
      <c r="M256" s="74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81"/>
      <c r="Y256" s="74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81"/>
      <c r="AK256" s="74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81"/>
      <c r="AW256" s="74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81"/>
      <c r="BI256" s="74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81"/>
      <c r="BU256" s="74"/>
      <c r="BV256" s="75"/>
      <c r="BW256" s="75"/>
      <c r="BX256" s="75"/>
      <c r="BY256" s="75"/>
      <c r="BZ256" s="75"/>
      <c r="CA256" s="75"/>
      <c r="CB256" s="75"/>
      <c r="CC256" s="75"/>
      <c r="CD256" s="75"/>
      <c r="CE256" s="75"/>
      <c r="CF256" s="81"/>
      <c r="CG256" s="74"/>
      <c r="CH256" s="75"/>
      <c r="CI256" s="75"/>
      <c r="CJ256" s="75"/>
      <c r="CK256" s="75"/>
      <c r="CL256" s="75"/>
      <c r="CM256" s="75"/>
      <c r="CN256" s="75"/>
      <c r="CO256" s="75"/>
      <c r="CP256" s="75"/>
      <c r="CQ256" s="75"/>
      <c r="CR256" s="81"/>
      <c r="CS256" s="74"/>
      <c r="CT256" s="75"/>
      <c r="CU256" s="75"/>
      <c r="CV256" s="75"/>
      <c r="CW256" s="75"/>
      <c r="CX256" s="75"/>
      <c r="CY256" s="75"/>
      <c r="CZ256" s="75"/>
      <c r="DA256" s="75"/>
      <c r="DB256" s="75"/>
      <c r="DC256" s="75"/>
      <c r="DD256" s="81"/>
      <c r="DE256" s="74"/>
      <c r="DF256" s="75"/>
      <c r="DG256" s="75"/>
      <c r="DH256" s="75"/>
      <c r="DI256" s="75"/>
      <c r="DJ256" s="75"/>
      <c r="DK256" s="75"/>
      <c r="DL256" s="75"/>
      <c r="DM256" s="75"/>
      <c r="DN256" s="75"/>
      <c r="DO256" s="75"/>
      <c r="DP256" s="81"/>
      <c r="DQ256" s="74"/>
      <c r="DR256" s="75"/>
      <c r="DS256" s="75"/>
      <c r="DT256" s="75"/>
      <c r="DU256" s="75"/>
      <c r="DV256" s="75"/>
      <c r="DW256" s="75"/>
      <c r="DX256" s="75"/>
      <c r="DY256" s="75"/>
      <c r="DZ256" s="75"/>
      <c r="EA256" s="75"/>
      <c r="EB256" s="81"/>
      <c r="EC256" s="74"/>
      <c r="ED256" s="75"/>
      <c r="EE256" s="75"/>
      <c r="EF256" s="75"/>
      <c r="EG256" s="75"/>
      <c r="EH256" s="75"/>
      <c r="EI256" s="75"/>
      <c r="EJ256" s="75"/>
      <c r="EK256" s="75"/>
      <c r="EL256" s="75"/>
      <c r="EM256" s="75"/>
      <c r="EN256" s="81"/>
      <c r="EO256" s="74"/>
      <c r="EP256" s="75"/>
      <c r="EQ256" s="75"/>
      <c r="ER256" s="75"/>
      <c r="ES256" s="75"/>
      <c r="ET256" s="75"/>
      <c r="EU256" s="75"/>
      <c r="EV256" s="75"/>
      <c r="EW256" s="75"/>
      <c r="EX256" s="75"/>
      <c r="EY256" s="75"/>
      <c r="EZ256" s="81"/>
      <c r="FA256" s="74"/>
      <c r="FB256" s="75"/>
      <c r="FC256" s="75"/>
      <c r="FD256" s="75"/>
      <c r="FE256" s="75"/>
      <c r="FF256" s="75"/>
      <c r="FG256" s="75"/>
      <c r="FH256" s="75"/>
      <c r="FI256" s="75"/>
      <c r="FJ256" s="75"/>
      <c r="FK256" s="75"/>
      <c r="FL256" s="81"/>
      <c r="FM256" s="74"/>
      <c r="FN256" s="75"/>
      <c r="FO256" s="75"/>
      <c r="FP256" s="75"/>
      <c r="FQ256" s="75"/>
      <c r="FR256" s="75"/>
      <c r="FS256" s="75"/>
      <c r="FT256" s="75"/>
      <c r="FU256" s="75"/>
      <c r="FV256" s="75"/>
      <c r="FW256" s="75"/>
      <c r="FX256" s="81"/>
      <c r="FY256" s="74"/>
      <c r="FZ256" s="75"/>
      <c r="GA256" s="75"/>
      <c r="GB256" s="75"/>
      <c r="GC256" s="75"/>
      <c r="GD256" s="75"/>
      <c r="GE256" s="75"/>
      <c r="GF256" s="75"/>
      <c r="GG256" s="75"/>
      <c r="GH256" s="75"/>
      <c r="GI256" s="75"/>
      <c r="GJ256" s="81"/>
      <c r="GK256" s="74"/>
      <c r="GL256" s="75"/>
      <c r="GM256" s="75"/>
      <c r="GN256" s="75"/>
      <c r="GO256" s="75"/>
      <c r="GP256" s="75"/>
      <c r="GQ256" s="75"/>
      <c r="GR256" s="75"/>
      <c r="GS256" s="75"/>
      <c r="GT256" s="75"/>
      <c r="GU256" s="75"/>
      <c r="GV256" s="81"/>
      <c r="GW256" s="74"/>
      <c r="GX256" s="75"/>
      <c r="GY256" s="75"/>
      <c r="GZ256" s="75"/>
      <c r="HA256" s="75"/>
      <c r="HB256" s="75"/>
      <c r="HC256" s="75"/>
      <c r="HD256" s="75"/>
      <c r="HE256" s="75"/>
      <c r="HF256" s="75"/>
      <c r="HG256" s="75"/>
      <c r="HH256" s="81"/>
      <c r="HI256" s="75"/>
    </row>
    <row r="257" ht="15.0" customHeight="1">
      <c r="A257" s="74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81"/>
      <c r="M257" s="74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81"/>
      <c r="Y257" s="74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81"/>
      <c r="AK257" s="74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81"/>
      <c r="AW257" s="74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81"/>
      <c r="BI257" s="74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81"/>
      <c r="BU257" s="74"/>
      <c r="BV257" s="75"/>
      <c r="BW257" s="75"/>
      <c r="BX257" s="75"/>
      <c r="BY257" s="75"/>
      <c r="BZ257" s="75"/>
      <c r="CA257" s="75"/>
      <c r="CB257" s="75"/>
      <c r="CC257" s="75"/>
      <c r="CD257" s="75"/>
      <c r="CE257" s="75"/>
      <c r="CF257" s="81"/>
      <c r="CG257" s="74"/>
      <c r="CH257" s="75"/>
      <c r="CI257" s="75"/>
      <c r="CJ257" s="75"/>
      <c r="CK257" s="75"/>
      <c r="CL257" s="75"/>
      <c r="CM257" s="75"/>
      <c r="CN257" s="75"/>
      <c r="CO257" s="75"/>
      <c r="CP257" s="75"/>
      <c r="CQ257" s="75"/>
      <c r="CR257" s="81"/>
      <c r="CS257" s="74"/>
      <c r="CT257" s="75"/>
      <c r="CU257" s="75"/>
      <c r="CV257" s="75"/>
      <c r="CW257" s="75"/>
      <c r="CX257" s="75"/>
      <c r="CY257" s="75"/>
      <c r="CZ257" s="75"/>
      <c r="DA257" s="75"/>
      <c r="DB257" s="75"/>
      <c r="DC257" s="75"/>
      <c r="DD257" s="81"/>
      <c r="DE257" s="74"/>
      <c r="DF257" s="75"/>
      <c r="DG257" s="75"/>
      <c r="DH257" s="75"/>
      <c r="DI257" s="75"/>
      <c r="DJ257" s="75"/>
      <c r="DK257" s="75"/>
      <c r="DL257" s="75"/>
      <c r="DM257" s="75"/>
      <c r="DN257" s="75"/>
      <c r="DO257" s="75"/>
      <c r="DP257" s="81"/>
      <c r="DQ257" s="74"/>
      <c r="DR257" s="75"/>
      <c r="DS257" s="75"/>
      <c r="DT257" s="75"/>
      <c r="DU257" s="75"/>
      <c r="DV257" s="75"/>
      <c r="DW257" s="75"/>
      <c r="DX257" s="75"/>
      <c r="DY257" s="75"/>
      <c r="DZ257" s="75"/>
      <c r="EA257" s="75"/>
      <c r="EB257" s="81"/>
      <c r="EC257" s="74"/>
      <c r="ED257" s="75"/>
      <c r="EE257" s="75"/>
      <c r="EF257" s="75"/>
      <c r="EG257" s="75"/>
      <c r="EH257" s="75"/>
      <c r="EI257" s="75"/>
      <c r="EJ257" s="75"/>
      <c r="EK257" s="75"/>
      <c r="EL257" s="75"/>
      <c r="EM257" s="75"/>
      <c r="EN257" s="81"/>
      <c r="EO257" s="74"/>
      <c r="EP257" s="75"/>
      <c r="EQ257" s="75"/>
      <c r="ER257" s="75"/>
      <c r="ES257" s="75"/>
      <c r="ET257" s="75"/>
      <c r="EU257" s="75"/>
      <c r="EV257" s="75"/>
      <c r="EW257" s="75"/>
      <c r="EX257" s="75"/>
      <c r="EY257" s="75"/>
      <c r="EZ257" s="81"/>
      <c r="FA257" s="74"/>
      <c r="FB257" s="75"/>
      <c r="FC257" s="75"/>
      <c r="FD257" s="75"/>
      <c r="FE257" s="75"/>
      <c r="FF257" s="75"/>
      <c r="FG257" s="75"/>
      <c r="FH257" s="75"/>
      <c r="FI257" s="75"/>
      <c r="FJ257" s="75"/>
      <c r="FK257" s="75"/>
      <c r="FL257" s="81"/>
      <c r="FM257" s="74"/>
      <c r="FN257" s="75"/>
      <c r="FO257" s="75"/>
      <c r="FP257" s="75"/>
      <c r="FQ257" s="75"/>
      <c r="FR257" s="75"/>
      <c r="FS257" s="75"/>
      <c r="FT257" s="75"/>
      <c r="FU257" s="75"/>
      <c r="FV257" s="75"/>
      <c r="FW257" s="75"/>
      <c r="FX257" s="81"/>
      <c r="FY257" s="74"/>
      <c r="FZ257" s="75"/>
      <c r="GA257" s="75"/>
      <c r="GB257" s="75"/>
      <c r="GC257" s="75"/>
      <c r="GD257" s="75"/>
      <c r="GE257" s="75"/>
      <c r="GF257" s="75"/>
      <c r="GG257" s="75"/>
      <c r="GH257" s="75"/>
      <c r="GI257" s="75"/>
      <c r="GJ257" s="81"/>
      <c r="GK257" s="74"/>
      <c r="GL257" s="75"/>
      <c r="GM257" s="75"/>
      <c r="GN257" s="75"/>
      <c r="GO257" s="75"/>
      <c r="GP257" s="75"/>
      <c r="GQ257" s="75"/>
      <c r="GR257" s="75"/>
      <c r="GS257" s="75"/>
      <c r="GT257" s="75"/>
      <c r="GU257" s="75"/>
      <c r="GV257" s="81"/>
      <c r="GW257" s="74"/>
      <c r="GX257" s="75"/>
      <c r="GY257" s="75"/>
      <c r="GZ257" s="75"/>
      <c r="HA257" s="75"/>
      <c r="HB257" s="75"/>
      <c r="HC257" s="75"/>
      <c r="HD257" s="75"/>
      <c r="HE257" s="75"/>
      <c r="HF257" s="75"/>
      <c r="HG257" s="75"/>
      <c r="HH257" s="81"/>
      <c r="HI257" s="75"/>
    </row>
    <row r="258" ht="15.0" customHeight="1">
      <c r="A258" s="74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81"/>
      <c r="M258" s="74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81"/>
      <c r="Y258" s="74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81"/>
      <c r="AK258" s="74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81"/>
      <c r="AW258" s="74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81"/>
      <c r="BI258" s="74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81"/>
      <c r="BU258" s="74"/>
      <c r="BV258" s="75"/>
      <c r="BW258" s="75"/>
      <c r="BX258" s="75"/>
      <c r="BY258" s="75"/>
      <c r="BZ258" s="75"/>
      <c r="CA258" s="75"/>
      <c r="CB258" s="75"/>
      <c r="CC258" s="75"/>
      <c r="CD258" s="75"/>
      <c r="CE258" s="75"/>
      <c r="CF258" s="81"/>
      <c r="CG258" s="74"/>
      <c r="CH258" s="75"/>
      <c r="CI258" s="75"/>
      <c r="CJ258" s="75"/>
      <c r="CK258" s="75"/>
      <c r="CL258" s="75"/>
      <c r="CM258" s="75"/>
      <c r="CN258" s="75"/>
      <c r="CO258" s="75"/>
      <c r="CP258" s="75"/>
      <c r="CQ258" s="75"/>
      <c r="CR258" s="81"/>
      <c r="CS258" s="74"/>
      <c r="CT258" s="75"/>
      <c r="CU258" s="75"/>
      <c r="CV258" s="75"/>
      <c r="CW258" s="75"/>
      <c r="CX258" s="75"/>
      <c r="CY258" s="75"/>
      <c r="CZ258" s="75"/>
      <c r="DA258" s="75"/>
      <c r="DB258" s="75"/>
      <c r="DC258" s="75"/>
      <c r="DD258" s="81"/>
      <c r="DE258" s="74"/>
      <c r="DF258" s="75"/>
      <c r="DG258" s="75"/>
      <c r="DH258" s="75"/>
      <c r="DI258" s="75"/>
      <c r="DJ258" s="75"/>
      <c r="DK258" s="75"/>
      <c r="DL258" s="75"/>
      <c r="DM258" s="75"/>
      <c r="DN258" s="75"/>
      <c r="DO258" s="75"/>
      <c r="DP258" s="81"/>
      <c r="DQ258" s="74"/>
      <c r="DR258" s="75"/>
      <c r="DS258" s="75"/>
      <c r="DT258" s="75"/>
      <c r="DU258" s="75"/>
      <c r="DV258" s="75"/>
      <c r="DW258" s="75"/>
      <c r="DX258" s="75"/>
      <c r="DY258" s="75"/>
      <c r="DZ258" s="75"/>
      <c r="EA258" s="75"/>
      <c r="EB258" s="81"/>
      <c r="EC258" s="74"/>
      <c r="ED258" s="75"/>
      <c r="EE258" s="75"/>
      <c r="EF258" s="75"/>
      <c r="EG258" s="75"/>
      <c r="EH258" s="75"/>
      <c r="EI258" s="75"/>
      <c r="EJ258" s="75"/>
      <c r="EK258" s="75"/>
      <c r="EL258" s="75"/>
      <c r="EM258" s="75"/>
      <c r="EN258" s="81"/>
      <c r="EO258" s="74"/>
      <c r="EP258" s="75"/>
      <c r="EQ258" s="75"/>
      <c r="ER258" s="75"/>
      <c r="ES258" s="75"/>
      <c r="ET258" s="75"/>
      <c r="EU258" s="75"/>
      <c r="EV258" s="75"/>
      <c r="EW258" s="75"/>
      <c r="EX258" s="75"/>
      <c r="EY258" s="75"/>
      <c r="EZ258" s="81"/>
      <c r="FA258" s="74"/>
      <c r="FB258" s="75"/>
      <c r="FC258" s="75"/>
      <c r="FD258" s="75"/>
      <c r="FE258" s="75"/>
      <c r="FF258" s="75"/>
      <c r="FG258" s="75"/>
      <c r="FH258" s="75"/>
      <c r="FI258" s="75"/>
      <c r="FJ258" s="75"/>
      <c r="FK258" s="75"/>
      <c r="FL258" s="81"/>
      <c r="FM258" s="74"/>
      <c r="FN258" s="75"/>
      <c r="FO258" s="75"/>
      <c r="FP258" s="75"/>
      <c r="FQ258" s="75"/>
      <c r="FR258" s="75"/>
      <c r="FS258" s="75"/>
      <c r="FT258" s="75"/>
      <c r="FU258" s="75"/>
      <c r="FV258" s="75"/>
      <c r="FW258" s="75"/>
      <c r="FX258" s="81"/>
      <c r="FY258" s="74"/>
      <c r="FZ258" s="75"/>
      <c r="GA258" s="75"/>
      <c r="GB258" s="75"/>
      <c r="GC258" s="75"/>
      <c r="GD258" s="75"/>
      <c r="GE258" s="75"/>
      <c r="GF258" s="75"/>
      <c r="GG258" s="75"/>
      <c r="GH258" s="75"/>
      <c r="GI258" s="75"/>
      <c r="GJ258" s="81"/>
      <c r="GK258" s="74"/>
      <c r="GL258" s="75"/>
      <c r="GM258" s="75"/>
      <c r="GN258" s="75"/>
      <c r="GO258" s="75"/>
      <c r="GP258" s="75"/>
      <c r="GQ258" s="75"/>
      <c r="GR258" s="75"/>
      <c r="GS258" s="75"/>
      <c r="GT258" s="75"/>
      <c r="GU258" s="75"/>
      <c r="GV258" s="81"/>
      <c r="GW258" s="74"/>
      <c r="GX258" s="75"/>
      <c r="GY258" s="75"/>
      <c r="GZ258" s="75"/>
      <c r="HA258" s="75"/>
      <c r="HB258" s="75"/>
      <c r="HC258" s="75"/>
      <c r="HD258" s="75"/>
      <c r="HE258" s="75"/>
      <c r="HF258" s="75"/>
      <c r="HG258" s="75"/>
      <c r="HH258" s="81"/>
      <c r="HI258" s="75"/>
    </row>
    <row r="259" ht="15.0" customHeight="1">
      <c r="A259" s="74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81"/>
      <c r="M259" s="74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81"/>
      <c r="Y259" s="74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81"/>
      <c r="AK259" s="74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81"/>
      <c r="AW259" s="74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81"/>
      <c r="BI259" s="74"/>
      <c r="BJ259" s="75"/>
      <c r="BK259" s="75"/>
      <c r="BL259" s="75"/>
      <c r="BM259" s="75"/>
      <c r="BN259" s="75"/>
      <c r="BO259" s="75"/>
      <c r="BP259" s="75"/>
      <c r="BQ259" s="75"/>
      <c r="BR259" s="75"/>
      <c r="BS259" s="75"/>
      <c r="BT259" s="81"/>
      <c r="BU259" s="74"/>
      <c r="BV259" s="75"/>
      <c r="BW259" s="75"/>
      <c r="BX259" s="75"/>
      <c r="BY259" s="75"/>
      <c r="BZ259" s="75"/>
      <c r="CA259" s="75"/>
      <c r="CB259" s="75"/>
      <c r="CC259" s="75"/>
      <c r="CD259" s="75"/>
      <c r="CE259" s="75"/>
      <c r="CF259" s="81"/>
      <c r="CG259" s="74"/>
      <c r="CH259" s="75"/>
      <c r="CI259" s="75"/>
      <c r="CJ259" s="75"/>
      <c r="CK259" s="75"/>
      <c r="CL259" s="75"/>
      <c r="CM259" s="75"/>
      <c r="CN259" s="75"/>
      <c r="CO259" s="75"/>
      <c r="CP259" s="75"/>
      <c r="CQ259" s="75"/>
      <c r="CR259" s="81"/>
      <c r="CS259" s="74"/>
      <c r="CT259" s="75"/>
      <c r="CU259" s="75"/>
      <c r="CV259" s="75"/>
      <c r="CW259" s="75"/>
      <c r="CX259" s="75"/>
      <c r="CY259" s="75"/>
      <c r="CZ259" s="75"/>
      <c r="DA259" s="75"/>
      <c r="DB259" s="75"/>
      <c r="DC259" s="75"/>
      <c r="DD259" s="81"/>
      <c r="DE259" s="74"/>
      <c r="DF259" s="75"/>
      <c r="DG259" s="75"/>
      <c r="DH259" s="75"/>
      <c r="DI259" s="75"/>
      <c r="DJ259" s="75"/>
      <c r="DK259" s="75"/>
      <c r="DL259" s="75"/>
      <c r="DM259" s="75"/>
      <c r="DN259" s="75"/>
      <c r="DO259" s="75"/>
      <c r="DP259" s="81"/>
      <c r="DQ259" s="74"/>
      <c r="DR259" s="75"/>
      <c r="DS259" s="75"/>
      <c r="DT259" s="75"/>
      <c r="DU259" s="75"/>
      <c r="DV259" s="75"/>
      <c r="DW259" s="75"/>
      <c r="DX259" s="75"/>
      <c r="DY259" s="75"/>
      <c r="DZ259" s="75"/>
      <c r="EA259" s="75"/>
      <c r="EB259" s="81"/>
      <c r="EC259" s="74"/>
      <c r="ED259" s="75"/>
      <c r="EE259" s="75"/>
      <c r="EF259" s="75"/>
      <c r="EG259" s="75"/>
      <c r="EH259" s="75"/>
      <c r="EI259" s="75"/>
      <c r="EJ259" s="75"/>
      <c r="EK259" s="75"/>
      <c r="EL259" s="75"/>
      <c r="EM259" s="75"/>
      <c r="EN259" s="81"/>
      <c r="EO259" s="74"/>
      <c r="EP259" s="75"/>
      <c r="EQ259" s="75"/>
      <c r="ER259" s="75"/>
      <c r="ES259" s="75"/>
      <c r="ET259" s="75"/>
      <c r="EU259" s="75"/>
      <c r="EV259" s="75"/>
      <c r="EW259" s="75"/>
      <c r="EX259" s="75"/>
      <c r="EY259" s="75"/>
      <c r="EZ259" s="81"/>
      <c r="FA259" s="74"/>
      <c r="FB259" s="75"/>
      <c r="FC259" s="75"/>
      <c r="FD259" s="75"/>
      <c r="FE259" s="75"/>
      <c r="FF259" s="75"/>
      <c r="FG259" s="75"/>
      <c r="FH259" s="75"/>
      <c r="FI259" s="75"/>
      <c r="FJ259" s="75"/>
      <c r="FK259" s="75"/>
      <c r="FL259" s="81"/>
      <c r="FM259" s="74"/>
      <c r="FN259" s="75"/>
      <c r="FO259" s="75"/>
      <c r="FP259" s="75"/>
      <c r="FQ259" s="75"/>
      <c r="FR259" s="75"/>
      <c r="FS259" s="75"/>
      <c r="FT259" s="75"/>
      <c r="FU259" s="75"/>
      <c r="FV259" s="75"/>
      <c r="FW259" s="75"/>
      <c r="FX259" s="81"/>
      <c r="FY259" s="74"/>
      <c r="FZ259" s="75"/>
      <c r="GA259" s="75"/>
      <c r="GB259" s="75"/>
      <c r="GC259" s="75"/>
      <c r="GD259" s="75"/>
      <c r="GE259" s="75"/>
      <c r="GF259" s="75"/>
      <c r="GG259" s="75"/>
      <c r="GH259" s="75"/>
      <c r="GI259" s="75"/>
      <c r="GJ259" s="81"/>
      <c r="GK259" s="74"/>
      <c r="GL259" s="75"/>
      <c r="GM259" s="75"/>
      <c r="GN259" s="75"/>
      <c r="GO259" s="75"/>
      <c r="GP259" s="75"/>
      <c r="GQ259" s="75"/>
      <c r="GR259" s="75"/>
      <c r="GS259" s="75"/>
      <c r="GT259" s="75"/>
      <c r="GU259" s="75"/>
      <c r="GV259" s="81"/>
      <c r="GW259" s="74"/>
      <c r="GX259" s="75"/>
      <c r="GY259" s="75"/>
      <c r="GZ259" s="75"/>
      <c r="HA259" s="75"/>
      <c r="HB259" s="75"/>
      <c r="HC259" s="75"/>
      <c r="HD259" s="75"/>
      <c r="HE259" s="75"/>
      <c r="HF259" s="75"/>
      <c r="HG259" s="75"/>
      <c r="HH259" s="81"/>
      <c r="HI259" s="75"/>
    </row>
    <row r="260" ht="15.0" customHeight="1">
      <c r="A260" s="74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81"/>
      <c r="M260" s="74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81"/>
      <c r="Y260" s="74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81"/>
      <c r="AK260" s="74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81"/>
      <c r="AW260" s="74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81"/>
      <c r="BI260" s="74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81"/>
      <c r="BU260" s="74"/>
      <c r="BV260" s="75"/>
      <c r="BW260" s="75"/>
      <c r="BX260" s="75"/>
      <c r="BY260" s="75"/>
      <c r="BZ260" s="75"/>
      <c r="CA260" s="75"/>
      <c r="CB260" s="75"/>
      <c r="CC260" s="75"/>
      <c r="CD260" s="75"/>
      <c r="CE260" s="75"/>
      <c r="CF260" s="81"/>
      <c r="CG260" s="74"/>
      <c r="CH260" s="75"/>
      <c r="CI260" s="75"/>
      <c r="CJ260" s="75"/>
      <c r="CK260" s="75"/>
      <c r="CL260" s="75"/>
      <c r="CM260" s="75"/>
      <c r="CN260" s="75"/>
      <c r="CO260" s="75"/>
      <c r="CP260" s="75"/>
      <c r="CQ260" s="75"/>
      <c r="CR260" s="81"/>
      <c r="CS260" s="74"/>
      <c r="CT260" s="75"/>
      <c r="CU260" s="75"/>
      <c r="CV260" s="75"/>
      <c r="CW260" s="75"/>
      <c r="CX260" s="75"/>
      <c r="CY260" s="75"/>
      <c r="CZ260" s="75"/>
      <c r="DA260" s="75"/>
      <c r="DB260" s="75"/>
      <c r="DC260" s="75"/>
      <c r="DD260" s="81"/>
      <c r="DE260" s="74"/>
      <c r="DF260" s="75"/>
      <c r="DG260" s="75"/>
      <c r="DH260" s="75"/>
      <c r="DI260" s="75"/>
      <c r="DJ260" s="75"/>
      <c r="DK260" s="75"/>
      <c r="DL260" s="75"/>
      <c r="DM260" s="75"/>
      <c r="DN260" s="75"/>
      <c r="DO260" s="75"/>
      <c r="DP260" s="81"/>
      <c r="DQ260" s="74"/>
      <c r="DR260" s="75"/>
      <c r="DS260" s="75"/>
      <c r="DT260" s="75"/>
      <c r="DU260" s="75"/>
      <c r="DV260" s="75"/>
      <c r="DW260" s="75"/>
      <c r="DX260" s="75"/>
      <c r="DY260" s="75"/>
      <c r="DZ260" s="75"/>
      <c r="EA260" s="75"/>
      <c r="EB260" s="81"/>
      <c r="EC260" s="74"/>
      <c r="ED260" s="75"/>
      <c r="EE260" s="75"/>
      <c r="EF260" s="75"/>
      <c r="EG260" s="75"/>
      <c r="EH260" s="75"/>
      <c r="EI260" s="75"/>
      <c r="EJ260" s="75"/>
      <c r="EK260" s="75"/>
      <c r="EL260" s="75"/>
      <c r="EM260" s="75"/>
      <c r="EN260" s="81"/>
      <c r="EO260" s="74"/>
      <c r="EP260" s="75"/>
      <c r="EQ260" s="75"/>
      <c r="ER260" s="75"/>
      <c r="ES260" s="75"/>
      <c r="ET260" s="75"/>
      <c r="EU260" s="75"/>
      <c r="EV260" s="75"/>
      <c r="EW260" s="75"/>
      <c r="EX260" s="75"/>
      <c r="EY260" s="75"/>
      <c r="EZ260" s="81"/>
      <c r="FA260" s="74"/>
      <c r="FB260" s="75"/>
      <c r="FC260" s="75"/>
      <c r="FD260" s="75"/>
      <c r="FE260" s="75"/>
      <c r="FF260" s="75"/>
      <c r="FG260" s="75"/>
      <c r="FH260" s="75"/>
      <c r="FI260" s="75"/>
      <c r="FJ260" s="75"/>
      <c r="FK260" s="75"/>
      <c r="FL260" s="81"/>
      <c r="FM260" s="74"/>
      <c r="FN260" s="75"/>
      <c r="FO260" s="75"/>
      <c r="FP260" s="75"/>
      <c r="FQ260" s="75"/>
      <c r="FR260" s="75"/>
      <c r="FS260" s="75"/>
      <c r="FT260" s="75"/>
      <c r="FU260" s="75"/>
      <c r="FV260" s="75"/>
      <c r="FW260" s="75"/>
      <c r="FX260" s="81"/>
      <c r="FY260" s="74"/>
      <c r="FZ260" s="75"/>
      <c r="GA260" s="75"/>
      <c r="GB260" s="75"/>
      <c r="GC260" s="75"/>
      <c r="GD260" s="75"/>
      <c r="GE260" s="75"/>
      <c r="GF260" s="75"/>
      <c r="GG260" s="75"/>
      <c r="GH260" s="75"/>
      <c r="GI260" s="75"/>
      <c r="GJ260" s="81"/>
      <c r="GK260" s="74"/>
      <c r="GL260" s="75"/>
      <c r="GM260" s="75"/>
      <c r="GN260" s="75"/>
      <c r="GO260" s="75"/>
      <c r="GP260" s="75"/>
      <c r="GQ260" s="75"/>
      <c r="GR260" s="75"/>
      <c r="GS260" s="75"/>
      <c r="GT260" s="75"/>
      <c r="GU260" s="75"/>
      <c r="GV260" s="81"/>
      <c r="GW260" s="74"/>
      <c r="GX260" s="75"/>
      <c r="GY260" s="75"/>
      <c r="GZ260" s="75"/>
      <c r="HA260" s="75"/>
      <c r="HB260" s="75"/>
      <c r="HC260" s="75"/>
      <c r="HD260" s="75"/>
      <c r="HE260" s="75"/>
      <c r="HF260" s="75"/>
      <c r="HG260" s="75"/>
      <c r="HH260" s="81"/>
      <c r="HI260" s="75"/>
    </row>
    <row r="261" ht="15.0" customHeight="1">
      <c r="A261" s="74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81"/>
      <c r="M261" s="74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81"/>
      <c r="Y261" s="74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81"/>
      <c r="AK261" s="74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81"/>
      <c r="AW261" s="74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81"/>
      <c r="BI261" s="74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81"/>
      <c r="BU261" s="74"/>
      <c r="BV261" s="75"/>
      <c r="BW261" s="75"/>
      <c r="BX261" s="75"/>
      <c r="BY261" s="75"/>
      <c r="BZ261" s="75"/>
      <c r="CA261" s="75"/>
      <c r="CB261" s="75"/>
      <c r="CC261" s="75"/>
      <c r="CD261" s="75"/>
      <c r="CE261" s="75"/>
      <c r="CF261" s="81"/>
      <c r="CG261" s="74"/>
      <c r="CH261" s="75"/>
      <c r="CI261" s="75"/>
      <c r="CJ261" s="75"/>
      <c r="CK261" s="75"/>
      <c r="CL261" s="75"/>
      <c r="CM261" s="75"/>
      <c r="CN261" s="75"/>
      <c r="CO261" s="75"/>
      <c r="CP261" s="75"/>
      <c r="CQ261" s="75"/>
      <c r="CR261" s="81"/>
      <c r="CS261" s="74"/>
      <c r="CT261" s="75"/>
      <c r="CU261" s="75"/>
      <c r="CV261" s="75"/>
      <c r="CW261" s="75"/>
      <c r="CX261" s="75"/>
      <c r="CY261" s="75"/>
      <c r="CZ261" s="75"/>
      <c r="DA261" s="75"/>
      <c r="DB261" s="75"/>
      <c r="DC261" s="75"/>
      <c r="DD261" s="81"/>
      <c r="DE261" s="74"/>
      <c r="DF261" s="75"/>
      <c r="DG261" s="75"/>
      <c r="DH261" s="75"/>
      <c r="DI261" s="75"/>
      <c r="DJ261" s="75"/>
      <c r="DK261" s="75"/>
      <c r="DL261" s="75"/>
      <c r="DM261" s="75"/>
      <c r="DN261" s="75"/>
      <c r="DO261" s="75"/>
      <c r="DP261" s="81"/>
      <c r="DQ261" s="74"/>
      <c r="DR261" s="75"/>
      <c r="DS261" s="75"/>
      <c r="DT261" s="75"/>
      <c r="DU261" s="75"/>
      <c r="DV261" s="75"/>
      <c r="DW261" s="75"/>
      <c r="DX261" s="75"/>
      <c r="DY261" s="75"/>
      <c r="DZ261" s="75"/>
      <c r="EA261" s="75"/>
      <c r="EB261" s="81"/>
      <c r="EC261" s="74"/>
      <c r="ED261" s="75"/>
      <c r="EE261" s="75"/>
      <c r="EF261" s="75"/>
      <c r="EG261" s="75"/>
      <c r="EH261" s="75"/>
      <c r="EI261" s="75"/>
      <c r="EJ261" s="75"/>
      <c r="EK261" s="75"/>
      <c r="EL261" s="75"/>
      <c r="EM261" s="75"/>
      <c r="EN261" s="81"/>
      <c r="EO261" s="74"/>
      <c r="EP261" s="75"/>
      <c r="EQ261" s="75"/>
      <c r="ER261" s="75"/>
      <c r="ES261" s="75"/>
      <c r="ET261" s="75"/>
      <c r="EU261" s="75"/>
      <c r="EV261" s="75"/>
      <c r="EW261" s="75"/>
      <c r="EX261" s="75"/>
      <c r="EY261" s="75"/>
      <c r="EZ261" s="81"/>
      <c r="FA261" s="74"/>
      <c r="FB261" s="75"/>
      <c r="FC261" s="75"/>
      <c r="FD261" s="75"/>
      <c r="FE261" s="75"/>
      <c r="FF261" s="75"/>
      <c r="FG261" s="75"/>
      <c r="FH261" s="75"/>
      <c r="FI261" s="75"/>
      <c r="FJ261" s="75"/>
      <c r="FK261" s="75"/>
      <c r="FL261" s="81"/>
      <c r="FM261" s="74"/>
      <c r="FN261" s="75"/>
      <c r="FO261" s="75"/>
      <c r="FP261" s="75"/>
      <c r="FQ261" s="75"/>
      <c r="FR261" s="75"/>
      <c r="FS261" s="75"/>
      <c r="FT261" s="75"/>
      <c r="FU261" s="75"/>
      <c r="FV261" s="75"/>
      <c r="FW261" s="75"/>
      <c r="FX261" s="81"/>
      <c r="FY261" s="74"/>
      <c r="FZ261" s="75"/>
      <c r="GA261" s="75"/>
      <c r="GB261" s="75"/>
      <c r="GC261" s="75"/>
      <c r="GD261" s="75"/>
      <c r="GE261" s="75"/>
      <c r="GF261" s="75"/>
      <c r="GG261" s="75"/>
      <c r="GH261" s="75"/>
      <c r="GI261" s="75"/>
      <c r="GJ261" s="81"/>
      <c r="GK261" s="74"/>
      <c r="GL261" s="75"/>
      <c r="GM261" s="75"/>
      <c r="GN261" s="75"/>
      <c r="GO261" s="75"/>
      <c r="GP261" s="75"/>
      <c r="GQ261" s="75"/>
      <c r="GR261" s="75"/>
      <c r="GS261" s="75"/>
      <c r="GT261" s="75"/>
      <c r="GU261" s="75"/>
      <c r="GV261" s="81"/>
      <c r="GW261" s="74"/>
      <c r="GX261" s="75"/>
      <c r="GY261" s="75"/>
      <c r="GZ261" s="75"/>
      <c r="HA261" s="75"/>
      <c r="HB261" s="75"/>
      <c r="HC261" s="75"/>
      <c r="HD261" s="75"/>
      <c r="HE261" s="75"/>
      <c r="HF261" s="75"/>
      <c r="HG261" s="75"/>
      <c r="HH261" s="81"/>
      <c r="HI261" s="75"/>
    </row>
    <row r="262" ht="15.0" customHeight="1">
      <c r="A262" s="74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81"/>
      <c r="M262" s="74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81"/>
      <c r="Y262" s="74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81"/>
      <c r="AK262" s="74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81"/>
      <c r="AW262" s="74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81"/>
      <c r="BI262" s="74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81"/>
      <c r="BU262" s="74"/>
      <c r="BV262" s="75"/>
      <c r="BW262" s="75"/>
      <c r="BX262" s="75"/>
      <c r="BY262" s="75"/>
      <c r="BZ262" s="75"/>
      <c r="CA262" s="75"/>
      <c r="CB262" s="75"/>
      <c r="CC262" s="75"/>
      <c r="CD262" s="75"/>
      <c r="CE262" s="75"/>
      <c r="CF262" s="81"/>
      <c r="CG262" s="74"/>
      <c r="CH262" s="75"/>
      <c r="CI262" s="75"/>
      <c r="CJ262" s="75"/>
      <c r="CK262" s="75"/>
      <c r="CL262" s="75"/>
      <c r="CM262" s="75"/>
      <c r="CN262" s="75"/>
      <c r="CO262" s="75"/>
      <c r="CP262" s="75"/>
      <c r="CQ262" s="75"/>
      <c r="CR262" s="81"/>
      <c r="CS262" s="74"/>
      <c r="CT262" s="75"/>
      <c r="CU262" s="75"/>
      <c r="CV262" s="75"/>
      <c r="CW262" s="75"/>
      <c r="CX262" s="75"/>
      <c r="CY262" s="75"/>
      <c r="CZ262" s="75"/>
      <c r="DA262" s="75"/>
      <c r="DB262" s="75"/>
      <c r="DC262" s="75"/>
      <c r="DD262" s="81"/>
      <c r="DE262" s="74"/>
      <c r="DF262" s="75"/>
      <c r="DG262" s="75"/>
      <c r="DH262" s="75"/>
      <c r="DI262" s="75"/>
      <c r="DJ262" s="75"/>
      <c r="DK262" s="75"/>
      <c r="DL262" s="75"/>
      <c r="DM262" s="75"/>
      <c r="DN262" s="75"/>
      <c r="DO262" s="75"/>
      <c r="DP262" s="81"/>
      <c r="DQ262" s="74"/>
      <c r="DR262" s="75"/>
      <c r="DS262" s="75"/>
      <c r="DT262" s="75"/>
      <c r="DU262" s="75"/>
      <c r="DV262" s="75"/>
      <c r="DW262" s="75"/>
      <c r="DX262" s="75"/>
      <c r="DY262" s="75"/>
      <c r="DZ262" s="75"/>
      <c r="EA262" s="75"/>
      <c r="EB262" s="81"/>
      <c r="EC262" s="74"/>
      <c r="ED262" s="75"/>
      <c r="EE262" s="75"/>
      <c r="EF262" s="75"/>
      <c r="EG262" s="75"/>
      <c r="EH262" s="75"/>
      <c r="EI262" s="75"/>
      <c r="EJ262" s="75"/>
      <c r="EK262" s="75"/>
      <c r="EL262" s="75"/>
      <c r="EM262" s="75"/>
      <c r="EN262" s="81"/>
      <c r="EO262" s="74"/>
      <c r="EP262" s="75"/>
      <c r="EQ262" s="75"/>
      <c r="ER262" s="75"/>
      <c r="ES262" s="75"/>
      <c r="ET262" s="75"/>
      <c r="EU262" s="75"/>
      <c r="EV262" s="75"/>
      <c r="EW262" s="75"/>
      <c r="EX262" s="75"/>
      <c r="EY262" s="75"/>
      <c r="EZ262" s="81"/>
      <c r="FA262" s="74"/>
      <c r="FB262" s="75"/>
      <c r="FC262" s="75"/>
      <c r="FD262" s="75"/>
      <c r="FE262" s="75"/>
      <c r="FF262" s="75"/>
      <c r="FG262" s="75"/>
      <c r="FH262" s="75"/>
      <c r="FI262" s="75"/>
      <c r="FJ262" s="75"/>
      <c r="FK262" s="75"/>
      <c r="FL262" s="81"/>
      <c r="FM262" s="74"/>
      <c r="FN262" s="75"/>
      <c r="FO262" s="75"/>
      <c r="FP262" s="75"/>
      <c r="FQ262" s="75"/>
      <c r="FR262" s="75"/>
      <c r="FS262" s="75"/>
      <c r="FT262" s="75"/>
      <c r="FU262" s="75"/>
      <c r="FV262" s="75"/>
      <c r="FW262" s="75"/>
      <c r="FX262" s="81"/>
      <c r="FY262" s="74"/>
      <c r="FZ262" s="75"/>
      <c r="GA262" s="75"/>
      <c r="GB262" s="75"/>
      <c r="GC262" s="75"/>
      <c r="GD262" s="75"/>
      <c r="GE262" s="75"/>
      <c r="GF262" s="75"/>
      <c r="GG262" s="75"/>
      <c r="GH262" s="75"/>
      <c r="GI262" s="75"/>
      <c r="GJ262" s="81"/>
      <c r="GK262" s="74"/>
      <c r="GL262" s="75"/>
      <c r="GM262" s="75"/>
      <c r="GN262" s="75"/>
      <c r="GO262" s="75"/>
      <c r="GP262" s="75"/>
      <c r="GQ262" s="75"/>
      <c r="GR262" s="75"/>
      <c r="GS262" s="75"/>
      <c r="GT262" s="75"/>
      <c r="GU262" s="75"/>
      <c r="GV262" s="81"/>
      <c r="GW262" s="74"/>
      <c r="GX262" s="75"/>
      <c r="GY262" s="75"/>
      <c r="GZ262" s="75"/>
      <c r="HA262" s="75"/>
      <c r="HB262" s="75"/>
      <c r="HC262" s="75"/>
      <c r="HD262" s="75"/>
      <c r="HE262" s="75"/>
      <c r="HF262" s="75"/>
      <c r="HG262" s="75"/>
      <c r="HH262" s="81"/>
      <c r="HI262" s="75"/>
    </row>
    <row r="263" ht="15.0" customHeight="1">
      <c r="A263" s="74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81"/>
      <c r="M263" s="74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81"/>
      <c r="Y263" s="74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81"/>
      <c r="AK263" s="74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81"/>
      <c r="AW263" s="74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81"/>
      <c r="BI263" s="74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81"/>
      <c r="BU263" s="74"/>
      <c r="BV263" s="75"/>
      <c r="BW263" s="75"/>
      <c r="BX263" s="75"/>
      <c r="BY263" s="75"/>
      <c r="BZ263" s="75"/>
      <c r="CA263" s="75"/>
      <c r="CB263" s="75"/>
      <c r="CC263" s="75"/>
      <c r="CD263" s="75"/>
      <c r="CE263" s="75"/>
      <c r="CF263" s="81"/>
      <c r="CG263" s="74"/>
      <c r="CH263" s="75"/>
      <c r="CI263" s="75"/>
      <c r="CJ263" s="75"/>
      <c r="CK263" s="75"/>
      <c r="CL263" s="75"/>
      <c r="CM263" s="75"/>
      <c r="CN263" s="75"/>
      <c r="CO263" s="75"/>
      <c r="CP263" s="75"/>
      <c r="CQ263" s="75"/>
      <c r="CR263" s="81"/>
      <c r="CS263" s="74"/>
      <c r="CT263" s="75"/>
      <c r="CU263" s="75"/>
      <c r="CV263" s="75"/>
      <c r="CW263" s="75"/>
      <c r="CX263" s="75"/>
      <c r="CY263" s="75"/>
      <c r="CZ263" s="75"/>
      <c r="DA263" s="75"/>
      <c r="DB263" s="75"/>
      <c r="DC263" s="75"/>
      <c r="DD263" s="81"/>
      <c r="DE263" s="74"/>
      <c r="DF263" s="75"/>
      <c r="DG263" s="75"/>
      <c r="DH263" s="75"/>
      <c r="DI263" s="75"/>
      <c r="DJ263" s="75"/>
      <c r="DK263" s="75"/>
      <c r="DL263" s="75"/>
      <c r="DM263" s="75"/>
      <c r="DN263" s="75"/>
      <c r="DO263" s="75"/>
      <c r="DP263" s="81"/>
      <c r="DQ263" s="74"/>
      <c r="DR263" s="75"/>
      <c r="DS263" s="75"/>
      <c r="DT263" s="75"/>
      <c r="DU263" s="75"/>
      <c r="DV263" s="75"/>
      <c r="DW263" s="75"/>
      <c r="DX263" s="75"/>
      <c r="DY263" s="75"/>
      <c r="DZ263" s="75"/>
      <c r="EA263" s="75"/>
      <c r="EB263" s="81"/>
      <c r="EC263" s="74"/>
      <c r="ED263" s="75"/>
      <c r="EE263" s="75"/>
      <c r="EF263" s="75"/>
      <c r="EG263" s="75"/>
      <c r="EH263" s="75"/>
      <c r="EI263" s="75"/>
      <c r="EJ263" s="75"/>
      <c r="EK263" s="75"/>
      <c r="EL263" s="75"/>
      <c r="EM263" s="75"/>
      <c r="EN263" s="81"/>
      <c r="EO263" s="74"/>
      <c r="EP263" s="75"/>
      <c r="EQ263" s="75"/>
      <c r="ER263" s="75"/>
      <c r="ES263" s="75"/>
      <c r="ET263" s="75"/>
      <c r="EU263" s="75"/>
      <c r="EV263" s="75"/>
      <c r="EW263" s="75"/>
      <c r="EX263" s="75"/>
      <c r="EY263" s="75"/>
      <c r="EZ263" s="81"/>
      <c r="FA263" s="74"/>
      <c r="FB263" s="75"/>
      <c r="FC263" s="75"/>
      <c r="FD263" s="75"/>
      <c r="FE263" s="75"/>
      <c r="FF263" s="75"/>
      <c r="FG263" s="75"/>
      <c r="FH263" s="75"/>
      <c r="FI263" s="75"/>
      <c r="FJ263" s="75"/>
      <c r="FK263" s="75"/>
      <c r="FL263" s="81"/>
      <c r="FM263" s="74"/>
      <c r="FN263" s="75"/>
      <c r="FO263" s="75"/>
      <c r="FP263" s="75"/>
      <c r="FQ263" s="75"/>
      <c r="FR263" s="75"/>
      <c r="FS263" s="75"/>
      <c r="FT263" s="75"/>
      <c r="FU263" s="75"/>
      <c r="FV263" s="75"/>
      <c r="FW263" s="75"/>
      <c r="FX263" s="81"/>
      <c r="FY263" s="74"/>
      <c r="FZ263" s="75"/>
      <c r="GA263" s="75"/>
      <c r="GB263" s="75"/>
      <c r="GC263" s="75"/>
      <c r="GD263" s="75"/>
      <c r="GE263" s="75"/>
      <c r="GF263" s="75"/>
      <c r="GG263" s="75"/>
      <c r="GH263" s="75"/>
      <c r="GI263" s="75"/>
      <c r="GJ263" s="81"/>
      <c r="GK263" s="74"/>
      <c r="GL263" s="75"/>
      <c r="GM263" s="75"/>
      <c r="GN263" s="75"/>
      <c r="GO263" s="75"/>
      <c r="GP263" s="75"/>
      <c r="GQ263" s="75"/>
      <c r="GR263" s="75"/>
      <c r="GS263" s="75"/>
      <c r="GT263" s="75"/>
      <c r="GU263" s="75"/>
      <c r="GV263" s="81"/>
      <c r="GW263" s="74"/>
      <c r="GX263" s="75"/>
      <c r="GY263" s="75"/>
      <c r="GZ263" s="75"/>
      <c r="HA263" s="75"/>
      <c r="HB263" s="75"/>
      <c r="HC263" s="75"/>
      <c r="HD263" s="75"/>
      <c r="HE263" s="75"/>
      <c r="HF263" s="75"/>
      <c r="HG263" s="75"/>
      <c r="HH263" s="81"/>
      <c r="HI263" s="75"/>
    </row>
    <row r="264" ht="15.0" customHeight="1">
      <c r="A264" s="74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81"/>
      <c r="M264" s="74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81"/>
      <c r="Y264" s="74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81"/>
      <c r="AK264" s="74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81"/>
      <c r="AW264" s="74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81"/>
      <c r="BI264" s="74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81"/>
      <c r="BU264" s="74"/>
      <c r="BV264" s="75"/>
      <c r="BW264" s="75"/>
      <c r="BX264" s="75"/>
      <c r="BY264" s="75"/>
      <c r="BZ264" s="75"/>
      <c r="CA264" s="75"/>
      <c r="CB264" s="75"/>
      <c r="CC264" s="75"/>
      <c r="CD264" s="75"/>
      <c r="CE264" s="75"/>
      <c r="CF264" s="81"/>
      <c r="CG264" s="74"/>
      <c r="CH264" s="75"/>
      <c r="CI264" s="75"/>
      <c r="CJ264" s="75"/>
      <c r="CK264" s="75"/>
      <c r="CL264" s="75"/>
      <c r="CM264" s="75"/>
      <c r="CN264" s="75"/>
      <c r="CO264" s="75"/>
      <c r="CP264" s="75"/>
      <c r="CQ264" s="75"/>
      <c r="CR264" s="81"/>
      <c r="CS264" s="74"/>
      <c r="CT264" s="75"/>
      <c r="CU264" s="75"/>
      <c r="CV264" s="75"/>
      <c r="CW264" s="75"/>
      <c r="CX264" s="75"/>
      <c r="CY264" s="75"/>
      <c r="CZ264" s="75"/>
      <c r="DA264" s="75"/>
      <c r="DB264" s="75"/>
      <c r="DC264" s="75"/>
      <c r="DD264" s="81"/>
      <c r="DE264" s="74"/>
      <c r="DF264" s="75"/>
      <c r="DG264" s="75"/>
      <c r="DH264" s="75"/>
      <c r="DI264" s="75"/>
      <c r="DJ264" s="75"/>
      <c r="DK264" s="75"/>
      <c r="DL264" s="75"/>
      <c r="DM264" s="75"/>
      <c r="DN264" s="75"/>
      <c r="DO264" s="75"/>
      <c r="DP264" s="81"/>
      <c r="DQ264" s="74"/>
      <c r="DR264" s="75"/>
      <c r="DS264" s="75"/>
      <c r="DT264" s="75"/>
      <c r="DU264" s="75"/>
      <c r="DV264" s="75"/>
      <c r="DW264" s="75"/>
      <c r="DX264" s="75"/>
      <c r="DY264" s="75"/>
      <c r="DZ264" s="75"/>
      <c r="EA264" s="75"/>
      <c r="EB264" s="81"/>
      <c r="EC264" s="74"/>
      <c r="ED264" s="75"/>
      <c r="EE264" s="75"/>
      <c r="EF264" s="75"/>
      <c r="EG264" s="75"/>
      <c r="EH264" s="75"/>
      <c r="EI264" s="75"/>
      <c r="EJ264" s="75"/>
      <c r="EK264" s="75"/>
      <c r="EL264" s="75"/>
      <c r="EM264" s="75"/>
      <c r="EN264" s="81"/>
      <c r="EO264" s="74"/>
      <c r="EP264" s="75"/>
      <c r="EQ264" s="75"/>
      <c r="ER264" s="75"/>
      <c r="ES264" s="75"/>
      <c r="ET264" s="75"/>
      <c r="EU264" s="75"/>
      <c r="EV264" s="75"/>
      <c r="EW264" s="75"/>
      <c r="EX264" s="75"/>
      <c r="EY264" s="75"/>
      <c r="EZ264" s="81"/>
      <c r="FA264" s="74"/>
      <c r="FB264" s="75"/>
      <c r="FC264" s="75"/>
      <c r="FD264" s="75"/>
      <c r="FE264" s="75"/>
      <c r="FF264" s="75"/>
      <c r="FG264" s="75"/>
      <c r="FH264" s="75"/>
      <c r="FI264" s="75"/>
      <c r="FJ264" s="75"/>
      <c r="FK264" s="75"/>
      <c r="FL264" s="81"/>
      <c r="FM264" s="74"/>
      <c r="FN264" s="75"/>
      <c r="FO264" s="75"/>
      <c r="FP264" s="75"/>
      <c r="FQ264" s="75"/>
      <c r="FR264" s="75"/>
      <c r="FS264" s="75"/>
      <c r="FT264" s="75"/>
      <c r="FU264" s="75"/>
      <c r="FV264" s="75"/>
      <c r="FW264" s="75"/>
      <c r="FX264" s="81"/>
      <c r="FY264" s="74"/>
      <c r="FZ264" s="75"/>
      <c r="GA264" s="75"/>
      <c r="GB264" s="75"/>
      <c r="GC264" s="75"/>
      <c r="GD264" s="75"/>
      <c r="GE264" s="75"/>
      <c r="GF264" s="75"/>
      <c r="GG264" s="75"/>
      <c r="GH264" s="75"/>
      <c r="GI264" s="75"/>
      <c r="GJ264" s="81"/>
      <c r="GK264" s="74"/>
      <c r="GL264" s="75"/>
      <c r="GM264" s="75"/>
      <c r="GN264" s="75"/>
      <c r="GO264" s="75"/>
      <c r="GP264" s="75"/>
      <c r="GQ264" s="75"/>
      <c r="GR264" s="75"/>
      <c r="GS264" s="75"/>
      <c r="GT264" s="75"/>
      <c r="GU264" s="75"/>
      <c r="GV264" s="81"/>
      <c r="GW264" s="74"/>
      <c r="GX264" s="75"/>
      <c r="GY264" s="75"/>
      <c r="GZ264" s="75"/>
      <c r="HA264" s="75"/>
      <c r="HB264" s="75"/>
      <c r="HC264" s="75"/>
      <c r="HD264" s="75"/>
      <c r="HE264" s="75"/>
      <c r="HF264" s="75"/>
      <c r="HG264" s="75"/>
      <c r="HH264" s="81"/>
      <c r="HI264" s="75"/>
    </row>
    <row r="265" ht="15.0" customHeight="1">
      <c r="A265" s="74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81"/>
      <c r="M265" s="74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81"/>
      <c r="Y265" s="74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81"/>
      <c r="AK265" s="74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81"/>
      <c r="AW265" s="74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81"/>
      <c r="BI265" s="74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81"/>
      <c r="BU265" s="74"/>
      <c r="BV265" s="75"/>
      <c r="BW265" s="75"/>
      <c r="BX265" s="75"/>
      <c r="BY265" s="75"/>
      <c r="BZ265" s="75"/>
      <c r="CA265" s="75"/>
      <c r="CB265" s="75"/>
      <c r="CC265" s="75"/>
      <c r="CD265" s="75"/>
      <c r="CE265" s="75"/>
      <c r="CF265" s="81"/>
      <c r="CG265" s="74"/>
      <c r="CH265" s="75"/>
      <c r="CI265" s="75"/>
      <c r="CJ265" s="75"/>
      <c r="CK265" s="75"/>
      <c r="CL265" s="75"/>
      <c r="CM265" s="75"/>
      <c r="CN265" s="75"/>
      <c r="CO265" s="75"/>
      <c r="CP265" s="75"/>
      <c r="CQ265" s="75"/>
      <c r="CR265" s="81"/>
      <c r="CS265" s="74"/>
      <c r="CT265" s="75"/>
      <c r="CU265" s="75"/>
      <c r="CV265" s="75"/>
      <c r="CW265" s="75"/>
      <c r="CX265" s="75"/>
      <c r="CY265" s="75"/>
      <c r="CZ265" s="75"/>
      <c r="DA265" s="75"/>
      <c r="DB265" s="75"/>
      <c r="DC265" s="75"/>
      <c r="DD265" s="81"/>
      <c r="DE265" s="74"/>
      <c r="DF265" s="75"/>
      <c r="DG265" s="75"/>
      <c r="DH265" s="75"/>
      <c r="DI265" s="75"/>
      <c r="DJ265" s="75"/>
      <c r="DK265" s="75"/>
      <c r="DL265" s="75"/>
      <c r="DM265" s="75"/>
      <c r="DN265" s="75"/>
      <c r="DO265" s="75"/>
      <c r="DP265" s="81"/>
      <c r="DQ265" s="74"/>
      <c r="DR265" s="75"/>
      <c r="DS265" s="75"/>
      <c r="DT265" s="75"/>
      <c r="DU265" s="75"/>
      <c r="DV265" s="75"/>
      <c r="DW265" s="75"/>
      <c r="DX265" s="75"/>
      <c r="DY265" s="75"/>
      <c r="DZ265" s="75"/>
      <c r="EA265" s="75"/>
      <c r="EB265" s="81"/>
      <c r="EC265" s="74"/>
      <c r="ED265" s="75"/>
      <c r="EE265" s="75"/>
      <c r="EF265" s="75"/>
      <c r="EG265" s="75"/>
      <c r="EH265" s="75"/>
      <c r="EI265" s="75"/>
      <c r="EJ265" s="75"/>
      <c r="EK265" s="75"/>
      <c r="EL265" s="75"/>
      <c r="EM265" s="75"/>
      <c r="EN265" s="81"/>
      <c r="EO265" s="74"/>
      <c r="EP265" s="75"/>
      <c r="EQ265" s="75"/>
      <c r="ER265" s="75"/>
      <c r="ES265" s="75"/>
      <c r="ET265" s="75"/>
      <c r="EU265" s="75"/>
      <c r="EV265" s="75"/>
      <c r="EW265" s="75"/>
      <c r="EX265" s="75"/>
      <c r="EY265" s="75"/>
      <c r="EZ265" s="81"/>
      <c r="FA265" s="74"/>
      <c r="FB265" s="75"/>
      <c r="FC265" s="75"/>
      <c r="FD265" s="75"/>
      <c r="FE265" s="75"/>
      <c r="FF265" s="75"/>
      <c r="FG265" s="75"/>
      <c r="FH265" s="75"/>
      <c r="FI265" s="75"/>
      <c r="FJ265" s="75"/>
      <c r="FK265" s="75"/>
      <c r="FL265" s="81"/>
      <c r="FM265" s="74"/>
      <c r="FN265" s="75"/>
      <c r="FO265" s="75"/>
      <c r="FP265" s="75"/>
      <c r="FQ265" s="75"/>
      <c r="FR265" s="75"/>
      <c r="FS265" s="75"/>
      <c r="FT265" s="75"/>
      <c r="FU265" s="75"/>
      <c r="FV265" s="75"/>
      <c r="FW265" s="75"/>
      <c r="FX265" s="81"/>
      <c r="FY265" s="74"/>
      <c r="FZ265" s="75"/>
      <c r="GA265" s="75"/>
      <c r="GB265" s="75"/>
      <c r="GC265" s="75"/>
      <c r="GD265" s="75"/>
      <c r="GE265" s="75"/>
      <c r="GF265" s="75"/>
      <c r="GG265" s="75"/>
      <c r="GH265" s="75"/>
      <c r="GI265" s="75"/>
      <c r="GJ265" s="81"/>
      <c r="GK265" s="74"/>
      <c r="GL265" s="75"/>
      <c r="GM265" s="75"/>
      <c r="GN265" s="75"/>
      <c r="GO265" s="75"/>
      <c r="GP265" s="75"/>
      <c r="GQ265" s="75"/>
      <c r="GR265" s="75"/>
      <c r="GS265" s="75"/>
      <c r="GT265" s="75"/>
      <c r="GU265" s="75"/>
      <c r="GV265" s="81"/>
      <c r="GW265" s="74"/>
      <c r="GX265" s="75"/>
      <c r="GY265" s="75"/>
      <c r="GZ265" s="75"/>
      <c r="HA265" s="75"/>
      <c r="HB265" s="75"/>
      <c r="HC265" s="75"/>
      <c r="HD265" s="75"/>
      <c r="HE265" s="75"/>
      <c r="HF265" s="75"/>
      <c r="HG265" s="75"/>
      <c r="HH265" s="81"/>
      <c r="HI265" s="75"/>
    </row>
    <row r="266" ht="15.0" customHeight="1">
      <c r="A266" s="74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81"/>
      <c r="M266" s="74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81"/>
      <c r="Y266" s="74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81"/>
      <c r="AK266" s="74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81"/>
      <c r="AW266" s="74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81"/>
      <c r="BI266" s="74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81"/>
      <c r="BU266" s="74"/>
      <c r="BV266" s="75"/>
      <c r="BW266" s="75"/>
      <c r="BX266" s="75"/>
      <c r="BY266" s="75"/>
      <c r="BZ266" s="75"/>
      <c r="CA266" s="75"/>
      <c r="CB266" s="75"/>
      <c r="CC266" s="75"/>
      <c r="CD266" s="75"/>
      <c r="CE266" s="75"/>
      <c r="CF266" s="81"/>
      <c r="CG266" s="74"/>
      <c r="CH266" s="75"/>
      <c r="CI266" s="75"/>
      <c r="CJ266" s="75"/>
      <c r="CK266" s="75"/>
      <c r="CL266" s="75"/>
      <c r="CM266" s="75"/>
      <c r="CN266" s="75"/>
      <c r="CO266" s="75"/>
      <c r="CP266" s="75"/>
      <c r="CQ266" s="75"/>
      <c r="CR266" s="81"/>
      <c r="CS266" s="74"/>
      <c r="CT266" s="75"/>
      <c r="CU266" s="75"/>
      <c r="CV266" s="75"/>
      <c r="CW266" s="75"/>
      <c r="CX266" s="75"/>
      <c r="CY266" s="75"/>
      <c r="CZ266" s="75"/>
      <c r="DA266" s="75"/>
      <c r="DB266" s="75"/>
      <c r="DC266" s="75"/>
      <c r="DD266" s="81"/>
      <c r="DE266" s="74"/>
      <c r="DF266" s="75"/>
      <c r="DG266" s="75"/>
      <c r="DH266" s="75"/>
      <c r="DI266" s="75"/>
      <c r="DJ266" s="75"/>
      <c r="DK266" s="75"/>
      <c r="DL266" s="75"/>
      <c r="DM266" s="75"/>
      <c r="DN266" s="75"/>
      <c r="DO266" s="75"/>
      <c r="DP266" s="81"/>
      <c r="DQ266" s="74"/>
      <c r="DR266" s="75"/>
      <c r="DS266" s="75"/>
      <c r="DT266" s="75"/>
      <c r="DU266" s="75"/>
      <c r="DV266" s="75"/>
      <c r="DW266" s="75"/>
      <c r="DX266" s="75"/>
      <c r="DY266" s="75"/>
      <c r="DZ266" s="75"/>
      <c r="EA266" s="75"/>
      <c r="EB266" s="81"/>
      <c r="EC266" s="74"/>
      <c r="ED266" s="75"/>
      <c r="EE266" s="75"/>
      <c r="EF266" s="75"/>
      <c r="EG266" s="75"/>
      <c r="EH266" s="75"/>
      <c r="EI266" s="75"/>
      <c r="EJ266" s="75"/>
      <c r="EK266" s="75"/>
      <c r="EL266" s="75"/>
      <c r="EM266" s="75"/>
      <c r="EN266" s="81"/>
      <c r="EO266" s="74"/>
      <c r="EP266" s="75"/>
      <c r="EQ266" s="75"/>
      <c r="ER266" s="75"/>
      <c r="ES266" s="75"/>
      <c r="ET266" s="75"/>
      <c r="EU266" s="75"/>
      <c r="EV266" s="75"/>
      <c r="EW266" s="75"/>
      <c r="EX266" s="75"/>
      <c r="EY266" s="75"/>
      <c r="EZ266" s="81"/>
      <c r="FA266" s="74"/>
      <c r="FB266" s="75"/>
      <c r="FC266" s="75"/>
      <c r="FD266" s="75"/>
      <c r="FE266" s="75"/>
      <c r="FF266" s="75"/>
      <c r="FG266" s="75"/>
      <c r="FH266" s="75"/>
      <c r="FI266" s="75"/>
      <c r="FJ266" s="75"/>
      <c r="FK266" s="75"/>
      <c r="FL266" s="81"/>
      <c r="FM266" s="74"/>
      <c r="FN266" s="75"/>
      <c r="FO266" s="75"/>
      <c r="FP266" s="75"/>
      <c r="FQ266" s="75"/>
      <c r="FR266" s="75"/>
      <c r="FS266" s="75"/>
      <c r="FT266" s="75"/>
      <c r="FU266" s="75"/>
      <c r="FV266" s="75"/>
      <c r="FW266" s="75"/>
      <c r="FX266" s="81"/>
      <c r="FY266" s="74"/>
      <c r="FZ266" s="75"/>
      <c r="GA266" s="75"/>
      <c r="GB266" s="75"/>
      <c r="GC266" s="75"/>
      <c r="GD266" s="75"/>
      <c r="GE266" s="75"/>
      <c r="GF266" s="75"/>
      <c r="GG266" s="75"/>
      <c r="GH266" s="75"/>
      <c r="GI266" s="75"/>
      <c r="GJ266" s="81"/>
      <c r="GK266" s="74"/>
      <c r="GL266" s="75"/>
      <c r="GM266" s="75"/>
      <c r="GN266" s="75"/>
      <c r="GO266" s="75"/>
      <c r="GP266" s="75"/>
      <c r="GQ266" s="75"/>
      <c r="GR266" s="75"/>
      <c r="GS266" s="75"/>
      <c r="GT266" s="75"/>
      <c r="GU266" s="75"/>
      <c r="GV266" s="81"/>
      <c r="GW266" s="74"/>
      <c r="GX266" s="75"/>
      <c r="GY266" s="75"/>
      <c r="GZ266" s="75"/>
      <c r="HA266" s="75"/>
      <c r="HB266" s="75"/>
      <c r="HC266" s="75"/>
      <c r="HD266" s="75"/>
      <c r="HE266" s="75"/>
      <c r="HF266" s="75"/>
      <c r="HG266" s="75"/>
      <c r="HH266" s="81"/>
      <c r="HI266" s="75"/>
    </row>
    <row r="267" ht="15.0" customHeight="1">
      <c r="A267" s="74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81"/>
      <c r="M267" s="74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81"/>
      <c r="Y267" s="74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81"/>
      <c r="AK267" s="74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81"/>
      <c r="AW267" s="74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81"/>
      <c r="BI267" s="74"/>
      <c r="BJ267" s="75"/>
      <c r="BK267" s="75"/>
      <c r="BL267" s="75"/>
      <c r="BM267" s="75"/>
      <c r="BN267" s="75"/>
      <c r="BO267" s="75"/>
      <c r="BP267" s="75"/>
      <c r="BQ267" s="75"/>
      <c r="BR267" s="75"/>
      <c r="BS267" s="75"/>
      <c r="BT267" s="81"/>
      <c r="BU267" s="74"/>
      <c r="BV267" s="75"/>
      <c r="BW267" s="75"/>
      <c r="BX267" s="75"/>
      <c r="BY267" s="75"/>
      <c r="BZ267" s="75"/>
      <c r="CA267" s="75"/>
      <c r="CB267" s="75"/>
      <c r="CC267" s="75"/>
      <c r="CD267" s="75"/>
      <c r="CE267" s="75"/>
      <c r="CF267" s="81"/>
      <c r="CG267" s="74"/>
      <c r="CH267" s="75"/>
      <c r="CI267" s="75"/>
      <c r="CJ267" s="75"/>
      <c r="CK267" s="75"/>
      <c r="CL267" s="75"/>
      <c r="CM267" s="75"/>
      <c r="CN267" s="75"/>
      <c r="CO267" s="75"/>
      <c r="CP267" s="75"/>
      <c r="CQ267" s="75"/>
      <c r="CR267" s="81"/>
      <c r="CS267" s="74"/>
      <c r="CT267" s="75"/>
      <c r="CU267" s="75"/>
      <c r="CV267" s="75"/>
      <c r="CW267" s="75"/>
      <c r="CX267" s="75"/>
      <c r="CY267" s="75"/>
      <c r="CZ267" s="75"/>
      <c r="DA267" s="75"/>
      <c r="DB267" s="75"/>
      <c r="DC267" s="75"/>
      <c r="DD267" s="81"/>
      <c r="DE267" s="74"/>
      <c r="DF267" s="75"/>
      <c r="DG267" s="75"/>
      <c r="DH267" s="75"/>
      <c r="DI267" s="75"/>
      <c r="DJ267" s="75"/>
      <c r="DK267" s="75"/>
      <c r="DL267" s="75"/>
      <c r="DM267" s="75"/>
      <c r="DN267" s="75"/>
      <c r="DO267" s="75"/>
      <c r="DP267" s="81"/>
      <c r="DQ267" s="74"/>
      <c r="DR267" s="75"/>
      <c r="DS267" s="75"/>
      <c r="DT267" s="75"/>
      <c r="DU267" s="75"/>
      <c r="DV267" s="75"/>
      <c r="DW267" s="75"/>
      <c r="DX267" s="75"/>
      <c r="DY267" s="75"/>
      <c r="DZ267" s="75"/>
      <c r="EA267" s="75"/>
      <c r="EB267" s="81"/>
      <c r="EC267" s="74"/>
      <c r="ED267" s="75"/>
      <c r="EE267" s="75"/>
      <c r="EF267" s="75"/>
      <c r="EG267" s="75"/>
      <c r="EH267" s="75"/>
      <c r="EI267" s="75"/>
      <c r="EJ267" s="75"/>
      <c r="EK267" s="75"/>
      <c r="EL267" s="75"/>
      <c r="EM267" s="75"/>
      <c r="EN267" s="81"/>
      <c r="EO267" s="74"/>
      <c r="EP267" s="75"/>
      <c r="EQ267" s="75"/>
      <c r="ER267" s="75"/>
      <c r="ES267" s="75"/>
      <c r="ET267" s="75"/>
      <c r="EU267" s="75"/>
      <c r="EV267" s="75"/>
      <c r="EW267" s="75"/>
      <c r="EX267" s="75"/>
      <c r="EY267" s="75"/>
      <c r="EZ267" s="81"/>
      <c r="FA267" s="74"/>
      <c r="FB267" s="75"/>
      <c r="FC267" s="75"/>
      <c r="FD267" s="75"/>
      <c r="FE267" s="75"/>
      <c r="FF267" s="75"/>
      <c r="FG267" s="75"/>
      <c r="FH267" s="75"/>
      <c r="FI267" s="75"/>
      <c r="FJ267" s="75"/>
      <c r="FK267" s="75"/>
      <c r="FL267" s="81"/>
      <c r="FM267" s="74"/>
      <c r="FN267" s="75"/>
      <c r="FO267" s="75"/>
      <c r="FP267" s="75"/>
      <c r="FQ267" s="75"/>
      <c r="FR267" s="75"/>
      <c r="FS267" s="75"/>
      <c r="FT267" s="75"/>
      <c r="FU267" s="75"/>
      <c r="FV267" s="75"/>
      <c r="FW267" s="75"/>
      <c r="FX267" s="81"/>
      <c r="FY267" s="74"/>
      <c r="FZ267" s="75"/>
      <c r="GA267" s="75"/>
      <c r="GB267" s="75"/>
      <c r="GC267" s="75"/>
      <c r="GD267" s="75"/>
      <c r="GE267" s="75"/>
      <c r="GF267" s="75"/>
      <c r="GG267" s="75"/>
      <c r="GH267" s="75"/>
      <c r="GI267" s="75"/>
      <c r="GJ267" s="81"/>
      <c r="GK267" s="74"/>
      <c r="GL267" s="75"/>
      <c r="GM267" s="75"/>
      <c r="GN267" s="75"/>
      <c r="GO267" s="75"/>
      <c r="GP267" s="75"/>
      <c r="GQ267" s="75"/>
      <c r="GR267" s="75"/>
      <c r="GS267" s="75"/>
      <c r="GT267" s="75"/>
      <c r="GU267" s="75"/>
      <c r="GV267" s="81"/>
      <c r="GW267" s="74"/>
      <c r="GX267" s="75"/>
      <c r="GY267" s="75"/>
      <c r="GZ267" s="75"/>
      <c r="HA267" s="75"/>
      <c r="HB267" s="75"/>
      <c r="HC267" s="75"/>
      <c r="HD267" s="75"/>
      <c r="HE267" s="75"/>
      <c r="HF267" s="75"/>
      <c r="HG267" s="75"/>
      <c r="HH267" s="81"/>
      <c r="HI267" s="75"/>
    </row>
    <row r="268" ht="15.0" customHeight="1">
      <c r="A268" s="74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81"/>
      <c r="M268" s="74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81"/>
      <c r="Y268" s="74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81"/>
      <c r="AK268" s="74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81"/>
      <c r="AW268" s="74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81"/>
      <c r="BI268" s="74"/>
      <c r="BJ268" s="75"/>
      <c r="BK268" s="75"/>
      <c r="BL268" s="75"/>
      <c r="BM268" s="75"/>
      <c r="BN268" s="75"/>
      <c r="BO268" s="75"/>
      <c r="BP268" s="75"/>
      <c r="BQ268" s="75"/>
      <c r="BR268" s="75"/>
      <c r="BS268" s="75"/>
      <c r="BT268" s="81"/>
      <c r="BU268" s="74"/>
      <c r="BV268" s="75"/>
      <c r="BW268" s="75"/>
      <c r="BX268" s="75"/>
      <c r="BY268" s="75"/>
      <c r="BZ268" s="75"/>
      <c r="CA268" s="75"/>
      <c r="CB268" s="75"/>
      <c r="CC268" s="75"/>
      <c r="CD268" s="75"/>
      <c r="CE268" s="75"/>
      <c r="CF268" s="81"/>
      <c r="CG268" s="74"/>
      <c r="CH268" s="75"/>
      <c r="CI268" s="75"/>
      <c r="CJ268" s="75"/>
      <c r="CK268" s="75"/>
      <c r="CL268" s="75"/>
      <c r="CM268" s="75"/>
      <c r="CN268" s="75"/>
      <c r="CO268" s="75"/>
      <c r="CP268" s="75"/>
      <c r="CQ268" s="75"/>
      <c r="CR268" s="81"/>
      <c r="CS268" s="74"/>
      <c r="CT268" s="75"/>
      <c r="CU268" s="75"/>
      <c r="CV268" s="75"/>
      <c r="CW268" s="75"/>
      <c r="CX268" s="75"/>
      <c r="CY268" s="75"/>
      <c r="CZ268" s="75"/>
      <c r="DA268" s="75"/>
      <c r="DB268" s="75"/>
      <c r="DC268" s="75"/>
      <c r="DD268" s="81"/>
      <c r="DE268" s="74"/>
      <c r="DF268" s="75"/>
      <c r="DG268" s="75"/>
      <c r="DH268" s="75"/>
      <c r="DI268" s="75"/>
      <c r="DJ268" s="75"/>
      <c r="DK268" s="75"/>
      <c r="DL268" s="75"/>
      <c r="DM268" s="75"/>
      <c r="DN268" s="75"/>
      <c r="DO268" s="75"/>
      <c r="DP268" s="81"/>
      <c r="DQ268" s="74"/>
      <c r="DR268" s="75"/>
      <c r="DS268" s="75"/>
      <c r="DT268" s="75"/>
      <c r="DU268" s="75"/>
      <c r="DV268" s="75"/>
      <c r="DW268" s="75"/>
      <c r="DX268" s="75"/>
      <c r="DY268" s="75"/>
      <c r="DZ268" s="75"/>
      <c r="EA268" s="75"/>
      <c r="EB268" s="81"/>
      <c r="EC268" s="74"/>
      <c r="ED268" s="75"/>
      <c r="EE268" s="75"/>
      <c r="EF268" s="75"/>
      <c r="EG268" s="75"/>
      <c r="EH268" s="75"/>
      <c r="EI268" s="75"/>
      <c r="EJ268" s="75"/>
      <c r="EK268" s="75"/>
      <c r="EL268" s="75"/>
      <c r="EM268" s="75"/>
      <c r="EN268" s="81"/>
      <c r="EO268" s="74"/>
      <c r="EP268" s="75"/>
      <c r="EQ268" s="75"/>
      <c r="ER268" s="75"/>
      <c r="ES268" s="75"/>
      <c r="ET268" s="75"/>
      <c r="EU268" s="75"/>
      <c r="EV268" s="75"/>
      <c r="EW268" s="75"/>
      <c r="EX268" s="75"/>
      <c r="EY268" s="75"/>
      <c r="EZ268" s="81"/>
      <c r="FA268" s="74"/>
      <c r="FB268" s="75"/>
      <c r="FC268" s="75"/>
      <c r="FD268" s="75"/>
      <c r="FE268" s="75"/>
      <c r="FF268" s="75"/>
      <c r="FG268" s="75"/>
      <c r="FH268" s="75"/>
      <c r="FI268" s="75"/>
      <c r="FJ268" s="75"/>
      <c r="FK268" s="75"/>
      <c r="FL268" s="81"/>
      <c r="FM268" s="74"/>
      <c r="FN268" s="75"/>
      <c r="FO268" s="75"/>
      <c r="FP268" s="75"/>
      <c r="FQ268" s="75"/>
      <c r="FR268" s="75"/>
      <c r="FS268" s="75"/>
      <c r="FT268" s="75"/>
      <c r="FU268" s="75"/>
      <c r="FV268" s="75"/>
      <c r="FW268" s="75"/>
      <c r="FX268" s="81"/>
      <c r="FY268" s="74"/>
      <c r="FZ268" s="75"/>
      <c r="GA268" s="75"/>
      <c r="GB268" s="75"/>
      <c r="GC268" s="75"/>
      <c r="GD268" s="75"/>
      <c r="GE268" s="75"/>
      <c r="GF268" s="75"/>
      <c r="GG268" s="75"/>
      <c r="GH268" s="75"/>
      <c r="GI268" s="75"/>
      <c r="GJ268" s="81"/>
      <c r="GK268" s="74"/>
      <c r="GL268" s="75"/>
      <c r="GM268" s="75"/>
      <c r="GN268" s="75"/>
      <c r="GO268" s="75"/>
      <c r="GP268" s="75"/>
      <c r="GQ268" s="75"/>
      <c r="GR268" s="75"/>
      <c r="GS268" s="75"/>
      <c r="GT268" s="75"/>
      <c r="GU268" s="75"/>
      <c r="GV268" s="81"/>
      <c r="GW268" s="74"/>
      <c r="GX268" s="75"/>
      <c r="GY268" s="75"/>
      <c r="GZ268" s="75"/>
      <c r="HA268" s="75"/>
      <c r="HB268" s="75"/>
      <c r="HC268" s="75"/>
      <c r="HD268" s="75"/>
      <c r="HE268" s="75"/>
      <c r="HF268" s="75"/>
      <c r="HG268" s="75"/>
      <c r="HH268" s="81"/>
      <c r="HI268" s="75"/>
    </row>
    <row r="269" ht="15.0" customHeight="1">
      <c r="A269" s="74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81"/>
      <c r="M269" s="74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81"/>
      <c r="Y269" s="74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81"/>
      <c r="AK269" s="74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81"/>
      <c r="AW269" s="74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81"/>
      <c r="BI269" s="74"/>
      <c r="BJ269" s="75"/>
      <c r="BK269" s="75"/>
      <c r="BL269" s="75"/>
      <c r="BM269" s="75"/>
      <c r="BN269" s="75"/>
      <c r="BO269" s="75"/>
      <c r="BP269" s="75"/>
      <c r="BQ269" s="75"/>
      <c r="BR269" s="75"/>
      <c r="BS269" s="75"/>
      <c r="BT269" s="81"/>
      <c r="BU269" s="74"/>
      <c r="BV269" s="75"/>
      <c r="BW269" s="75"/>
      <c r="BX269" s="75"/>
      <c r="BY269" s="75"/>
      <c r="BZ269" s="75"/>
      <c r="CA269" s="75"/>
      <c r="CB269" s="75"/>
      <c r="CC269" s="75"/>
      <c r="CD269" s="75"/>
      <c r="CE269" s="75"/>
      <c r="CF269" s="81"/>
      <c r="CG269" s="74"/>
      <c r="CH269" s="75"/>
      <c r="CI269" s="75"/>
      <c r="CJ269" s="75"/>
      <c r="CK269" s="75"/>
      <c r="CL269" s="75"/>
      <c r="CM269" s="75"/>
      <c r="CN269" s="75"/>
      <c r="CO269" s="75"/>
      <c r="CP269" s="75"/>
      <c r="CQ269" s="75"/>
      <c r="CR269" s="81"/>
      <c r="CS269" s="74"/>
      <c r="CT269" s="75"/>
      <c r="CU269" s="75"/>
      <c r="CV269" s="75"/>
      <c r="CW269" s="75"/>
      <c r="CX269" s="75"/>
      <c r="CY269" s="75"/>
      <c r="CZ269" s="75"/>
      <c r="DA269" s="75"/>
      <c r="DB269" s="75"/>
      <c r="DC269" s="75"/>
      <c r="DD269" s="81"/>
      <c r="DE269" s="74"/>
      <c r="DF269" s="75"/>
      <c r="DG269" s="75"/>
      <c r="DH269" s="75"/>
      <c r="DI269" s="75"/>
      <c r="DJ269" s="75"/>
      <c r="DK269" s="75"/>
      <c r="DL269" s="75"/>
      <c r="DM269" s="75"/>
      <c r="DN269" s="75"/>
      <c r="DO269" s="75"/>
      <c r="DP269" s="81"/>
      <c r="DQ269" s="74"/>
      <c r="DR269" s="75"/>
      <c r="DS269" s="75"/>
      <c r="DT269" s="75"/>
      <c r="DU269" s="75"/>
      <c r="DV269" s="75"/>
      <c r="DW269" s="75"/>
      <c r="DX269" s="75"/>
      <c r="DY269" s="75"/>
      <c r="DZ269" s="75"/>
      <c r="EA269" s="75"/>
      <c r="EB269" s="81"/>
      <c r="EC269" s="74"/>
      <c r="ED269" s="75"/>
      <c r="EE269" s="75"/>
      <c r="EF269" s="75"/>
      <c r="EG269" s="75"/>
      <c r="EH269" s="75"/>
      <c r="EI269" s="75"/>
      <c r="EJ269" s="75"/>
      <c r="EK269" s="75"/>
      <c r="EL269" s="75"/>
      <c r="EM269" s="75"/>
      <c r="EN269" s="81"/>
      <c r="EO269" s="74"/>
      <c r="EP269" s="75"/>
      <c r="EQ269" s="75"/>
      <c r="ER269" s="75"/>
      <c r="ES269" s="75"/>
      <c r="ET269" s="75"/>
      <c r="EU269" s="75"/>
      <c r="EV269" s="75"/>
      <c r="EW269" s="75"/>
      <c r="EX269" s="75"/>
      <c r="EY269" s="75"/>
      <c r="EZ269" s="81"/>
      <c r="FA269" s="74"/>
      <c r="FB269" s="75"/>
      <c r="FC269" s="75"/>
      <c r="FD269" s="75"/>
      <c r="FE269" s="75"/>
      <c r="FF269" s="75"/>
      <c r="FG269" s="75"/>
      <c r="FH269" s="75"/>
      <c r="FI269" s="75"/>
      <c r="FJ269" s="75"/>
      <c r="FK269" s="75"/>
      <c r="FL269" s="81"/>
      <c r="FM269" s="74"/>
      <c r="FN269" s="75"/>
      <c r="FO269" s="75"/>
      <c r="FP269" s="75"/>
      <c r="FQ269" s="75"/>
      <c r="FR269" s="75"/>
      <c r="FS269" s="75"/>
      <c r="FT269" s="75"/>
      <c r="FU269" s="75"/>
      <c r="FV269" s="75"/>
      <c r="FW269" s="75"/>
      <c r="FX269" s="81"/>
      <c r="FY269" s="74"/>
      <c r="FZ269" s="75"/>
      <c r="GA269" s="75"/>
      <c r="GB269" s="75"/>
      <c r="GC269" s="75"/>
      <c r="GD269" s="75"/>
      <c r="GE269" s="75"/>
      <c r="GF269" s="75"/>
      <c r="GG269" s="75"/>
      <c r="GH269" s="75"/>
      <c r="GI269" s="75"/>
      <c r="GJ269" s="81"/>
      <c r="GK269" s="74"/>
      <c r="GL269" s="75"/>
      <c r="GM269" s="75"/>
      <c r="GN269" s="75"/>
      <c r="GO269" s="75"/>
      <c r="GP269" s="75"/>
      <c r="GQ269" s="75"/>
      <c r="GR269" s="75"/>
      <c r="GS269" s="75"/>
      <c r="GT269" s="75"/>
      <c r="GU269" s="75"/>
      <c r="GV269" s="81"/>
      <c r="GW269" s="74"/>
      <c r="GX269" s="75"/>
      <c r="GY269" s="75"/>
      <c r="GZ269" s="75"/>
      <c r="HA269" s="75"/>
      <c r="HB269" s="75"/>
      <c r="HC269" s="75"/>
      <c r="HD269" s="75"/>
      <c r="HE269" s="75"/>
      <c r="HF269" s="75"/>
      <c r="HG269" s="75"/>
      <c r="HH269" s="81"/>
      <c r="HI269" s="75"/>
    </row>
    <row r="270" ht="15.0" customHeight="1">
      <c r="A270" s="74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81"/>
      <c r="M270" s="74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81"/>
      <c r="Y270" s="74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81"/>
      <c r="AK270" s="74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81"/>
      <c r="AW270" s="74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81"/>
      <c r="BI270" s="74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81"/>
      <c r="BU270" s="74"/>
      <c r="BV270" s="75"/>
      <c r="BW270" s="75"/>
      <c r="BX270" s="75"/>
      <c r="BY270" s="75"/>
      <c r="BZ270" s="75"/>
      <c r="CA270" s="75"/>
      <c r="CB270" s="75"/>
      <c r="CC270" s="75"/>
      <c r="CD270" s="75"/>
      <c r="CE270" s="75"/>
      <c r="CF270" s="81"/>
      <c r="CG270" s="74"/>
      <c r="CH270" s="75"/>
      <c r="CI270" s="75"/>
      <c r="CJ270" s="75"/>
      <c r="CK270" s="75"/>
      <c r="CL270" s="75"/>
      <c r="CM270" s="75"/>
      <c r="CN270" s="75"/>
      <c r="CO270" s="75"/>
      <c r="CP270" s="75"/>
      <c r="CQ270" s="75"/>
      <c r="CR270" s="81"/>
      <c r="CS270" s="74"/>
      <c r="CT270" s="75"/>
      <c r="CU270" s="75"/>
      <c r="CV270" s="75"/>
      <c r="CW270" s="75"/>
      <c r="CX270" s="75"/>
      <c r="CY270" s="75"/>
      <c r="CZ270" s="75"/>
      <c r="DA270" s="75"/>
      <c r="DB270" s="75"/>
      <c r="DC270" s="75"/>
      <c r="DD270" s="81"/>
      <c r="DE270" s="74"/>
      <c r="DF270" s="75"/>
      <c r="DG270" s="75"/>
      <c r="DH270" s="75"/>
      <c r="DI270" s="75"/>
      <c r="DJ270" s="75"/>
      <c r="DK270" s="75"/>
      <c r="DL270" s="75"/>
      <c r="DM270" s="75"/>
      <c r="DN270" s="75"/>
      <c r="DO270" s="75"/>
      <c r="DP270" s="81"/>
      <c r="DQ270" s="74"/>
      <c r="DR270" s="75"/>
      <c r="DS270" s="75"/>
      <c r="DT270" s="75"/>
      <c r="DU270" s="75"/>
      <c r="DV270" s="75"/>
      <c r="DW270" s="75"/>
      <c r="DX270" s="75"/>
      <c r="DY270" s="75"/>
      <c r="DZ270" s="75"/>
      <c r="EA270" s="75"/>
      <c r="EB270" s="81"/>
      <c r="EC270" s="74"/>
      <c r="ED270" s="75"/>
      <c r="EE270" s="75"/>
      <c r="EF270" s="75"/>
      <c r="EG270" s="75"/>
      <c r="EH270" s="75"/>
      <c r="EI270" s="75"/>
      <c r="EJ270" s="75"/>
      <c r="EK270" s="75"/>
      <c r="EL270" s="75"/>
      <c r="EM270" s="75"/>
      <c r="EN270" s="81"/>
      <c r="EO270" s="74"/>
      <c r="EP270" s="75"/>
      <c r="EQ270" s="75"/>
      <c r="ER270" s="75"/>
      <c r="ES270" s="75"/>
      <c r="ET270" s="75"/>
      <c r="EU270" s="75"/>
      <c r="EV270" s="75"/>
      <c r="EW270" s="75"/>
      <c r="EX270" s="75"/>
      <c r="EY270" s="75"/>
      <c r="EZ270" s="81"/>
      <c r="FA270" s="74"/>
      <c r="FB270" s="75"/>
      <c r="FC270" s="75"/>
      <c r="FD270" s="75"/>
      <c r="FE270" s="75"/>
      <c r="FF270" s="75"/>
      <c r="FG270" s="75"/>
      <c r="FH270" s="75"/>
      <c r="FI270" s="75"/>
      <c r="FJ270" s="75"/>
      <c r="FK270" s="75"/>
      <c r="FL270" s="81"/>
      <c r="FM270" s="74"/>
      <c r="FN270" s="75"/>
      <c r="FO270" s="75"/>
      <c r="FP270" s="75"/>
      <c r="FQ270" s="75"/>
      <c r="FR270" s="75"/>
      <c r="FS270" s="75"/>
      <c r="FT270" s="75"/>
      <c r="FU270" s="75"/>
      <c r="FV270" s="75"/>
      <c r="FW270" s="75"/>
      <c r="FX270" s="81"/>
      <c r="FY270" s="74"/>
      <c r="FZ270" s="75"/>
      <c r="GA270" s="75"/>
      <c r="GB270" s="75"/>
      <c r="GC270" s="75"/>
      <c r="GD270" s="75"/>
      <c r="GE270" s="75"/>
      <c r="GF270" s="75"/>
      <c r="GG270" s="75"/>
      <c r="GH270" s="75"/>
      <c r="GI270" s="75"/>
      <c r="GJ270" s="81"/>
      <c r="GK270" s="74"/>
      <c r="GL270" s="75"/>
      <c r="GM270" s="75"/>
      <c r="GN270" s="75"/>
      <c r="GO270" s="75"/>
      <c r="GP270" s="75"/>
      <c r="GQ270" s="75"/>
      <c r="GR270" s="75"/>
      <c r="GS270" s="75"/>
      <c r="GT270" s="75"/>
      <c r="GU270" s="75"/>
      <c r="GV270" s="81"/>
      <c r="GW270" s="74"/>
      <c r="GX270" s="75"/>
      <c r="GY270" s="75"/>
      <c r="GZ270" s="75"/>
      <c r="HA270" s="75"/>
      <c r="HB270" s="75"/>
      <c r="HC270" s="75"/>
      <c r="HD270" s="75"/>
      <c r="HE270" s="75"/>
      <c r="HF270" s="75"/>
      <c r="HG270" s="75"/>
      <c r="HH270" s="81"/>
      <c r="HI270" s="75"/>
    </row>
    <row r="271" ht="15.0" customHeight="1">
      <c r="A271" s="74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81"/>
      <c r="M271" s="74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81"/>
      <c r="Y271" s="74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81"/>
      <c r="AK271" s="74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81"/>
      <c r="AW271" s="74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81"/>
      <c r="BI271" s="74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81"/>
      <c r="BU271" s="74"/>
      <c r="BV271" s="75"/>
      <c r="BW271" s="75"/>
      <c r="BX271" s="75"/>
      <c r="BY271" s="75"/>
      <c r="BZ271" s="75"/>
      <c r="CA271" s="75"/>
      <c r="CB271" s="75"/>
      <c r="CC271" s="75"/>
      <c r="CD271" s="75"/>
      <c r="CE271" s="75"/>
      <c r="CF271" s="81"/>
      <c r="CG271" s="74"/>
      <c r="CH271" s="75"/>
      <c r="CI271" s="75"/>
      <c r="CJ271" s="75"/>
      <c r="CK271" s="75"/>
      <c r="CL271" s="75"/>
      <c r="CM271" s="75"/>
      <c r="CN271" s="75"/>
      <c r="CO271" s="75"/>
      <c r="CP271" s="75"/>
      <c r="CQ271" s="75"/>
      <c r="CR271" s="81"/>
      <c r="CS271" s="74"/>
      <c r="CT271" s="75"/>
      <c r="CU271" s="75"/>
      <c r="CV271" s="75"/>
      <c r="CW271" s="75"/>
      <c r="CX271" s="75"/>
      <c r="CY271" s="75"/>
      <c r="CZ271" s="75"/>
      <c r="DA271" s="75"/>
      <c r="DB271" s="75"/>
      <c r="DC271" s="75"/>
      <c r="DD271" s="81"/>
      <c r="DE271" s="74"/>
      <c r="DF271" s="75"/>
      <c r="DG271" s="75"/>
      <c r="DH271" s="75"/>
      <c r="DI271" s="75"/>
      <c r="DJ271" s="75"/>
      <c r="DK271" s="75"/>
      <c r="DL271" s="75"/>
      <c r="DM271" s="75"/>
      <c r="DN271" s="75"/>
      <c r="DO271" s="75"/>
      <c r="DP271" s="81"/>
      <c r="DQ271" s="74"/>
      <c r="DR271" s="75"/>
      <c r="DS271" s="75"/>
      <c r="DT271" s="75"/>
      <c r="DU271" s="75"/>
      <c r="DV271" s="75"/>
      <c r="DW271" s="75"/>
      <c r="DX271" s="75"/>
      <c r="DY271" s="75"/>
      <c r="DZ271" s="75"/>
      <c r="EA271" s="75"/>
      <c r="EB271" s="81"/>
      <c r="EC271" s="74"/>
      <c r="ED271" s="75"/>
      <c r="EE271" s="75"/>
      <c r="EF271" s="75"/>
      <c r="EG271" s="75"/>
      <c r="EH271" s="75"/>
      <c r="EI271" s="75"/>
      <c r="EJ271" s="75"/>
      <c r="EK271" s="75"/>
      <c r="EL271" s="75"/>
      <c r="EM271" s="75"/>
      <c r="EN271" s="81"/>
      <c r="EO271" s="74"/>
      <c r="EP271" s="75"/>
      <c r="EQ271" s="75"/>
      <c r="ER271" s="75"/>
      <c r="ES271" s="75"/>
      <c r="ET271" s="75"/>
      <c r="EU271" s="75"/>
      <c r="EV271" s="75"/>
      <c r="EW271" s="75"/>
      <c r="EX271" s="75"/>
      <c r="EY271" s="75"/>
      <c r="EZ271" s="81"/>
      <c r="FA271" s="74"/>
      <c r="FB271" s="75"/>
      <c r="FC271" s="75"/>
      <c r="FD271" s="75"/>
      <c r="FE271" s="75"/>
      <c r="FF271" s="75"/>
      <c r="FG271" s="75"/>
      <c r="FH271" s="75"/>
      <c r="FI271" s="75"/>
      <c r="FJ271" s="75"/>
      <c r="FK271" s="75"/>
      <c r="FL271" s="81"/>
      <c r="FM271" s="74"/>
      <c r="FN271" s="75"/>
      <c r="FO271" s="75"/>
      <c r="FP271" s="75"/>
      <c r="FQ271" s="75"/>
      <c r="FR271" s="75"/>
      <c r="FS271" s="75"/>
      <c r="FT271" s="75"/>
      <c r="FU271" s="75"/>
      <c r="FV271" s="75"/>
      <c r="FW271" s="75"/>
      <c r="FX271" s="81"/>
      <c r="FY271" s="74"/>
      <c r="FZ271" s="75"/>
      <c r="GA271" s="75"/>
      <c r="GB271" s="75"/>
      <c r="GC271" s="75"/>
      <c r="GD271" s="75"/>
      <c r="GE271" s="75"/>
      <c r="GF271" s="75"/>
      <c r="GG271" s="75"/>
      <c r="GH271" s="75"/>
      <c r="GI271" s="75"/>
      <c r="GJ271" s="81"/>
      <c r="GK271" s="74"/>
      <c r="GL271" s="75"/>
      <c r="GM271" s="75"/>
      <c r="GN271" s="75"/>
      <c r="GO271" s="75"/>
      <c r="GP271" s="75"/>
      <c r="GQ271" s="75"/>
      <c r="GR271" s="75"/>
      <c r="GS271" s="75"/>
      <c r="GT271" s="75"/>
      <c r="GU271" s="75"/>
      <c r="GV271" s="81"/>
      <c r="GW271" s="74"/>
      <c r="GX271" s="75"/>
      <c r="GY271" s="75"/>
      <c r="GZ271" s="75"/>
      <c r="HA271" s="75"/>
      <c r="HB271" s="75"/>
      <c r="HC271" s="75"/>
      <c r="HD271" s="75"/>
      <c r="HE271" s="75"/>
      <c r="HF271" s="75"/>
      <c r="HG271" s="75"/>
      <c r="HH271" s="81"/>
      <c r="HI271" s="75"/>
    </row>
    <row r="272" ht="15.0" customHeight="1">
      <c r="A272" s="74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81"/>
      <c r="M272" s="74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81"/>
      <c r="Y272" s="74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81"/>
      <c r="AK272" s="74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81"/>
      <c r="AW272" s="74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81"/>
      <c r="BI272" s="74"/>
      <c r="BJ272" s="75"/>
      <c r="BK272" s="75"/>
      <c r="BL272" s="75"/>
      <c r="BM272" s="75"/>
      <c r="BN272" s="75"/>
      <c r="BO272" s="75"/>
      <c r="BP272" s="75"/>
      <c r="BQ272" s="75"/>
      <c r="BR272" s="75"/>
      <c r="BS272" s="75"/>
      <c r="BT272" s="81"/>
      <c r="BU272" s="74"/>
      <c r="BV272" s="75"/>
      <c r="BW272" s="75"/>
      <c r="BX272" s="75"/>
      <c r="BY272" s="75"/>
      <c r="BZ272" s="75"/>
      <c r="CA272" s="75"/>
      <c r="CB272" s="75"/>
      <c r="CC272" s="75"/>
      <c r="CD272" s="75"/>
      <c r="CE272" s="75"/>
      <c r="CF272" s="81"/>
      <c r="CG272" s="74"/>
      <c r="CH272" s="75"/>
      <c r="CI272" s="75"/>
      <c r="CJ272" s="75"/>
      <c r="CK272" s="75"/>
      <c r="CL272" s="75"/>
      <c r="CM272" s="75"/>
      <c r="CN272" s="75"/>
      <c r="CO272" s="75"/>
      <c r="CP272" s="75"/>
      <c r="CQ272" s="75"/>
      <c r="CR272" s="81"/>
      <c r="CS272" s="74"/>
      <c r="CT272" s="75"/>
      <c r="CU272" s="75"/>
      <c r="CV272" s="75"/>
      <c r="CW272" s="75"/>
      <c r="CX272" s="75"/>
      <c r="CY272" s="75"/>
      <c r="CZ272" s="75"/>
      <c r="DA272" s="75"/>
      <c r="DB272" s="75"/>
      <c r="DC272" s="75"/>
      <c r="DD272" s="81"/>
      <c r="DE272" s="74"/>
      <c r="DF272" s="75"/>
      <c r="DG272" s="75"/>
      <c r="DH272" s="75"/>
      <c r="DI272" s="75"/>
      <c r="DJ272" s="75"/>
      <c r="DK272" s="75"/>
      <c r="DL272" s="75"/>
      <c r="DM272" s="75"/>
      <c r="DN272" s="75"/>
      <c r="DO272" s="75"/>
      <c r="DP272" s="81"/>
      <c r="DQ272" s="74"/>
      <c r="DR272" s="75"/>
      <c r="DS272" s="75"/>
      <c r="DT272" s="75"/>
      <c r="DU272" s="75"/>
      <c r="DV272" s="75"/>
      <c r="DW272" s="75"/>
      <c r="DX272" s="75"/>
      <c r="DY272" s="75"/>
      <c r="DZ272" s="75"/>
      <c r="EA272" s="75"/>
      <c r="EB272" s="81"/>
      <c r="EC272" s="74"/>
      <c r="ED272" s="75"/>
      <c r="EE272" s="75"/>
      <c r="EF272" s="75"/>
      <c r="EG272" s="75"/>
      <c r="EH272" s="75"/>
      <c r="EI272" s="75"/>
      <c r="EJ272" s="75"/>
      <c r="EK272" s="75"/>
      <c r="EL272" s="75"/>
      <c r="EM272" s="75"/>
      <c r="EN272" s="81"/>
      <c r="EO272" s="74"/>
      <c r="EP272" s="75"/>
      <c r="EQ272" s="75"/>
      <c r="ER272" s="75"/>
      <c r="ES272" s="75"/>
      <c r="ET272" s="75"/>
      <c r="EU272" s="75"/>
      <c r="EV272" s="75"/>
      <c r="EW272" s="75"/>
      <c r="EX272" s="75"/>
      <c r="EY272" s="75"/>
      <c r="EZ272" s="81"/>
      <c r="FA272" s="74"/>
      <c r="FB272" s="75"/>
      <c r="FC272" s="75"/>
      <c r="FD272" s="75"/>
      <c r="FE272" s="75"/>
      <c r="FF272" s="75"/>
      <c r="FG272" s="75"/>
      <c r="FH272" s="75"/>
      <c r="FI272" s="75"/>
      <c r="FJ272" s="75"/>
      <c r="FK272" s="75"/>
      <c r="FL272" s="81"/>
      <c r="FM272" s="74"/>
      <c r="FN272" s="75"/>
      <c r="FO272" s="75"/>
      <c r="FP272" s="75"/>
      <c r="FQ272" s="75"/>
      <c r="FR272" s="75"/>
      <c r="FS272" s="75"/>
      <c r="FT272" s="75"/>
      <c r="FU272" s="75"/>
      <c r="FV272" s="75"/>
      <c r="FW272" s="75"/>
      <c r="FX272" s="81"/>
      <c r="FY272" s="74"/>
      <c r="FZ272" s="75"/>
      <c r="GA272" s="75"/>
      <c r="GB272" s="75"/>
      <c r="GC272" s="75"/>
      <c r="GD272" s="75"/>
      <c r="GE272" s="75"/>
      <c r="GF272" s="75"/>
      <c r="GG272" s="75"/>
      <c r="GH272" s="75"/>
      <c r="GI272" s="75"/>
      <c r="GJ272" s="81"/>
      <c r="GK272" s="74"/>
      <c r="GL272" s="75"/>
      <c r="GM272" s="75"/>
      <c r="GN272" s="75"/>
      <c r="GO272" s="75"/>
      <c r="GP272" s="75"/>
      <c r="GQ272" s="75"/>
      <c r="GR272" s="75"/>
      <c r="GS272" s="75"/>
      <c r="GT272" s="75"/>
      <c r="GU272" s="75"/>
      <c r="GV272" s="81"/>
      <c r="GW272" s="74"/>
      <c r="GX272" s="75"/>
      <c r="GY272" s="75"/>
      <c r="GZ272" s="75"/>
      <c r="HA272" s="75"/>
      <c r="HB272" s="75"/>
      <c r="HC272" s="75"/>
      <c r="HD272" s="75"/>
      <c r="HE272" s="75"/>
      <c r="HF272" s="75"/>
      <c r="HG272" s="75"/>
      <c r="HH272" s="81"/>
      <c r="HI272" s="75"/>
    </row>
    <row r="273" ht="15.0" customHeight="1">
      <c r="A273" s="74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81"/>
      <c r="M273" s="74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81"/>
      <c r="Y273" s="74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81"/>
      <c r="AK273" s="74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81"/>
      <c r="AW273" s="74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81"/>
      <c r="BI273" s="74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81"/>
      <c r="BU273" s="74"/>
      <c r="BV273" s="75"/>
      <c r="BW273" s="75"/>
      <c r="BX273" s="75"/>
      <c r="BY273" s="75"/>
      <c r="BZ273" s="75"/>
      <c r="CA273" s="75"/>
      <c r="CB273" s="75"/>
      <c r="CC273" s="75"/>
      <c r="CD273" s="75"/>
      <c r="CE273" s="75"/>
      <c r="CF273" s="81"/>
      <c r="CG273" s="74"/>
      <c r="CH273" s="75"/>
      <c r="CI273" s="75"/>
      <c r="CJ273" s="75"/>
      <c r="CK273" s="75"/>
      <c r="CL273" s="75"/>
      <c r="CM273" s="75"/>
      <c r="CN273" s="75"/>
      <c r="CO273" s="75"/>
      <c r="CP273" s="75"/>
      <c r="CQ273" s="75"/>
      <c r="CR273" s="81"/>
      <c r="CS273" s="74"/>
      <c r="CT273" s="75"/>
      <c r="CU273" s="75"/>
      <c r="CV273" s="75"/>
      <c r="CW273" s="75"/>
      <c r="CX273" s="75"/>
      <c r="CY273" s="75"/>
      <c r="CZ273" s="75"/>
      <c r="DA273" s="75"/>
      <c r="DB273" s="75"/>
      <c r="DC273" s="75"/>
      <c r="DD273" s="81"/>
      <c r="DE273" s="74"/>
      <c r="DF273" s="75"/>
      <c r="DG273" s="75"/>
      <c r="DH273" s="75"/>
      <c r="DI273" s="75"/>
      <c r="DJ273" s="75"/>
      <c r="DK273" s="75"/>
      <c r="DL273" s="75"/>
      <c r="DM273" s="75"/>
      <c r="DN273" s="75"/>
      <c r="DO273" s="75"/>
      <c r="DP273" s="81"/>
      <c r="DQ273" s="74"/>
      <c r="DR273" s="75"/>
      <c r="DS273" s="75"/>
      <c r="DT273" s="75"/>
      <c r="DU273" s="75"/>
      <c r="DV273" s="75"/>
      <c r="DW273" s="75"/>
      <c r="DX273" s="75"/>
      <c r="DY273" s="75"/>
      <c r="DZ273" s="75"/>
      <c r="EA273" s="75"/>
      <c r="EB273" s="81"/>
      <c r="EC273" s="74"/>
      <c r="ED273" s="75"/>
      <c r="EE273" s="75"/>
      <c r="EF273" s="75"/>
      <c r="EG273" s="75"/>
      <c r="EH273" s="75"/>
      <c r="EI273" s="75"/>
      <c r="EJ273" s="75"/>
      <c r="EK273" s="75"/>
      <c r="EL273" s="75"/>
      <c r="EM273" s="75"/>
      <c r="EN273" s="81"/>
      <c r="EO273" s="74"/>
      <c r="EP273" s="75"/>
      <c r="EQ273" s="75"/>
      <c r="ER273" s="75"/>
      <c r="ES273" s="75"/>
      <c r="ET273" s="75"/>
      <c r="EU273" s="75"/>
      <c r="EV273" s="75"/>
      <c r="EW273" s="75"/>
      <c r="EX273" s="75"/>
      <c r="EY273" s="75"/>
      <c r="EZ273" s="81"/>
      <c r="FA273" s="74"/>
      <c r="FB273" s="75"/>
      <c r="FC273" s="75"/>
      <c r="FD273" s="75"/>
      <c r="FE273" s="75"/>
      <c r="FF273" s="75"/>
      <c r="FG273" s="75"/>
      <c r="FH273" s="75"/>
      <c r="FI273" s="75"/>
      <c r="FJ273" s="75"/>
      <c r="FK273" s="75"/>
      <c r="FL273" s="81"/>
      <c r="FM273" s="74"/>
      <c r="FN273" s="75"/>
      <c r="FO273" s="75"/>
      <c r="FP273" s="75"/>
      <c r="FQ273" s="75"/>
      <c r="FR273" s="75"/>
      <c r="FS273" s="75"/>
      <c r="FT273" s="75"/>
      <c r="FU273" s="75"/>
      <c r="FV273" s="75"/>
      <c r="FW273" s="75"/>
      <c r="FX273" s="81"/>
      <c r="FY273" s="74"/>
      <c r="FZ273" s="75"/>
      <c r="GA273" s="75"/>
      <c r="GB273" s="75"/>
      <c r="GC273" s="75"/>
      <c r="GD273" s="75"/>
      <c r="GE273" s="75"/>
      <c r="GF273" s="75"/>
      <c r="GG273" s="75"/>
      <c r="GH273" s="75"/>
      <c r="GI273" s="75"/>
      <c r="GJ273" s="81"/>
      <c r="GK273" s="74"/>
      <c r="GL273" s="75"/>
      <c r="GM273" s="75"/>
      <c r="GN273" s="75"/>
      <c r="GO273" s="75"/>
      <c r="GP273" s="75"/>
      <c r="GQ273" s="75"/>
      <c r="GR273" s="75"/>
      <c r="GS273" s="75"/>
      <c r="GT273" s="75"/>
      <c r="GU273" s="75"/>
      <c r="GV273" s="81"/>
      <c r="GW273" s="74"/>
      <c r="GX273" s="75"/>
      <c r="GY273" s="75"/>
      <c r="GZ273" s="75"/>
      <c r="HA273" s="75"/>
      <c r="HB273" s="75"/>
      <c r="HC273" s="75"/>
      <c r="HD273" s="75"/>
      <c r="HE273" s="75"/>
      <c r="HF273" s="75"/>
      <c r="HG273" s="75"/>
      <c r="HH273" s="81"/>
      <c r="HI273" s="75"/>
    </row>
    <row r="274" ht="15.0" customHeight="1">
      <c r="A274" s="74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81"/>
      <c r="M274" s="74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81"/>
      <c r="Y274" s="74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81"/>
      <c r="AK274" s="74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81"/>
      <c r="AW274" s="74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81"/>
      <c r="BI274" s="74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81"/>
      <c r="BU274" s="74"/>
      <c r="BV274" s="75"/>
      <c r="BW274" s="75"/>
      <c r="BX274" s="75"/>
      <c r="BY274" s="75"/>
      <c r="BZ274" s="75"/>
      <c r="CA274" s="75"/>
      <c r="CB274" s="75"/>
      <c r="CC274" s="75"/>
      <c r="CD274" s="75"/>
      <c r="CE274" s="75"/>
      <c r="CF274" s="81"/>
      <c r="CG274" s="74"/>
      <c r="CH274" s="75"/>
      <c r="CI274" s="75"/>
      <c r="CJ274" s="75"/>
      <c r="CK274" s="75"/>
      <c r="CL274" s="75"/>
      <c r="CM274" s="75"/>
      <c r="CN274" s="75"/>
      <c r="CO274" s="75"/>
      <c r="CP274" s="75"/>
      <c r="CQ274" s="75"/>
      <c r="CR274" s="81"/>
      <c r="CS274" s="74"/>
      <c r="CT274" s="75"/>
      <c r="CU274" s="75"/>
      <c r="CV274" s="75"/>
      <c r="CW274" s="75"/>
      <c r="CX274" s="75"/>
      <c r="CY274" s="75"/>
      <c r="CZ274" s="75"/>
      <c r="DA274" s="75"/>
      <c r="DB274" s="75"/>
      <c r="DC274" s="75"/>
      <c r="DD274" s="81"/>
      <c r="DE274" s="74"/>
      <c r="DF274" s="75"/>
      <c r="DG274" s="75"/>
      <c r="DH274" s="75"/>
      <c r="DI274" s="75"/>
      <c r="DJ274" s="75"/>
      <c r="DK274" s="75"/>
      <c r="DL274" s="75"/>
      <c r="DM274" s="75"/>
      <c r="DN274" s="75"/>
      <c r="DO274" s="75"/>
      <c r="DP274" s="81"/>
      <c r="DQ274" s="74"/>
      <c r="DR274" s="75"/>
      <c r="DS274" s="75"/>
      <c r="DT274" s="75"/>
      <c r="DU274" s="75"/>
      <c r="DV274" s="75"/>
      <c r="DW274" s="75"/>
      <c r="DX274" s="75"/>
      <c r="DY274" s="75"/>
      <c r="DZ274" s="75"/>
      <c r="EA274" s="75"/>
      <c r="EB274" s="81"/>
      <c r="EC274" s="74"/>
      <c r="ED274" s="75"/>
      <c r="EE274" s="75"/>
      <c r="EF274" s="75"/>
      <c r="EG274" s="75"/>
      <c r="EH274" s="75"/>
      <c r="EI274" s="75"/>
      <c r="EJ274" s="75"/>
      <c r="EK274" s="75"/>
      <c r="EL274" s="75"/>
      <c r="EM274" s="75"/>
      <c r="EN274" s="81"/>
      <c r="EO274" s="74"/>
      <c r="EP274" s="75"/>
      <c r="EQ274" s="75"/>
      <c r="ER274" s="75"/>
      <c r="ES274" s="75"/>
      <c r="ET274" s="75"/>
      <c r="EU274" s="75"/>
      <c r="EV274" s="75"/>
      <c r="EW274" s="75"/>
      <c r="EX274" s="75"/>
      <c r="EY274" s="75"/>
      <c r="EZ274" s="81"/>
      <c r="FA274" s="74"/>
      <c r="FB274" s="75"/>
      <c r="FC274" s="75"/>
      <c r="FD274" s="75"/>
      <c r="FE274" s="75"/>
      <c r="FF274" s="75"/>
      <c r="FG274" s="75"/>
      <c r="FH274" s="75"/>
      <c r="FI274" s="75"/>
      <c r="FJ274" s="75"/>
      <c r="FK274" s="75"/>
      <c r="FL274" s="81"/>
      <c r="FM274" s="74"/>
      <c r="FN274" s="75"/>
      <c r="FO274" s="75"/>
      <c r="FP274" s="75"/>
      <c r="FQ274" s="75"/>
      <c r="FR274" s="75"/>
      <c r="FS274" s="75"/>
      <c r="FT274" s="75"/>
      <c r="FU274" s="75"/>
      <c r="FV274" s="75"/>
      <c r="FW274" s="75"/>
      <c r="FX274" s="81"/>
      <c r="FY274" s="74"/>
      <c r="FZ274" s="75"/>
      <c r="GA274" s="75"/>
      <c r="GB274" s="75"/>
      <c r="GC274" s="75"/>
      <c r="GD274" s="75"/>
      <c r="GE274" s="75"/>
      <c r="GF274" s="75"/>
      <c r="GG274" s="75"/>
      <c r="GH274" s="75"/>
      <c r="GI274" s="75"/>
      <c r="GJ274" s="81"/>
      <c r="GK274" s="74"/>
      <c r="GL274" s="75"/>
      <c r="GM274" s="75"/>
      <c r="GN274" s="75"/>
      <c r="GO274" s="75"/>
      <c r="GP274" s="75"/>
      <c r="GQ274" s="75"/>
      <c r="GR274" s="75"/>
      <c r="GS274" s="75"/>
      <c r="GT274" s="75"/>
      <c r="GU274" s="75"/>
      <c r="GV274" s="81"/>
      <c r="GW274" s="74"/>
      <c r="GX274" s="75"/>
      <c r="GY274" s="75"/>
      <c r="GZ274" s="75"/>
      <c r="HA274" s="75"/>
      <c r="HB274" s="75"/>
      <c r="HC274" s="75"/>
      <c r="HD274" s="75"/>
      <c r="HE274" s="75"/>
      <c r="HF274" s="75"/>
      <c r="HG274" s="75"/>
      <c r="HH274" s="81"/>
      <c r="HI274" s="75"/>
    </row>
    <row r="275" ht="15.0" customHeight="1">
      <c r="A275" s="74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81"/>
      <c r="M275" s="74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81"/>
      <c r="Y275" s="74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81"/>
      <c r="AK275" s="74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81"/>
      <c r="AW275" s="74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81"/>
      <c r="BI275" s="74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81"/>
      <c r="BU275" s="74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81"/>
      <c r="CG275" s="74"/>
      <c r="CH275" s="75"/>
      <c r="CI275" s="75"/>
      <c r="CJ275" s="75"/>
      <c r="CK275" s="75"/>
      <c r="CL275" s="75"/>
      <c r="CM275" s="75"/>
      <c r="CN275" s="75"/>
      <c r="CO275" s="75"/>
      <c r="CP275" s="75"/>
      <c r="CQ275" s="75"/>
      <c r="CR275" s="81"/>
      <c r="CS275" s="74"/>
      <c r="CT275" s="75"/>
      <c r="CU275" s="75"/>
      <c r="CV275" s="75"/>
      <c r="CW275" s="75"/>
      <c r="CX275" s="75"/>
      <c r="CY275" s="75"/>
      <c r="CZ275" s="75"/>
      <c r="DA275" s="75"/>
      <c r="DB275" s="75"/>
      <c r="DC275" s="75"/>
      <c r="DD275" s="81"/>
      <c r="DE275" s="74"/>
      <c r="DF275" s="75"/>
      <c r="DG275" s="75"/>
      <c r="DH275" s="75"/>
      <c r="DI275" s="75"/>
      <c r="DJ275" s="75"/>
      <c r="DK275" s="75"/>
      <c r="DL275" s="75"/>
      <c r="DM275" s="75"/>
      <c r="DN275" s="75"/>
      <c r="DO275" s="75"/>
      <c r="DP275" s="81"/>
      <c r="DQ275" s="74"/>
      <c r="DR275" s="75"/>
      <c r="DS275" s="75"/>
      <c r="DT275" s="75"/>
      <c r="DU275" s="75"/>
      <c r="DV275" s="75"/>
      <c r="DW275" s="75"/>
      <c r="DX275" s="75"/>
      <c r="DY275" s="75"/>
      <c r="DZ275" s="75"/>
      <c r="EA275" s="75"/>
      <c r="EB275" s="81"/>
      <c r="EC275" s="74"/>
      <c r="ED275" s="75"/>
      <c r="EE275" s="75"/>
      <c r="EF275" s="75"/>
      <c r="EG275" s="75"/>
      <c r="EH275" s="75"/>
      <c r="EI275" s="75"/>
      <c r="EJ275" s="75"/>
      <c r="EK275" s="75"/>
      <c r="EL275" s="75"/>
      <c r="EM275" s="75"/>
      <c r="EN275" s="81"/>
      <c r="EO275" s="74"/>
      <c r="EP275" s="75"/>
      <c r="EQ275" s="75"/>
      <c r="ER275" s="75"/>
      <c r="ES275" s="75"/>
      <c r="ET275" s="75"/>
      <c r="EU275" s="75"/>
      <c r="EV275" s="75"/>
      <c r="EW275" s="75"/>
      <c r="EX275" s="75"/>
      <c r="EY275" s="75"/>
      <c r="EZ275" s="81"/>
      <c r="FA275" s="74"/>
      <c r="FB275" s="75"/>
      <c r="FC275" s="75"/>
      <c r="FD275" s="75"/>
      <c r="FE275" s="75"/>
      <c r="FF275" s="75"/>
      <c r="FG275" s="75"/>
      <c r="FH275" s="75"/>
      <c r="FI275" s="75"/>
      <c r="FJ275" s="75"/>
      <c r="FK275" s="75"/>
      <c r="FL275" s="81"/>
      <c r="FM275" s="74"/>
      <c r="FN275" s="75"/>
      <c r="FO275" s="75"/>
      <c r="FP275" s="75"/>
      <c r="FQ275" s="75"/>
      <c r="FR275" s="75"/>
      <c r="FS275" s="75"/>
      <c r="FT275" s="75"/>
      <c r="FU275" s="75"/>
      <c r="FV275" s="75"/>
      <c r="FW275" s="75"/>
      <c r="FX275" s="81"/>
      <c r="FY275" s="74"/>
      <c r="FZ275" s="75"/>
      <c r="GA275" s="75"/>
      <c r="GB275" s="75"/>
      <c r="GC275" s="75"/>
      <c r="GD275" s="75"/>
      <c r="GE275" s="75"/>
      <c r="GF275" s="75"/>
      <c r="GG275" s="75"/>
      <c r="GH275" s="75"/>
      <c r="GI275" s="75"/>
      <c r="GJ275" s="81"/>
      <c r="GK275" s="74"/>
      <c r="GL275" s="75"/>
      <c r="GM275" s="75"/>
      <c r="GN275" s="75"/>
      <c r="GO275" s="75"/>
      <c r="GP275" s="75"/>
      <c r="GQ275" s="75"/>
      <c r="GR275" s="75"/>
      <c r="GS275" s="75"/>
      <c r="GT275" s="75"/>
      <c r="GU275" s="75"/>
      <c r="GV275" s="81"/>
      <c r="GW275" s="74"/>
      <c r="GX275" s="75"/>
      <c r="GY275" s="75"/>
      <c r="GZ275" s="75"/>
      <c r="HA275" s="75"/>
      <c r="HB275" s="75"/>
      <c r="HC275" s="75"/>
      <c r="HD275" s="75"/>
      <c r="HE275" s="75"/>
      <c r="HF275" s="75"/>
      <c r="HG275" s="75"/>
      <c r="HH275" s="81"/>
      <c r="HI275" s="75"/>
    </row>
    <row r="276" ht="15.0" customHeight="1">
      <c r="A276" s="74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81"/>
      <c r="M276" s="74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81"/>
      <c r="Y276" s="74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81"/>
      <c r="AK276" s="74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81"/>
      <c r="AW276" s="74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81"/>
      <c r="BI276" s="74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81"/>
      <c r="BU276" s="74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81"/>
      <c r="CG276" s="74"/>
      <c r="CH276" s="75"/>
      <c r="CI276" s="75"/>
      <c r="CJ276" s="75"/>
      <c r="CK276" s="75"/>
      <c r="CL276" s="75"/>
      <c r="CM276" s="75"/>
      <c r="CN276" s="75"/>
      <c r="CO276" s="75"/>
      <c r="CP276" s="75"/>
      <c r="CQ276" s="75"/>
      <c r="CR276" s="81"/>
      <c r="CS276" s="74"/>
      <c r="CT276" s="75"/>
      <c r="CU276" s="75"/>
      <c r="CV276" s="75"/>
      <c r="CW276" s="75"/>
      <c r="CX276" s="75"/>
      <c r="CY276" s="75"/>
      <c r="CZ276" s="75"/>
      <c r="DA276" s="75"/>
      <c r="DB276" s="75"/>
      <c r="DC276" s="75"/>
      <c r="DD276" s="81"/>
      <c r="DE276" s="74"/>
      <c r="DF276" s="75"/>
      <c r="DG276" s="75"/>
      <c r="DH276" s="75"/>
      <c r="DI276" s="75"/>
      <c r="DJ276" s="75"/>
      <c r="DK276" s="75"/>
      <c r="DL276" s="75"/>
      <c r="DM276" s="75"/>
      <c r="DN276" s="75"/>
      <c r="DO276" s="75"/>
      <c r="DP276" s="81"/>
      <c r="DQ276" s="74"/>
      <c r="DR276" s="75"/>
      <c r="DS276" s="75"/>
      <c r="DT276" s="75"/>
      <c r="DU276" s="75"/>
      <c r="DV276" s="75"/>
      <c r="DW276" s="75"/>
      <c r="DX276" s="75"/>
      <c r="DY276" s="75"/>
      <c r="DZ276" s="75"/>
      <c r="EA276" s="75"/>
      <c r="EB276" s="81"/>
      <c r="EC276" s="74"/>
      <c r="ED276" s="75"/>
      <c r="EE276" s="75"/>
      <c r="EF276" s="75"/>
      <c r="EG276" s="75"/>
      <c r="EH276" s="75"/>
      <c r="EI276" s="75"/>
      <c r="EJ276" s="75"/>
      <c r="EK276" s="75"/>
      <c r="EL276" s="75"/>
      <c r="EM276" s="75"/>
      <c r="EN276" s="81"/>
      <c r="EO276" s="74"/>
      <c r="EP276" s="75"/>
      <c r="EQ276" s="75"/>
      <c r="ER276" s="75"/>
      <c r="ES276" s="75"/>
      <c r="ET276" s="75"/>
      <c r="EU276" s="75"/>
      <c r="EV276" s="75"/>
      <c r="EW276" s="75"/>
      <c r="EX276" s="75"/>
      <c r="EY276" s="75"/>
      <c r="EZ276" s="81"/>
      <c r="FA276" s="74"/>
      <c r="FB276" s="75"/>
      <c r="FC276" s="75"/>
      <c r="FD276" s="75"/>
      <c r="FE276" s="75"/>
      <c r="FF276" s="75"/>
      <c r="FG276" s="75"/>
      <c r="FH276" s="75"/>
      <c r="FI276" s="75"/>
      <c r="FJ276" s="75"/>
      <c r="FK276" s="75"/>
      <c r="FL276" s="81"/>
      <c r="FM276" s="74"/>
      <c r="FN276" s="75"/>
      <c r="FO276" s="75"/>
      <c r="FP276" s="75"/>
      <c r="FQ276" s="75"/>
      <c r="FR276" s="75"/>
      <c r="FS276" s="75"/>
      <c r="FT276" s="75"/>
      <c r="FU276" s="75"/>
      <c r="FV276" s="75"/>
      <c r="FW276" s="75"/>
      <c r="FX276" s="81"/>
      <c r="FY276" s="74"/>
      <c r="FZ276" s="75"/>
      <c r="GA276" s="75"/>
      <c r="GB276" s="75"/>
      <c r="GC276" s="75"/>
      <c r="GD276" s="75"/>
      <c r="GE276" s="75"/>
      <c r="GF276" s="75"/>
      <c r="GG276" s="75"/>
      <c r="GH276" s="75"/>
      <c r="GI276" s="75"/>
      <c r="GJ276" s="81"/>
      <c r="GK276" s="74"/>
      <c r="GL276" s="75"/>
      <c r="GM276" s="75"/>
      <c r="GN276" s="75"/>
      <c r="GO276" s="75"/>
      <c r="GP276" s="75"/>
      <c r="GQ276" s="75"/>
      <c r="GR276" s="75"/>
      <c r="GS276" s="75"/>
      <c r="GT276" s="75"/>
      <c r="GU276" s="75"/>
      <c r="GV276" s="81"/>
      <c r="GW276" s="74"/>
      <c r="GX276" s="75"/>
      <c r="GY276" s="75"/>
      <c r="GZ276" s="75"/>
      <c r="HA276" s="75"/>
      <c r="HB276" s="75"/>
      <c r="HC276" s="75"/>
      <c r="HD276" s="75"/>
      <c r="HE276" s="75"/>
      <c r="HF276" s="75"/>
      <c r="HG276" s="75"/>
      <c r="HH276" s="81"/>
      <c r="HI276" s="75"/>
    </row>
    <row r="277" ht="15.0" customHeight="1">
      <c r="A277" s="74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81"/>
      <c r="M277" s="74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81"/>
      <c r="Y277" s="74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81"/>
      <c r="AK277" s="74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81"/>
      <c r="AW277" s="74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81"/>
      <c r="BI277" s="74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81"/>
      <c r="BU277" s="74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81"/>
      <c r="CG277" s="74"/>
      <c r="CH277" s="75"/>
      <c r="CI277" s="75"/>
      <c r="CJ277" s="75"/>
      <c r="CK277" s="75"/>
      <c r="CL277" s="75"/>
      <c r="CM277" s="75"/>
      <c r="CN277" s="75"/>
      <c r="CO277" s="75"/>
      <c r="CP277" s="75"/>
      <c r="CQ277" s="75"/>
      <c r="CR277" s="81"/>
      <c r="CS277" s="74"/>
      <c r="CT277" s="75"/>
      <c r="CU277" s="75"/>
      <c r="CV277" s="75"/>
      <c r="CW277" s="75"/>
      <c r="CX277" s="75"/>
      <c r="CY277" s="75"/>
      <c r="CZ277" s="75"/>
      <c r="DA277" s="75"/>
      <c r="DB277" s="75"/>
      <c r="DC277" s="75"/>
      <c r="DD277" s="81"/>
      <c r="DE277" s="74"/>
      <c r="DF277" s="75"/>
      <c r="DG277" s="75"/>
      <c r="DH277" s="75"/>
      <c r="DI277" s="75"/>
      <c r="DJ277" s="75"/>
      <c r="DK277" s="75"/>
      <c r="DL277" s="75"/>
      <c r="DM277" s="75"/>
      <c r="DN277" s="75"/>
      <c r="DO277" s="75"/>
      <c r="DP277" s="81"/>
      <c r="DQ277" s="74"/>
      <c r="DR277" s="75"/>
      <c r="DS277" s="75"/>
      <c r="DT277" s="75"/>
      <c r="DU277" s="75"/>
      <c r="DV277" s="75"/>
      <c r="DW277" s="75"/>
      <c r="DX277" s="75"/>
      <c r="DY277" s="75"/>
      <c r="DZ277" s="75"/>
      <c r="EA277" s="75"/>
      <c r="EB277" s="81"/>
      <c r="EC277" s="74"/>
      <c r="ED277" s="75"/>
      <c r="EE277" s="75"/>
      <c r="EF277" s="75"/>
      <c r="EG277" s="75"/>
      <c r="EH277" s="75"/>
      <c r="EI277" s="75"/>
      <c r="EJ277" s="75"/>
      <c r="EK277" s="75"/>
      <c r="EL277" s="75"/>
      <c r="EM277" s="75"/>
      <c r="EN277" s="81"/>
      <c r="EO277" s="74"/>
      <c r="EP277" s="75"/>
      <c r="EQ277" s="75"/>
      <c r="ER277" s="75"/>
      <c r="ES277" s="75"/>
      <c r="ET277" s="75"/>
      <c r="EU277" s="75"/>
      <c r="EV277" s="75"/>
      <c r="EW277" s="75"/>
      <c r="EX277" s="75"/>
      <c r="EY277" s="75"/>
      <c r="EZ277" s="81"/>
      <c r="FA277" s="74"/>
      <c r="FB277" s="75"/>
      <c r="FC277" s="75"/>
      <c r="FD277" s="75"/>
      <c r="FE277" s="75"/>
      <c r="FF277" s="75"/>
      <c r="FG277" s="75"/>
      <c r="FH277" s="75"/>
      <c r="FI277" s="75"/>
      <c r="FJ277" s="75"/>
      <c r="FK277" s="75"/>
      <c r="FL277" s="81"/>
      <c r="FM277" s="74"/>
      <c r="FN277" s="75"/>
      <c r="FO277" s="75"/>
      <c r="FP277" s="75"/>
      <c r="FQ277" s="75"/>
      <c r="FR277" s="75"/>
      <c r="FS277" s="75"/>
      <c r="FT277" s="75"/>
      <c r="FU277" s="75"/>
      <c r="FV277" s="75"/>
      <c r="FW277" s="75"/>
      <c r="FX277" s="81"/>
      <c r="FY277" s="74"/>
      <c r="FZ277" s="75"/>
      <c r="GA277" s="75"/>
      <c r="GB277" s="75"/>
      <c r="GC277" s="75"/>
      <c r="GD277" s="75"/>
      <c r="GE277" s="75"/>
      <c r="GF277" s="75"/>
      <c r="GG277" s="75"/>
      <c r="GH277" s="75"/>
      <c r="GI277" s="75"/>
      <c r="GJ277" s="81"/>
      <c r="GK277" s="74"/>
      <c r="GL277" s="75"/>
      <c r="GM277" s="75"/>
      <c r="GN277" s="75"/>
      <c r="GO277" s="75"/>
      <c r="GP277" s="75"/>
      <c r="GQ277" s="75"/>
      <c r="GR277" s="75"/>
      <c r="GS277" s="75"/>
      <c r="GT277" s="75"/>
      <c r="GU277" s="75"/>
      <c r="GV277" s="81"/>
      <c r="GW277" s="74"/>
      <c r="GX277" s="75"/>
      <c r="GY277" s="75"/>
      <c r="GZ277" s="75"/>
      <c r="HA277" s="75"/>
      <c r="HB277" s="75"/>
      <c r="HC277" s="75"/>
      <c r="HD277" s="75"/>
      <c r="HE277" s="75"/>
      <c r="HF277" s="75"/>
      <c r="HG277" s="75"/>
      <c r="HH277" s="81"/>
      <c r="HI277" s="75"/>
    </row>
    <row r="278" ht="15.0" customHeight="1">
      <c r="A278" s="74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81"/>
      <c r="M278" s="74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81"/>
      <c r="Y278" s="74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81"/>
      <c r="AK278" s="74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81"/>
      <c r="AW278" s="74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81"/>
      <c r="BI278" s="74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81"/>
      <c r="BU278" s="74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81"/>
      <c r="CG278" s="74"/>
      <c r="CH278" s="75"/>
      <c r="CI278" s="75"/>
      <c r="CJ278" s="75"/>
      <c r="CK278" s="75"/>
      <c r="CL278" s="75"/>
      <c r="CM278" s="75"/>
      <c r="CN278" s="75"/>
      <c r="CO278" s="75"/>
      <c r="CP278" s="75"/>
      <c r="CQ278" s="75"/>
      <c r="CR278" s="81"/>
      <c r="CS278" s="74"/>
      <c r="CT278" s="75"/>
      <c r="CU278" s="75"/>
      <c r="CV278" s="75"/>
      <c r="CW278" s="75"/>
      <c r="CX278" s="75"/>
      <c r="CY278" s="75"/>
      <c r="CZ278" s="75"/>
      <c r="DA278" s="75"/>
      <c r="DB278" s="75"/>
      <c r="DC278" s="75"/>
      <c r="DD278" s="81"/>
      <c r="DE278" s="74"/>
      <c r="DF278" s="75"/>
      <c r="DG278" s="75"/>
      <c r="DH278" s="75"/>
      <c r="DI278" s="75"/>
      <c r="DJ278" s="75"/>
      <c r="DK278" s="75"/>
      <c r="DL278" s="75"/>
      <c r="DM278" s="75"/>
      <c r="DN278" s="75"/>
      <c r="DO278" s="75"/>
      <c r="DP278" s="81"/>
      <c r="DQ278" s="74"/>
      <c r="DR278" s="75"/>
      <c r="DS278" s="75"/>
      <c r="DT278" s="75"/>
      <c r="DU278" s="75"/>
      <c r="DV278" s="75"/>
      <c r="DW278" s="75"/>
      <c r="DX278" s="75"/>
      <c r="DY278" s="75"/>
      <c r="DZ278" s="75"/>
      <c r="EA278" s="75"/>
      <c r="EB278" s="81"/>
      <c r="EC278" s="74"/>
      <c r="ED278" s="75"/>
      <c r="EE278" s="75"/>
      <c r="EF278" s="75"/>
      <c r="EG278" s="75"/>
      <c r="EH278" s="75"/>
      <c r="EI278" s="75"/>
      <c r="EJ278" s="75"/>
      <c r="EK278" s="75"/>
      <c r="EL278" s="75"/>
      <c r="EM278" s="75"/>
      <c r="EN278" s="81"/>
      <c r="EO278" s="74"/>
      <c r="EP278" s="75"/>
      <c r="EQ278" s="75"/>
      <c r="ER278" s="75"/>
      <c r="ES278" s="75"/>
      <c r="ET278" s="75"/>
      <c r="EU278" s="75"/>
      <c r="EV278" s="75"/>
      <c r="EW278" s="75"/>
      <c r="EX278" s="75"/>
      <c r="EY278" s="75"/>
      <c r="EZ278" s="81"/>
      <c r="FA278" s="74"/>
      <c r="FB278" s="75"/>
      <c r="FC278" s="75"/>
      <c r="FD278" s="75"/>
      <c r="FE278" s="75"/>
      <c r="FF278" s="75"/>
      <c r="FG278" s="75"/>
      <c r="FH278" s="75"/>
      <c r="FI278" s="75"/>
      <c r="FJ278" s="75"/>
      <c r="FK278" s="75"/>
      <c r="FL278" s="81"/>
      <c r="FM278" s="74"/>
      <c r="FN278" s="75"/>
      <c r="FO278" s="75"/>
      <c r="FP278" s="75"/>
      <c r="FQ278" s="75"/>
      <c r="FR278" s="75"/>
      <c r="FS278" s="75"/>
      <c r="FT278" s="75"/>
      <c r="FU278" s="75"/>
      <c r="FV278" s="75"/>
      <c r="FW278" s="75"/>
      <c r="FX278" s="81"/>
      <c r="FY278" s="74"/>
      <c r="FZ278" s="75"/>
      <c r="GA278" s="75"/>
      <c r="GB278" s="75"/>
      <c r="GC278" s="75"/>
      <c r="GD278" s="75"/>
      <c r="GE278" s="75"/>
      <c r="GF278" s="75"/>
      <c r="GG278" s="75"/>
      <c r="GH278" s="75"/>
      <c r="GI278" s="75"/>
      <c r="GJ278" s="81"/>
      <c r="GK278" s="74"/>
      <c r="GL278" s="75"/>
      <c r="GM278" s="75"/>
      <c r="GN278" s="75"/>
      <c r="GO278" s="75"/>
      <c r="GP278" s="75"/>
      <c r="GQ278" s="75"/>
      <c r="GR278" s="75"/>
      <c r="GS278" s="75"/>
      <c r="GT278" s="75"/>
      <c r="GU278" s="75"/>
      <c r="GV278" s="81"/>
      <c r="GW278" s="74"/>
      <c r="GX278" s="75"/>
      <c r="GY278" s="75"/>
      <c r="GZ278" s="75"/>
      <c r="HA278" s="75"/>
      <c r="HB278" s="75"/>
      <c r="HC278" s="75"/>
      <c r="HD278" s="75"/>
      <c r="HE278" s="75"/>
      <c r="HF278" s="75"/>
      <c r="HG278" s="75"/>
      <c r="HH278" s="81"/>
      <c r="HI278" s="75"/>
    </row>
    <row r="279" ht="15.0" customHeight="1">
      <c r="A279" s="74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81"/>
      <c r="M279" s="74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81"/>
      <c r="Y279" s="74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81"/>
      <c r="AK279" s="74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81"/>
      <c r="AW279" s="74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81"/>
      <c r="BI279" s="74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81"/>
      <c r="BU279" s="74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81"/>
      <c r="CG279" s="74"/>
      <c r="CH279" s="75"/>
      <c r="CI279" s="75"/>
      <c r="CJ279" s="75"/>
      <c r="CK279" s="75"/>
      <c r="CL279" s="75"/>
      <c r="CM279" s="75"/>
      <c r="CN279" s="75"/>
      <c r="CO279" s="75"/>
      <c r="CP279" s="75"/>
      <c r="CQ279" s="75"/>
      <c r="CR279" s="81"/>
      <c r="CS279" s="74"/>
      <c r="CT279" s="75"/>
      <c r="CU279" s="75"/>
      <c r="CV279" s="75"/>
      <c r="CW279" s="75"/>
      <c r="CX279" s="75"/>
      <c r="CY279" s="75"/>
      <c r="CZ279" s="75"/>
      <c r="DA279" s="75"/>
      <c r="DB279" s="75"/>
      <c r="DC279" s="75"/>
      <c r="DD279" s="81"/>
      <c r="DE279" s="74"/>
      <c r="DF279" s="75"/>
      <c r="DG279" s="75"/>
      <c r="DH279" s="75"/>
      <c r="DI279" s="75"/>
      <c r="DJ279" s="75"/>
      <c r="DK279" s="75"/>
      <c r="DL279" s="75"/>
      <c r="DM279" s="75"/>
      <c r="DN279" s="75"/>
      <c r="DO279" s="75"/>
      <c r="DP279" s="81"/>
      <c r="DQ279" s="74"/>
      <c r="DR279" s="75"/>
      <c r="DS279" s="75"/>
      <c r="DT279" s="75"/>
      <c r="DU279" s="75"/>
      <c r="DV279" s="75"/>
      <c r="DW279" s="75"/>
      <c r="DX279" s="75"/>
      <c r="DY279" s="75"/>
      <c r="DZ279" s="75"/>
      <c r="EA279" s="75"/>
      <c r="EB279" s="81"/>
      <c r="EC279" s="74"/>
      <c r="ED279" s="75"/>
      <c r="EE279" s="75"/>
      <c r="EF279" s="75"/>
      <c r="EG279" s="75"/>
      <c r="EH279" s="75"/>
      <c r="EI279" s="75"/>
      <c r="EJ279" s="75"/>
      <c r="EK279" s="75"/>
      <c r="EL279" s="75"/>
      <c r="EM279" s="75"/>
      <c r="EN279" s="81"/>
      <c r="EO279" s="74"/>
      <c r="EP279" s="75"/>
      <c r="EQ279" s="75"/>
      <c r="ER279" s="75"/>
      <c r="ES279" s="75"/>
      <c r="ET279" s="75"/>
      <c r="EU279" s="75"/>
      <c r="EV279" s="75"/>
      <c r="EW279" s="75"/>
      <c r="EX279" s="75"/>
      <c r="EY279" s="75"/>
      <c r="EZ279" s="81"/>
      <c r="FA279" s="74"/>
      <c r="FB279" s="75"/>
      <c r="FC279" s="75"/>
      <c r="FD279" s="75"/>
      <c r="FE279" s="75"/>
      <c r="FF279" s="75"/>
      <c r="FG279" s="75"/>
      <c r="FH279" s="75"/>
      <c r="FI279" s="75"/>
      <c r="FJ279" s="75"/>
      <c r="FK279" s="75"/>
      <c r="FL279" s="81"/>
      <c r="FM279" s="74"/>
      <c r="FN279" s="75"/>
      <c r="FO279" s="75"/>
      <c r="FP279" s="75"/>
      <c r="FQ279" s="75"/>
      <c r="FR279" s="75"/>
      <c r="FS279" s="75"/>
      <c r="FT279" s="75"/>
      <c r="FU279" s="75"/>
      <c r="FV279" s="75"/>
      <c r="FW279" s="75"/>
      <c r="FX279" s="81"/>
      <c r="FY279" s="74"/>
      <c r="FZ279" s="75"/>
      <c r="GA279" s="75"/>
      <c r="GB279" s="75"/>
      <c r="GC279" s="75"/>
      <c r="GD279" s="75"/>
      <c r="GE279" s="75"/>
      <c r="GF279" s="75"/>
      <c r="GG279" s="75"/>
      <c r="GH279" s="75"/>
      <c r="GI279" s="75"/>
      <c r="GJ279" s="81"/>
      <c r="GK279" s="74"/>
      <c r="GL279" s="75"/>
      <c r="GM279" s="75"/>
      <c r="GN279" s="75"/>
      <c r="GO279" s="75"/>
      <c r="GP279" s="75"/>
      <c r="GQ279" s="75"/>
      <c r="GR279" s="75"/>
      <c r="GS279" s="75"/>
      <c r="GT279" s="75"/>
      <c r="GU279" s="75"/>
      <c r="GV279" s="81"/>
      <c r="GW279" s="74"/>
      <c r="GX279" s="75"/>
      <c r="GY279" s="75"/>
      <c r="GZ279" s="75"/>
      <c r="HA279" s="75"/>
      <c r="HB279" s="75"/>
      <c r="HC279" s="75"/>
      <c r="HD279" s="75"/>
      <c r="HE279" s="75"/>
      <c r="HF279" s="75"/>
      <c r="HG279" s="75"/>
      <c r="HH279" s="81"/>
      <c r="HI279" s="75"/>
    </row>
    <row r="280" ht="15.0" customHeight="1">
      <c r="A280" s="74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81"/>
      <c r="M280" s="74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81"/>
      <c r="Y280" s="74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81"/>
      <c r="AK280" s="74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81"/>
      <c r="AW280" s="74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81"/>
      <c r="BI280" s="74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81"/>
      <c r="BU280" s="74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81"/>
      <c r="CG280" s="74"/>
      <c r="CH280" s="75"/>
      <c r="CI280" s="75"/>
      <c r="CJ280" s="75"/>
      <c r="CK280" s="75"/>
      <c r="CL280" s="75"/>
      <c r="CM280" s="75"/>
      <c r="CN280" s="75"/>
      <c r="CO280" s="75"/>
      <c r="CP280" s="75"/>
      <c r="CQ280" s="75"/>
      <c r="CR280" s="81"/>
      <c r="CS280" s="74"/>
      <c r="CT280" s="75"/>
      <c r="CU280" s="75"/>
      <c r="CV280" s="75"/>
      <c r="CW280" s="75"/>
      <c r="CX280" s="75"/>
      <c r="CY280" s="75"/>
      <c r="CZ280" s="75"/>
      <c r="DA280" s="75"/>
      <c r="DB280" s="75"/>
      <c r="DC280" s="75"/>
      <c r="DD280" s="81"/>
      <c r="DE280" s="74"/>
      <c r="DF280" s="75"/>
      <c r="DG280" s="75"/>
      <c r="DH280" s="75"/>
      <c r="DI280" s="75"/>
      <c r="DJ280" s="75"/>
      <c r="DK280" s="75"/>
      <c r="DL280" s="75"/>
      <c r="DM280" s="75"/>
      <c r="DN280" s="75"/>
      <c r="DO280" s="75"/>
      <c r="DP280" s="81"/>
      <c r="DQ280" s="74"/>
      <c r="DR280" s="75"/>
      <c r="DS280" s="75"/>
      <c r="DT280" s="75"/>
      <c r="DU280" s="75"/>
      <c r="DV280" s="75"/>
      <c r="DW280" s="75"/>
      <c r="DX280" s="75"/>
      <c r="DY280" s="75"/>
      <c r="DZ280" s="75"/>
      <c r="EA280" s="75"/>
      <c r="EB280" s="81"/>
      <c r="EC280" s="74"/>
      <c r="ED280" s="75"/>
      <c r="EE280" s="75"/>
      <c r="EF280" s="75"/>
      <c r="EG280" s="75"/>
      <c r="EH280" s="75"/>
      <c r="EI280" s="75"/>
      <c r="EJ280" s="75"/>
      <c r="EK280" s="75"/>
      <c r="EL280" s="75"/>
      <c r="EM280" s="75"/>
      <c r="EN280" s="81"/>
      <c r="EO280" s="74"/>
      <c r="EP280" s="75"/>
      <c r="EQ280" s="75"/>
      <c r="ER280" s="75"/>
      <c r="ES280" s="75"/>
      <c r="ET280" s="75"/>
      <c r="EU280" s="75"/>
      <c r="EV280" s="75"/>
      <c r="EW280" s="75"/>
      <c r="EX280" s="75"/>
      <c r="EY280" s="75"/>
      <c r="EZ280" s="81"/>
      <c r="FA280" s="74"/>
      <c r="FB280" s="75"/>
      <c r="FC280" s="75"/>
      <c r="FD280" s="75"/>
      <c r="FE280" s="75"/>
      <c r="FF280" s="75"/>
      <c r="FG280" s="75"/>
      <c r="FH280" s="75"/>
      <c r="FI280" s="75"/>
      <c r="FJ280" s="75"/>
      <c r="FK280" s="75"/>
      <c r="FL280" s="81"/>
      <c r="FM280" s="74"/>
      <c r="FN280" s="75"/>
      <c r="FO280" s="75"/>
      <c r="FP280" s="75"/>
      <c r="FQ280" s="75"/>
      <c r="FR280" s="75"/>
      <c r="FS280" s="75"/>
      <c r="FT280" s="75"/>
      <c r="FU280" s="75"/>
      <c r="FV280" s="75"/>
      <c r="FW280" s="75"/>
      <c r="FX280" s="81"/>
      <c r="FY280" s="74"/>
      <c r="FZ280" s="75"/>
      <c r="GA280" s="75"/>
      <c r="GB280" s="75"/>
      <c r="GC280" s="75"/>
      <c r="GD280" s="75"/>
      <c r="GE280" s="75"/>
      <c r="GF280" s="75"/>
      <c r="GG280" s="75"/>
      <c r="GH280" s="75"/>
      <c r="GI280" s="75"/>
      <c r="GJ280" s="81"/>
      <c r="GK280" s="74"/>
      <c r="GL280" s="75"/>
      <c r="GM280" s="75"/>
      <c r="GN280" s="75"/>
      <c r="GO280" s="75"/>
      <c r="GP280" s="75"/>
      <c r="GQ280" s="75"/>
      <c r="GR280" s="75"/>
      <c r="GS280" s="75"/>
      <c r="GT280" s="75"/>
      <c r="GU280" s="75"/>
      <c r="GV280" s="81"/>
      <c r="GW280" s="74"/>
      <c r="GX280" s="75"/>
      <c r="GY280" s="75"/>
      <c r="GZ280" s="75"/>
      <c r="HA280" s="75"/>
      <c r="HB280" s="75"/>
      <c r="HC280" s="75"/>
      <c r="HD280" s="75"/>
      <c r="HE280" s="75"/>
      <c r="HF280" s="75"/>
      <c r="HG280" s="75"/>
      <c r="HH280" s="81"/>
      <c r="HI280" s="75"/>
    </row>
    <row r="281" ht="15.0" customHeight="1">
      <c r="A281" s="74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81"/>
      <c r="M281" s="74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81"/>
      <c r="Y281" s="74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81"/>
      <c r="AK281" s="74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81"/>
      <c r="AW281" s="74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81"/>
      <c r="BI281" s="74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81"/>
      <c r="BU281" s="74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81"/>
      <c r="CG281" s="74"/>
      <c r="CH281" s="75"/>
      <c r="CI281" s="75"/>
      <c r="CJ281" s="75"/>
      <c r="CK281" s="75"/>
      <c r="CL281" s="75"/>
      <c r="CM281" s="75"/>
      <c r="CN281" s="75"/>
      <c r="CO281" s="75"/>
      <c r="CP281" s="75"/>
      <c r="CQ281" s="75"/>
      <c r="CR281" s="81"/>
      <c r="CS281" s="74"/>
      <c r="CT281" s="75"/>
      <c r="CU281" s="75"/>
      <c r="CV281" s="75"/>
      <c r="CW281" s="75"/>
      <c r="CX281" s="75"/>
      <c r="CY281" s="75"/>
      <c r="CZ281" s="75"/>
      <c r="DA281" s="75"/>
      <c r="DB281" s="75"/>
      <c r="DC281" s="75"/>
      <c r="DD281" s="81"/>
      <c r="DE281" s="74"/>
      <c r="DF281" s="75"/>
      <c r="DG281" s="75"/>
      <c r="DH281" s="75"/>
      <c r="DI281" s="75"/>
      <c r="DJ281" s="75"/>
      <c r="DK281" s="75"/>
      <c r="DL281" s="75"/>
      <c r="DM281" s="75"/>
      <c r="DN281" s="75"/>
      <c r="DO281" s="75"/>
      <c r="DP281" s="81"/>
      <c r="DQ281" s="74"/>
      <c r="DR281" s="75"/>
      <c r="DS281" s="75"/>
      <c r="DT281" s="75"/>
      <c r="DU281" s="75"/>
      <c r="DV281" s="75"/>
      <c r="DW281" s="75"/>
      <c r="DX281" s="75"/>
      <c r="DY281" s="75"/>
      <c r="DZ281" s="75"/>
      <c r="EA281" s="75"/>
      <c r="EB281" s="81"/>
      <c r="EC281" s="74"/>
      <c r="ED281" s="75"/>
      <c r="EE281" s="75"/>
      <c r="EF281" s="75"/>
      <c r="EG281" s="75"/>
      <c r="EH281" s="75"/>
      <c r="EI281" s="75"/>
      <c r="EJ281" s="75"/>
      <c r="EK281" s="75"/>
      <c r="EL281" s="75"/>
      <c r="EM281" s="75"/>
      <c r="EN281" s="81"/>
      <c r="EO281" s="74"/>
      <c r="EP281" s="75"/>
      <c r="EQ281" s="75"/>
      <c r="ER281" s="75"/>
      <c r="ES281" s="75"/>
      <c r="ET281" s="75"/>
      <c r="EU281" s="75"/>
      <c r="EV281" s="75"/>
      <c r="EW281" s="75"/>
      <c r="EX281" s="75"/>
      <c r="EY281" s="75"/>
      <c r="EZ281" s="81"/>
      <c r="FA281" s="74"/>
      <c r="FB281" s="75"/>
      <c r="FC281" s="75"/>
      <c r="FD281" s="75"/>
      <c r="FE281" s="75"/>
      <c r="FF281" s="75"/>
      <c r="FG281" s="75"/>
      <c r="FH281" s="75"/>
      <c r="FI281" s="75"/>
      <c r="FJ281" s="75"/>
      <c r="FK281" s="75"/>
      <c r="FL281" s="81"/>
      <c r="FM281" s="74"/>
      <c r="FN281" s="75"/>
      <c r="FO281" s="75"/>
      <c r="FP281" s="75"/>
      <c r="FQ281" s="75"/>
      <c r="FR281" s="75"/>
      <c r="FS281" s="75"/>
      <c r="FT281" s="75"/>
      <c r="FU281" s="75"/>
      <c r="FV281" s="75"/>
      <c r="FW281" s="75"/>
      <c r="FX281" s="81"/>
      <c r="FY281" s="74"/>
      <c r="FZ281" s="75"/>
      <c r="GA281" s="75"/>
      <c r="GB281" s="75"/>
      <c r="GC281" s="75"/>
      <c r="GD281" s="75"/>
      <c r="GE281" s="75"/>
      <c r="GF281" s="75"/>
      <c r="GG281" s="75"/>
      <c r="GH281" s="75"/>
      <c r="GI281" s="75"/>
      <c r="GJ281" s="81"/>
      <c r="GK281" s="74"/>
      <c r="GL281" s="75"/>
      <c r="GM281" s="75"/>
      <c r="GN281" s="75"/>
      <c r="GO281" s="75"/>
      <c r="GP281" s="75"/>
      <c r="GQ281" s="75"/>
      <c r="GR281" s="75"/>
      <c r="GS281" s="75"/>
      <c r="GT281" s="75"/>
      <c r="GU281" s="75"/>
      <c r="GV281" s="81"/>
      <c r="GW281" s="74"/>
      <c r="GX281" s="75"/>
      <c r="GY281" s="75"/>
      <c r="GZ281" s="75"/>
      <c r="HA281" s="75"/>
      <c r="HB281" s="75"/>
      <c r="HC281" s="75"/>
      <c r="HD281" s="75"/>
      <c r="HE281" s="75"/>
      <c r="HF281" s="75"/>
      <c r="HG281" s="75"/>
      <c r="HH281" s="81"/>
      <c r="HI281" s="75"/>
    </row>
    <row r="282" ht="15.0" customHeight="1">
      <c r="A282" s="74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81"/>
      <c r="M282" s="74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81"/>
      <c r="Y282" s="74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81"/>
      <c r="AK282" s="74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81"/>
      <c r="AW282" s="74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81"/>
      <c r="BI282" s="74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81"/>
      <c r="BU282" s="74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81"/>
      <c r="CG282" s="74"/>
      <c r="CH282" s="75"/>
      <c r="CI282" s="75"/>
      <c r="CJ282" s="75"/>
      <c r="CK282" s="75"/>
      <c r="CL282" s="75"/>
      <c r="CM282" s="75"/>
      <c r="CN282" s="75"/>
      <c r="CO282" s="75"/>
      <c r="CP282" s="75"/>
      <c r="CQ282" s="75"/>
      <c r="CR282" s="81"/>
      <c r="CS282" s="74"/>
      <c r="CT282" s="75"/>
      <c r="CU282" s="75"/>
      <c r="CV282" s="75"/>
      <c r="CW282" s="75"/>
      <c r="CX282" s="75"/>
      <c r="CY282" s="75"/>
      <c r="CZ282" s="75"/>
      <c r="DA282" s="75"/>
      <c r="DB282" s="75"/>
      <c r="DC282" s="75"/>
      <c r="DD282" s="81"/>
      <c r="DE282" s="74"/>
      <c r="DF282" s="75"/>
      <c r="DG282" s="75"/>
      <c r="DH282" s="75"/>
      <c r="DI282" s="75"/>
      <c r="DJ282" s="75"/>
      <c r="DK282" s="75"/>
      <c r="DL282" s="75"/>
      <c r="DM282" s="75"/>
      <c r="DN282" s="75"/>
      <c r="DO282" s="75"/>
      <c r="DP282" s="81"/>
      <c r="DQ282" s="74"/>
      <c r="DR282" s="75"/>
      <c r="DS282" s="75"/>
      <c r="DT282" s="75"/>
      <c r="DU282" s="75"/>
      <c r="DV282" s="75"/>
      <c r="DW282" s="75"/>
      <c r="DX282" s="75"/>
      <c r="DY282" s="75"/>
      <c r="DZ282" s="75"/>
      <c r="EA282" s="75"/>
      <c r="EB282" s="81"/>
      <c r="EC282" s="74"/>
      <c r="ED282" s="75"/>
      <c r="EE282" s="75"/>
      <c r="EF282" s="75"/>
      <c r="EG282" s="75"/>
      <c r="EH282" s="75"/>
      <c r="EI282" s="75"/>
      <c r="EJ282" s="75"/>
      <c r="EK282" s="75"/>
      <c r="EL282" s="75"/>
      <c r="EM282" s="75"/>
      <c r="EN282" s="81"/>
      <c r="EO282" s="74"/>
      <c r="EP282" s="75"/>
      <c r="EQ282" s="75"/>
      <c r="ER282" s="75"/>
      <c r="ES282" s="75"/>
      <c r="ET282" s="75"/>
      <c r="EU282" s="75"/>
      <c r="EV282" s="75"/>
      <c r="EW282" s="75"/>
      <c r="EX282" s="75"/>
      <c r="EY282" s="75"/>
      <c r="EZ282" s="81"/>
      <c r="FA282" s="74"/>
      <c r="FB282" s="75"/>
      <c r="FC282" s="75"/>
      <c r="FD282" s="75"/>
      <c r="FE282" s="75"/>
      <c r="FF282" s="75"/>
      <c r="FG282" s="75"/>
      <c r="FH282" s="75"/>
      <c r="FI282" s="75"/>
      <c r="FJ282" s="75"/>
      <c r="FK282" s="75"/>
      <c r="FL282" s="81"/>
      <c r="FM282" s="74"/>
      <c r="FN282" s="75"/>
      <c r="FO282" s="75"/>
      <c r="FP282" s="75"/>
      <c r="FQ282" s="75"/>
      <c r="FR282" s="75"/>
      <c r="FS282" s="75"/>
      <c r="FT282" s="75"/>
      <c r="FU282" s="75"/>
      <c r="FV282" s="75"/>
      <c r="FW282" s="75"/>
      <c r="FX282" s="81"/>
      <c r="FY282" s="74"/>
      <c r="FZ282" s="75"/>
      <c r="GA282" s="75"/>
      <c r="GB282" s="75"/>
      <c r="GC282" s="75"/>
      <c r="GD282" s="75"/>
      <c r="GE282" s="75"/>
      <c r="GF282" s="75"/>
      <c r="GG282" s="75"/>
      <c r="GH282" s="75"/>
      <c r="GI282" s="75"/>
      <c r="GJ282" s="81"/>
      <c r="GK282" s="74"/>
      <c r="GL282" s="75"/>
      <c r="GM282" s="75"/>
      <c r="GN282" s="75"/>
      <c r="GO282" s="75"/>
      <c r="GP282" s="75"/>
      <c r="GQ282" s="75"/>
      <c r="GR282" s="75"/>
      <c r="GS282" s="75"/>
      <c r="GT282" s="75"/>
      <c r="GU282" s="75"/>
      <c r="GV282" s="81"/>
      <c r="GW282" s="74"/>
      <c r="GX282" s="75"/>
      <c r="GY282" s="75"/>
      <c r="GZ282" s="75"/>
      <c r="HA282" s="75"/>
      <c r="HB282" s="75"/>
      <c r="HC282" s="75"/>
      <c r="HD282" s="75"/>
      <c r="HE282" s="75"/>
      <c r="HF282" s="75"/>
      <c r="HG282" s="75"/>
      <c r="HH282" s="81"/>
      <c r="HI282" s="75"/>
    </row>
    <row r="283" ht="15.0" customHeight="1">
      <c r="A283" s="74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81"/>
      <c r="M283" s="74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81"/>
      <c r="Y283" s="74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81"/>
      <c r="AK283" s="74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81"/>
      <c r="AW283" s="74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81"/>
      <c r="BI283" s="74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81"/>
      <c r="BU283" s="74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81"/>
      <c r="CG283" s="74"/>
      <c r="CH283" s="75"/>
      <c r="CI283" s="75"/>
      <c r="CJ283" s="75"/>
      <c r="CK283" s="75"/>
      <c r="CL283" s="75"/>
      <c r="CM283" s="75"/>
      <c r="CN283" s="75"/>
      <c r="CO283" s="75"/>
      <c r="CP283" s="75"/>
      <c r="CQ283" s="75"/>
      <c r="CR283" s="81"/>
      <c r="CS283" s="74"/>
      <c r="CT283" s="75"/>
      <c r="CU283" s="75"/>
      <c r="CV283" s="75"/>
      <c r="CW283" s="75"/>
      <c r="CX283" s="75"/>
      <c r="CY283" s="75"/>
      <c r="CZ283" s="75"/>
      <c r="DA283" s="75"/>
      <c r="DB283" s="75"/>
      <c r="DC283" s="75"/>
      <c r="DD283" s="81"/>
      <c r="DE283" s="74"/>
      <c r="DF283" s="75"/>
      <c r="DG283" s="75"/>
      <c r="DH283" s="75"/>
      <c r="DI283" s="75"/>
      <c r="DJ283" s="75"/>
      <c r="DK283" s="75"/>
      <c r="DL283" s="75"/>
      <c r="DM283" s="75"/>
      <c r="DN283" s="75"/>
      <c r="DO283" s="75"/>
      <c r="DP283" s="81"/>
      <c r="DQ283" s="74"/>
      <c r="DR283" s="75"/>
      <c r="DS283" s="75"/>
      <c r="DT283" s="75"/>
      <c r="DU283" s="75"/>
      <c r="DV283" s="75"/>
      <c r="DW283" s="75"/>
      <c r="DX283" s="75"/>
      <c r="DY283" s="75"/>
      <c r="DZ283" s="75"/>
      <c r="EA283" s="75"/>
      <c r="EB283" s="81"/>
      <c r="EC283" s="74"/>
      <c r="ED283" s="75"/>
      <c r="EE283" s="75"/>
      <c r="EF283" s="75"/>
      <c r="EG283" s="75"/>
      <c r="EH283" s="75"/>
      <c r="EI283" s="75"/>
      <c r="EJ283" s="75"/>
      <c r="EK283" s="75"/>
      <c r="EL283" s="75"/>
      <c r="EM283" s="75"/>
      <c r="EN283" s="81"/>
      <c r="EO283" s="74"/>
      <c r="EP283" s="75"/>
      <c r="EQ283" s="75"/>
      <c r="ER283" s="75"/>
      <c r="ES283" s="75"/>
      <c r="ET283" s="75"/>
      <c r="EU283" s="75"/>
      <c r="EV283" s="75"/>
      <c r="EW283" s="75"/>
      <c r="EX283" s="75"/>
      <c r="EY283" s="75"/>
      <c r="EZ283" s="81"/>
      <c r="FA283" s="74"/>
      <c r="FB283" s="75"/>
      <c r="FC283" s="75"/>
      <c r="FD283" s="75"/>
      <c r="FE283" s="75"/>
      <c r="FF283" s="75"/>
      <c r="FG283" s="75"/>
      <c r="FH283" s="75"/>
      <c r="FI283" s="75"/>
      <c r="FJ283" s="75"/>
      <c r="FK283" s="75"/>
      <c r="FL283" s="81"/>
      <c r="FM283" s="74"/>
      <c r="FN283" s="75"/>
      <c r="FO283" s="75"/>
      <c r="FP283" s="75"/>
      <c r="FQ283" s="75"/>
      <c r="FR283" s="75"/>
      <c r="FS283" s="75"/>
      <c r="FT283" s="75"/>
      <c r="FU283" s="75"/>
      <c r="FV283" s="75"/>
      <c r="FW283" s="75"/>
      <c r="FX283" s="81"/>
      <c r="FY283" s="74"/>
      <c r="FZ283" s="75"/>
      <c r="GA283" s="75"/>
      <c r="GB283" s="75"/>
      <c r="GC283" s="75"/>
      <c r="GD283" s="75"/>
      <c r="GE283" s="75"/>
      <c r="GF283" s="75"/>
      <c r="GG283" s="75"/>
      <c r="GH283" s="75"/>
      <c r="GI283" s="75"/>
      <c r="GJ283" s="81"/>
      <c r="GK283" s="74"/>
      <c r="GL283" s="75"/>
      <c r="GM283" s="75"/>
      <c r="GN283" s="75"/>
      <c r="GO283" s="75"/>
      <c r="GP283" s="75"/>
      <c r="GQ283" s="75"/>
      <c r="GR283" s="75"/>
      <c r="GS283" s="75"/>
      <c r="GT283" s="75"/>
      <c r="GU283" s="75"/>
      <c r="GV283" s="81"/>
      <c r="GW283" s="74"/>
      <c r="GX283" s="75"/>
      <c r="GY283" s="75"/>
      <c r="GZ283" s="75"/>
      <c r="HA283" s="75"/>
      <c r="HB283" s="75"/>
      <c r="HC283" s="75"/>
      <c r="HD283" s="75"/>
      <c r="HE283" s="75"/>
      <c r="HF283" s="75"/>
      <c r="HG283" s="75"/>
      <c r="HH283" s="81"/>
      <c r="HI283" s="75"/>
    </row>
    <row r="284" ht="15.0" customHeight="1">
      <c r="A284" s="74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81"/>
      <c r="M284" s="74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81"/>
      <c r="Y284" s="74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81"/>
      <c r="AK284" s="74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81"/>
      <c r="AW284" s="74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81"/>
      <c r="BI284" s="74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81"/>
      <c r="BU284" s="74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81"/>
      <c r="CG284" s="74"/>
      <c r="CH284" s="75"/>
      <c r="CI284" s="75"/>
      <c r="CJ284" s="75"/>
      <c r="CK284" s="75"/>
      <c r="CL284" s="75"/>
      <c r="CM284" s="75"/>
      <c r="CN284" s="75"/>
      <c r="CO284" s="75"/>
      <c r="CP284" s="75"/>
      <c r="CQ284" s="75"/>
      <c r="CR284" s="81"/>
      <c r="CS284" s="74"/>
      <c r="CT284" s="75"/>
      <c r="CU284" s="75"/>
      <c r="CV284" s="75"/>
      <c r="CW284" s="75"/>
      <c r="CX284" s="75"/>
      <c r="CY284" s="75"/>
      <c r="CZ284" s="75"/>
      <c r="DA284" s="75"/>
      <c r="DB284" s="75"/>
      <c r="DC284" s="75"/>
      <c r="DD284" s="81"/>
      <c r="DE284" s="74"/>
      <c r="DF284" s="75"/>
      <c r="DG284" s="75"/>
      <c r="DH284" s="75"/>
      <c r="DI284" s="75"/>
      <c r="DJ284" s="75"/>
      <c r="DK284" s="75"/>
      <c r="DL284" s="75"/>
      <c r="DM284" s="75"/>
      <c r="DN284" s="75"/>
      <c r="DO284" s="75"/>
      <c r="DP284" s="81"/>
      <c r="DQ284" s="74"/>
      <c r="DR284" s="75"/>
      <c r="DS284" s="75"/>
      <c r="DT284" s="75"/>
      <c r="DU284" s="75"/>
      <c r="DV284" s="75"/>
      <c r="DW284" s="75"/>
      <c r="DX284" s="75"/>
      <c r="DY284" s="75"/>
      <c r="DZ284" s="75"/>
      <c r="EA284" s="75"/>
      <c r="EB284" s="81"/>
      <c r="EC284" s="74"/>
      <c r="ED284" s="75"/>
      <c r="EE284" s="75"/>
      <c r="EF284" s="75"/>
      <c r="EG284" s="75"/>
      <c r="EH284" s="75"/>
      <c r="EI284" s="75"/>
      <c r="EJ284" s="75"/>
      <c r="EK284" s="75"/>
      <c r="EL284" s="75"/>
      <c r="EM284" s="75"/>
      <c r="EN284" s="81"/>
      <c r="EO284" s="74"/>
      <c r="EP284" s="75"/>
      <c r="EQ284" s="75"/>
      <c r="ER284" s="75"/>
      <c r="ES284" s="75"/>
      <c r="ET284" s="75"/>
      <c r="EU284" s="75"/>
      <c r="EV284" s="75"/>
      <c r="EW284" s="75"/>
      <c r="EX284" s="75"/>
      <c r="EY284" s="75"/>
      <c r="EZ284" s="81"/>
      <c r="FA284" s="74"/>
      <c r="FB284" s="75"/>
      <c r="FC284" s="75"/>
      <c r="FD284" s="75"/>
      <c r="FE284" s="75"/>
      <c r="FF284" s="75"/>
      <c r="FG284" s="75"/>
      <c r="FH284" s="75"/>
      <c r="FI284" s="75"/>
      <c r="FJ284" s="75"/>
      <c r="FK284" s="75"/>
      <c r="FL284" s="81"/>
      <c r="FM284" s="74"/>
      <c r="FN284" s="75"/>
      <c r="FO284" s="75"/>
      <c r="FP284" s="75"/>
      <c r="FQ284" s="75"/>
      <c r="FR284" s="75"/>
      <c r="FS284" s="75"/>
      <c r="FT284" s="75"/>
      <c r="FU284" s="75"/>
      <c r="FV284" s="75"/>
      <c r="FW284" s="75"/>
      <c r="FX284" s="81"/>
      <c r="FY284" s="74"/>
      <c r="FZ284" s="75"/>
      <c r="GA284" s="75"/>
      <c r="GB284" s="75"/>
      <c r="GC284" s="75"/>
      <c r="GD284" s="75"/>
      <c r="GE284" s="75"/>
      <c r="GF284" s="75"/>
      <c r="GG284" s="75"/>
      <c r="GH284" s="75"/>
      <c r="GI284" s="75"/>
      <c r="GJ284" s="81"/>
      <c r="GK284" s="74"/>
      <c r="GL284" s="75"/>
      <c r="GM284" s="75"/>
      <c r="GN284" s="75"/>
      <c r="GO284" s="75"/>
      <c r="GP284" s="75"/>
      <c r="GQ284" s="75"/>
      <c r="GR284" s="75"/>
      <c r="GS284" s="75"/>
      <c r="GT284" s="75"/>
      <c r="GU284" s="75"/>
      <c r="GV284" s="81"/>
      <c r="GW284" s="74"/>
      <c r="GX284" s="75"/>
      <c r="GY284" s="75"/>
      <c r="GZ284" s="75"/>
      <c r="HA284" s="75"/>
      <c r="HB284" s="75"/>
      <c r="HC284" s="75"/>
      <c r="HD284" s="75"/>
      <c r="HE284" s="75"/>
      <c r="HF284" s="75"/>
      <c r="HG284" s="75"/>
      <c r="HH284" s="81"/>
      <c r="HI284" s="75"/>
    </row>
    <row r="285" ht="15.0" customHeight="1">
      <c r="A285" s="74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81"/>
      <c r="M285" s="74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81"/>
      <c r="Y285" s="74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81"/>
      <c r="AK285" s="74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81"/>
      <c r="AW285" s="74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81"/>
      <c r="BI285" s="74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81"/>
      <c r="BU285" s="74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81"/>
      <c r="CG285" s="74"/>
      <c r="CH285" s="75"/>
      <c r="CI285" s="75"/>
      <c r="CJ285" s="75"/>
      <c r="CK285" s="75"/>
      <c r="CL285" s="75"/>
      <c r="CM285" s="75"/>
      <c r="CN285" s="75"/>
      <c r="CO285" s="75"/>
      <c r="CP285" s="75"/>
      <c r="CQ285" s="75"/>
      <c r="CR285" s="81"/>
      <c r="CS285" s="74"/>
      <c r="CT285" s="75"/>
      <c r="CU285" s="75"/>
      <c r="CV285" s="75"/>
      <c r="CW285" s="75"/>
      <c r="CX285" s="75"/>
      <c r="CY285" s="75"/>
      <c r="CZ285" s="75"/>
      <c r="DA285" s="75"/>
      <c r="DB285" s="75"/>
      <c r="DC285" s="75"/>
      <c r="DD285" s="81"/>
      <c r="DE285" s="74"/>
      <c r="DF285" s="75"/>
      <c r="DG285" s="75"/>
      <c r="DH285" s="75"/>
      <c r="DI285" s="75"/>
      <c r="DJ285" s="75"/>
      <c r="DK285" s="75"/>
      <c r="DL285" s="75"/>
      <c r="DM285" s="75"/>
      <c r="DN285" s="75"/>
      <c r="DO285" s="75"/>
      <c r="DP285" s="81"/>
      <c r="DQ285" s="74"/>
      <c r="DR285" s="75"/>
      <c r="DS285" s="75"/>
      <c r="DT285" s="75"/>
      <c r="DU285" s="75"/>
      <c r="DV285" s="75"/>
      <c r="DW285" s="75"/>
      <c r="DX285" s="75"/>
      <c r="DY285" s="75"/>
      <c r="DZ285" s="75"/>
      <c r="EA285" s="75"/>
      <c r="EB285" s="81"/>
      <c r="EC285" s="74"/>
      <c r="ED285" s="75"/>
      <c r="EE285" s="75"/>
      <c r="EF285" s="75"/>
      <c r="EG285" s="75"/>
      <c r="EH285" s="75"/>
      <c r="EI285" s="75"/>
      <c r="EJ285" s="75"/>
      <c r="EK285" s="75"/>
      <c r="EL285" s="75"/>
      <c r="EM285" s="75"/>
      <c r="EN285" s="81"/>
      <c r="EO285" s="74"/>
      <c r="EP285" s="75"/>
      <c r="EQ285" s="75"/>
      <c r="ER285" s="75"/>
      <c r="ES285" s="75"/>
      <c r="ET285" s="75"/>
      <c r="EU285" s="75"/>
      <c r="EV285" s="75"/>
      <c r="EW285" s="75"/>
      <c r="EX285" s="75"/>
      <c r="EY285" s="75"/>
      <c r="EZ285" s="81"/>
      <c r="FA285" s="74"/>
      <c r="FB285" s="75"/>
      <c r="FC285" s="75"/>
      <c r="FD285" s="75"/>
      <c r="FE285" s="75"/>
      <c r="FF285" s="75"/>
      <c r="FG285" s="75"/>
      <c r="FH285" s="75"/>
      <c r="FI285" s="75"/>
      <c r="FJ285" s="75"/>
      <c r="FK285" s="75"/>
      <c r="FL285" s="81"/>
      <c r="FM285" s="74"/>
      <c r="FN285" s="75"/>
      <c r="FO285" s="75"/>
      <c r="FP285" s="75"/>
      <c r="FQ285" s="75"/>
      <c r="FR285" s="75"/>
      <c r="FS285" s="75"/>
      <c r="FT285" s="75"/>
      <c r="FU285" s="75"/>
      <c r="FV285" s="75"/>
      <c r="FW285" s="75"/>
      <c r="FX285" s="81"/>
      <c r="FY285" s="74"/>
      <c r="FZ285" s="75"/>
      <c r="GA285" s="75"/>
      <c r="GB285" s="75"/>
      <c r="GC285" s="75"/>
      <c r="GD285" s="75"/>
      <c r="GE285" s="75"/>
      <c r="GF285" s="75"/>
      <c r="GG285" s="75"/>
      <c r="GH285" s="75"/>
      <c r="GI285" s="75"/>
      <c r="GJ285" s="81"/>
      <c r="GK285" s="74"/>
      <c r="GL285" s="75"/>
      <c r="GM285" s="75"/>
      <c r="GN285" s="75"/>
      <c r="GO285" s="75"/>
      <c r="GP285" s="75"/>
      <c r="GQ285" s="75"/>
      <c r="GR285" s="75"/>
      <c r="GS285" s="75"/>
      <c r="GT285" s="75"/>
      <c r="GU285" s="75"/>
      <c r="GV285" s="81"/>
      <c r="GW285" s="74"/>
      <c r="GX285" s="75"/>
      <c r="GY285" s="75"/>
      <c r="GZ285" s="75"/>
      <c r="HA285" s="75"/>
      <c r="HB285" s="75"/>
      <c r="HC285" s="75"/>
      <c r="HD285" s="75"/>
      <c r="HE285" s="75"/>
      <c r="HF285" s="75"/>
      <c r="HG285" s="75"/>
      <c r="HH285" s="81"/>
      <c r="HI285" s="75"/>
    </row>
    <row r="286" ht="15.0" customHeight="1">
      <c r="A286" s="74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81"/>
      <c r="M286" s="74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81"/>
      <c r="Y286" s="74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81"/>
      <c r="AK286" s="74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81"/>
      <c r="AW286" s="74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81"/>
      <c r="BI286" s="74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81"/>
      <c r="BU286" s="74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81"/>
      <c r="CG286" s="74"/>
      <c r="CH286" s="75"/>
      <c r="CI286" s="75"/>
      <c r="CJ286" s="75"/>
      <c r="CK286" s="75"/>
      <c r="CL286" s="75"/>
      <c r="CM286" s="75"/>
      <c r="CN286" s="75"/>
      <c r="CO286" s="75"/>
      <c r="CP286" s="75"/>
      <c r="CQ286" s="75"/>
      <c r="CR286" s="81"/>
      <c r="CS286" s="74"/>
      <c r="CT286" s="75"/>
      <c r="CU286" s="75"/>
      <c r="CV286" s="75"/>
      <c r="CW286" s="75"/>
      <c r="CX286" s="75"/>
      <c r="CY286" s="75"/>
      <c r="CZ286" s="75"/>
      <c r="DA286" s="75"/>
      <c r="DB286" s="75"/>
      <c r="DC286" s="75"/>
      <c r="DD286" s="81"/>
      <c r="DE286" s="74"/>
      <c r="DF286" s="75"/>
      <c r="DG286" s="75"/>
      <c r="DH286" s="75"/>
      <c r="DI286" s="75"/>
      <c r="DJ286" s="75"/>
      <c r="DK286" s="75"/>
      <c r="DL286" s="75"/>
      <c r="DM286" s="75"/>
      <c r="DN286" s="75"/>
      <c r="DO286" s="75"/>
      <c r="DP286" s="81"/>
      <c r="DQ286" s="74"/>
      <c r="DR286" s="75"/>
      <c r="DS286" s="75"/>
      <c r="DT286" s="75"/>
      <c r="DU286" s="75"/>
      <c r="DV286" s="75"/>
      <c r="DW286" s="75"/>
      <c r="DX286" s="75"/>
      <c r="DY286" s="75"/>
      <c r="DZ286" s="75"/>
      <c r="EA286" s="75"/>
      <c r="EB286" s="81"/>
      <c r="EC286" s="74"/>
      <c r="ED286" s="75"/>
      <c r="EE286" s="75"/>
      <c r="EF286" s="75"/>
      <c r="EG286" s="75"/>
      <c r="EH286" s="75"/>
      <c r="EI286" s="75"/>
      <c r="EJ286" s="75"/>
      <c r="EK286" s="75"/>
      <c r="EL286" s="75"/>
      <c r="EM286" s="75"/>
      <c r="EN286" s="81"/>
      <c r="EO286" s="74"/>
      <c r="EP286" s="75"/>
      <c r="EQ286" s="75"/>
      <c r="ER286" s="75"/>
      <c r="ES286" s="75"/>
      <c r="ET286" s="75"/>
      <c r="EU286" s="75"/>
      <c r="EV286" s="75"/>
      <c r="EW286" s="75"/>
      <c r="EX286" s="75"/>
      <c r="EY286" s="75"/>
      <c r="EZ286" s="81"/>
      <c r="FA286" s="74"/>
      <c r="FB286" s="75"/>
      <c r="FC286" s="75"/>
      <c r="FD286" s="75"/>
      <c r="FE286" s="75"/>
      <c r="FF286" s="75"/>
      <c r="FG286" s="75"/>
      <c r="FH286" s="75"/>
      <c r="FI286" s="75"/>
      <c r="FJ286" s="75"/>
      <c r="FK286" s="75"/>
      <c r="FL286" s="81"/>
      <c r="FM286" s="74"/>
      <c r="FN286" s="75"/>
      <c r="FO286" s="75"/>
      <c r="FP286" s="75"/>
      <c r="FQ286" s="75"/>
      <c r="FR286" s="75"/>
      <c r="FS286" s="75"/>
      <c r="FT286" s="75"/>
      <c r="FU286" s="75"/>
      <c r="FV286" s="75"/>
      <c r="FW286" s="75"/>
      <c r="FX286" s="81"/>
      <c r="FY286" s="74"/>
      <c r="FZ286" s="75"/>
      <c r="GA286" s="75"/>
      <c r="GB286" s="75"/>
      <c r="GC286" s="75"/>
      <c r="GD286" s="75"/>
      <c r="GE286" s="75"/>
      <c r="GF286" s="75"/>
      <c r="GG286" s="75"/>
      <c r="GH286" s="75"/>
      <c r="GI286" s="75"/>
      <c r="GJ286" s="81"/>
      <c r="GK286" s="74"/>
      <c r="GL286" s="75"/>
      <c r="GM286" s="75"/>
      <c r="GN286" s="75"/>
      <c r="GO286" s="75"/>
      <c r="GP286" s="75"/>
      <c r="GQ286" s="75"/>
      <c r="GR286" s="75"/>
      <c r="GS286" s="75"/>
      <c r="GT286" s="75"/>
      <c r="GU286" s="75"/>
      <c r="GV286" s="81"/>
      <c r="GW286" s="74"/>
      <c r="GX286" s="75"/>
      <c r="GY286" s="75"/>
      <c r="GZ286" s="75"/>
      <c r="HA286" s="75"/>
      <c r="HB286" s="75"/>
      <c r="HC286" s="75"/>
      <c r="HD286" s="75"/>
      <c r="HE286" s="75"/>
      <c r="HF286" s="75"/>
      <c r="HG286" s="75"/>
      <c r="HH286" s="81"/>
      <c r="HI286" s="75"/>
    </row>
    <row r="287" ht="15.0" customHeight="1">
      <c r="A287" s="74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81"/>
      <c r="M287" s="74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81"/>
      <c r="Y287" s="74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81"/>
      <c r="AK287" s="74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81"/>
      <c r="AW287" s="74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81"/>
      <c r="BI287" s="74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81"/>
      <c r="BU287" s="74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81"/>
      <c r="CG287" s="74"/>
      <c r="CH287" s="75"/>
      <c r="CI287" s="75"/>
      <c r="CJ287" s="75"/>
      <c r="CK287" s="75"/>
      <c r="CL287" s="75"/>
      <c r="CM287" s="75"/>
      <c r="CN287" s="75"/>
      <c r="CO287" s="75"/>
      <c r="CP287" s="75"/>
      <c r="CQ287" s="75"/>
      <c r="CR287" s="81"/>
      <c r="CS287" s="74"/>
      <c r="CT287" s="75"/>
      <c r="CU287" s="75"/>
      <c r="CV287" s="75"/>
      <c r="CW287" s="75"/>
      <c r="CX287" s="75"/>
      <c r="CY287" s="75"/>
      <c r="CZ287" s="75"/>
      <c r="DA287" s="75"/>
      <c r="DB287" s="75"/>
      <c r="DC287" s="75"/>
      <c r="DD287" s="81"/>
      <c r="DE287" s="74"/>
      <c r="DF287" s="75"/>
      <c r="DG287" s="75"/>
      <c r="DH287" s="75"/>
      <c r="DI287" s="75"/>
      <c r="DJ287" s="75"/>
      <c r="DK287" s="75"/>
      <c r="DL287" s="75"/>
      <c r="DM287" s="75"/>
      <c r="DN287" s="75"/>
      <c r="DO287" s="75"/>
      <c r="DP287" s="81"/>
      <c r="DQ287" s="74"/>
      <c r="DR287" s="75"/>
      <c r="DS287" s="75"/>
      <c r="DT287" s="75"/>
      <c r="DU287" s="75"/>
      <c r="DV287" s="75"/>
      <c r="DW287" s="75"/>
      <c r="DX287" s="75"/>
      <c r="DY287" s="75"/>
      <c r="DZ287" s="75"/>
      <c r="EA287" s="75"/>
      <c r="EB287" s="81"/>
      <c r="EC287" s="74"/>
      <c r="ED287" s="75"/>
      <c r="EE287" s="75"/>
      <c r="EF287" s="75"/>
      <c r="EG287" s="75"/>
      <c r="EH287" s="75"/>
      <c r="EI287" s="75"/>
      <c r="EJ287" s="75"/>
      <c r="EK287" s="75"/>
      <c r="EL287" s="75"/>
      <c r="EM287" s="75"/>
      <c r="EN287" s="81"/>
      <c r="EO287" s="74"/>
      <c r="EP287" s="75"/>
      <c r="EQ287" s="75"/>
      <c r="ER287" s="75"/>
      <c r="ES287" s="75"/>
      <c r="ET287" s="75"/>
      <c r="EU287" s="75"/>
      <c r="EV287" s="75"/>
      <c r="EW287" s="75"/>
      <c r="EX287" s="75"/>
      <c r="EY287" s="75"/>
      <c r="EZ287" s="81"/>
      <c r="FA287" s="74"/>
      <c r="FB287" s="75"/>
      <c r="FC287" s="75"/>
      <c r="FD287" s="75"/>
      <c r="FE287" s="75"/>
      <c r="FF287" s="75"/>
      <c r="FG287" s="75"/>
      <c r="FH287" s="75"/>
      <c r="FI287" s="75"/>
      <c r="FJ287" s="75"/>
      <c r="FK287" s="75"/>
      <c r="FL287" s="81"/>
      <c r="FM287" s="74"/>
      <c r="FN287" s="75"/>
      <c r="FO287" s="75"/>
      <c r="FP287" s="75"/>
      <c r="FQ287" s="75"/>
      <c r="FR287" s="75"/>
      <c r="FS287" s="75"/>
      <c r="FT287" s="75"/>
      <c r="FU287" s="75"/>
      <c r="FV287" s="75"/>
      <c r="FW287" s="75"/>
      <c r="FX287" s="81"/>
      <c r="FY287" s="74"/>
      <c r="FZ287" s="75"/>
      <c r="GA287" s="75"/>
      <c r="GB287" s="75"/>
      <c r="GC287" s="75"/>
      <c r="GD287" s="75"/>
      <c r="GE287" s="75"/>
      <c r="GF287" s="75"/>
      <c r="GG287" s="75"/>
      <c r="GH287" s="75"/>
      <c r="GI287" s="75"/>
      <c r="GJ287" s="81"/>
      <c r="GK287" s="74"/>
      <c r="GL287" s="75"/>
      <c r="GM287" s="75"/>
      <c r="GN287" s="75"/>
      <c r="GO287" s="75"/>
      <c r="GP287" s="75"/>
      <c r="GQ287" s="75"/>
      <c r="GR287" s="75"/>
      <c r="GS287" s="75"/>
      <c r="GT287" s="75"/>
      <c r="GU287" s="75"/>
      <c r="GV287" s="81"/>
      <c r="GW287" s="74"/>
      <c r="GX287" s="75"/>
      <c r="GY287" s="75"/>
      <c r="GZ287" s="75"/>
      <c r="HA287" s="75"/>
      <c r="HB287" s="75"/>
      <c r="HC287" s="75"/>
      <c r="HD287" s="75"/>
      <c r="HE287" s="75"/>
      <c r="HF287" s="75"/>
      <c r="HG287" s="75"/>
      <c r="HH287" s="81"/>
      <c r="HI287" s="75"/>
    </row>
    <row r="288" ht="15.0" customHeight="1">
      <c r="A288" s="74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81"/>
      <c r="M288" s="74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81"/>
      <c r="Y288" s="74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81"/>
      <c r="AK288" s="74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81"/>
      <c r="AW288" s="74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81"/>
      <c r="BI288" s="74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81"/>
      <c r="BU288" s="74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81"/>
      <c r="CG288" s="74"/>
      <c r="CH288" s="75"/>
      <c r="CI288" s="75"/>
      <c r="CJ288" s="75"/>
      <c r="CK288" s="75"/>
      <c r="CL288" s="75"/>
      <c r="CM288" s="75"/>
      <c r="CN288" s="75"/>
      <c r="CO288" s="75"/>
      <c r="CP288" s="75"/>
      <c r="CQ288" s="75"/>
      <c r="CR288" s="81"/>
      <c r="CS288" s="74"/>
      <c r="CT288" s="75"/>
      <c r="CU288" s="75"/>
      <c r="CV288" s="75"/>
      <c r="CW288" s="75"/>
      <c r="CX288" s="75"/>
      <c r="CY288" s="75"/>
      <c r="CZ288" s="75"/>
      <c r="DA288" s="75"/>
      <c r="DB288" s="75"/>
      <c r="DC288" s="75"/>
      <c r="DD288" s="81"/>
      <c r="DE288" s="74"/>
      <c r="DF288" s="75"/>
      <c r="DG288" s="75"/>
      <c r="DH288" s="75"/>
      <c r="DI288" s="75"/>
      <c r="DJ288" s="75"/>
      <c r="DK288" s="75"/>
      <c r="DL288" s="75"/>
      <c r="DM288" s="75"/>
      <c r="DN288" s="75"/>
      <c r="DO288" s="75"/>
      <c r="DP288" s="81"/>
      <c r="DQ288" s="74"/>
      <c r="DR288" s="75"/>
      <c r="DS288" s="75"/>
      <c r="DT288" s="75"/>
      <c r="DU288" s="75"/>
      <c r="DV288" s="75"/>
      <c r="DW288" s="75"/>
      <c r="DX288" s="75"/>
      <c r="DY288" s="75"/>
      <c r="DZ288" s="75"/>
      <c r="EA288" s="75"/>
      <c r="EB288" s="81"/>
      <c r="EC288" s="74"/>
      <c r="ED288" s="75"/>
      <c r="EE288" s="75"/>
      <c r="EF288" s="75"/>
      <c r="EG288" s="75"/>
      <c r="EH288" s="75"/>
      <c r="EI288" s="75"/>
      <c r="EJ288" s="75"/>
      <c r="EK288" s="75"/>
      <c r="EL288" s="75"/>
      <c r="EM288" s="75"/>
      <c r="EN288" s="81"/>
      <c r="EO288" s="74"/>
      <c r="EP288" s="75"/>
      <c r="EQ288" s="75"/>
      <c r="ER288" s="75"/>
      <c r="ES288" s="75"/>
      <c r="ET288" s="75"/>
      <c r="EU288" s="75"/>
      <c r="EV288" s="75"/>
      <c r="EW288" s="75"/>
      <c r="EX288" s="75"/>
      <c r="EY288" s="75"/>
      <c r="EZ288" s="81"/>
      <c r="FA288" s="74"/>
      <c r="FB288" s="75"/>
      <c r="FC288" s="75"/>
      <c r="FD288" s="75"/>
      <c r="FE288" s="75"/>
      <c r="FF288" s="75"/>
      <c r="FG288" s="75"/>
      <c r="FH288" s="75"/>
      <c r="FI288" s="75"/>
      <c r="FJ288" s="75"/>
      <c r="FK288" s="75"/>
      <c r="FL288" s="81"/>
      <c r="FM288" s="74"/>
      <c r="FN288" s="75"/>
      <c r="FO288" s="75"/>
      <c r="FP288" s="75"/>
      <c r="FQ288" s="75"/>
      <c r="FR288" s="75"/>
      <c r="FS288" s="75"/>
      <c r="FT288" s="75"/>
      <c r="FU288" s="75"/>
      <c r="FV288" s="75"/>
      <c r="FW288" s="75"/>
      <c r="FX288" s="81"/>
      <c r="FY288" s="74"/>
      <c r="FZ288" s="75"/>
      <c r="GA288" s="75"/>
      <c r="GB288" s="75"/>
      <c r="GC288" s="75"/>
      <c r="GD288" s="75"/>
      <c r="GE288" s="75"/>
      <c r="GF288" s="75"/>
      <c r="GG288" s="75"/>
      <c r="GH288" s="75"/>
      <c r="GI288" s="75"/>
      <c r="GJ288" s="81"/>
      <c r="GK288" s="74"/>
      <c r="GL288" s="75"/>
      <c r="GM288" s="75"/>
      <c r="GN288" s="75"/>
      <c r="GO288" s="75"/>
      <c r="GP288" s="75"/>
      <c r="GQ288" s="75"/>
      <c r="GR288" s="75"/>
      <c r="GS288" s="75"/>
      <c r="GT288" s="75"/>
      <c r="GU288" s="75"/>
      <c r="GV288" s="81"/>
      <c r="GW288" s="74"/>
      <c r="GX288" s="75"/>
      <c r="GY288" s="75"/>
      <c r="GZ288" s="75"/>
      <c r="HA288" s="75"/>
      <c r="HB288" s="75"/>
      <c r="HC288" s="75"/>
      <c r="HD288" s="75"/>
      <c r="HE288" s="75"/>
      <c r="HF288" s="75"/>
      <c r="HG288" s="75"/>
      <c r="HH288" s="81"/>
      <c r="HI288" s="75"/>
    </row>
    <row r="289" ht="15.0" customHeight="1">
      <c r="A289" s="74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81"/>
      <c r="M289" s="74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81"/>
      <c r="Y289" s="74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81"/>
      <c r="AK289" s="74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81"/>
      <c r="AW289" s="74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81"/>
      <c r="BI289" s="74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81"/>
      <c r="BU289" s="74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81"/>
      <c r="CG289" s="74"/>
      <c r="CH289" s="75"/>
      <c r="CI289" s="75"/>
      <c r="CJ289" s="75"/>
      <c r="CK289" s="75"/>
      <c r="CL289" s="75"/>
      <c r="CM289" s="75"/>
      <c r="CN289" s="75"/>
      <c r="CO289" s="75"/>
      <c r="CP289" s="75"/>
      <c r="CQ289" s="75"/>
      <c r="CR289" s="81"/>
      <c r="CS289" s="74"/>
      <c r="CT289" s="75"/>
      <c r="CU289" s="75"/>
      <c r="CV289" s="75"/>
      <c r="CW289" s="75"/>
      <c r="CX289" s="75"/>
      <c r="CY289" s="75"/>
      <c r="CZ289" s="75"/>
      <c r="DA289" s="75"/>
      <c r="DB289" s="75"/>
      <c r="DC289" s="75"/>
      <c r="DD289" s="81"/>
      <c r="DE289" s="74"/>
      <c r="DF289" s="75"/>
      <c r="DG289" s="75"/>
      <c r="DH289" s="75"/>
      <c r="DI289" s="75"/>
      <c r="DJ289" s="75"/>
      <c r="DK289" s="75"/>
      <c r="DL289" s="75"/>
      <c r="DM289" s="75"/>
      <c r="DN289" s="75"/>
      <c r="DO289" s="75"/>
      <c r="DP289" s="81"/>
      <c r="DQ289" s="74"/>
      <c r="DR289" s="75"/>
      <c r="DS289" s="75"/>
      <c r="DT289" s="75"/>
      <c r="DU289" s="75"/>
      <c r="DV289" s="75"/>
      <c r="DW289" s="75"/>
      <c r="DX289" s="75"/>
      <c r="DY289" s="75"/>
      <c r="DZ289" s="75"/>
      <c r="EA289" s="75"/>
      <c r="EB289" s="81"/>
      <c r="EC289" s="74"/>
      <c r="ED289" s="75"/>
      <c r="EE289" s="75"/>
      <c r="EF289" s="75"/>
      <c r="EG289" s="75"/>
      <c r="EH289" s="75"/>
      <c r="EI289" s="75"/>
      <c r="EJ289" s="75"/>
      <c r="EK289" s="75"/>
      <c r="EL289" s="75"/>
      <c r="EM289" s="75"/>
      <c r="EN289" s="81"/>
      <c r="EO289" s="74"/>
      <c r="EP289" s="75"/>
      <c r="EQ289" s="75"/>
      <c r="ER289" s="75"/>
      <c r="ES289" s="75"/>
      <c r="ET289" s="75"/>
      <c r="EU289" s="75"/>
      <c r="EV289" s="75"/>
      <c r="EW289" s="75"/>
      <c r="EX289" s="75"/>
      <c r="EY289" s="75"/>
      <c r="EZ289" s="81"/>
      <c r="FA289" s="74"/>
      <c r="FB289" s="75"/>
      <c r="FC289" s="75"/>
      <c r="FD289" s="75"/>
      <c r="FE289" s="75"/>
      <c r="FF289" s="75"/>
      <c r="FG289" s="75"/>
      <c r="FH289" s="75"/>
      <c r="FI289" s="75"/>
      <c r="FJ289" s="75"/>
      <c r="FK289" s="75"/>
      <c r="FL289" s="81"/>
      <c r="FM289" s="74"/>
      <c r="FN289" s="75"/>
      <c r="FO289" s="75"/>
      <c r="FP289" s="75"/>
      <c r="FQ289" s="75"/>
      <c r="FR289" s="75"/>
      <c r="FS289" s="75"/>
      <c r="FT289" s="75"/>
      <c r="FU289" s="75"/>
      <c r="FV289" s="75"/>
      <c r="FW289" s="75"/>
      <c r="FX289" s="81"/>
      <c r="FY289" s="74"/>
      <c r="FZ289" s="75"/>
      <c r="GA289" s="75"/>
      <c r="GB289" s="75"/>
      <c r="GC289" s="75"/>
      <c r="GD289" s="75"/>
      <c r="GE289" s="75"/>
      <c r="GF289" s="75"/>
      <c r="GG289" s="75"/>
      <c r="GH289" s="75"/>
      <c r="GI289" s="75"/>
      <c r="GJ289" s="81"/>
      <c r="GK289" s="74"/>
      <c r="GL289" s="75"/>
      <c r="GM289" s="75"/>
      <c r="GN289" s="75"/>
      <c r="GO289" s="75"/>
      <c r="GP289" s="75"/>
      <c r="GQ289" s="75"/>
      <c r="GR289" s="75"/>
      <c r="GS289" s="75"/>
      <c r="GT289" s="75"/>
      <c r="GU289" s="75"/>
      <c r="GV289" s="81"/>
      <c r="GW289" s="74"/>
      <c r="GX289" s="75"/>
      <c r="GY289" s="75"/>
      <c r="GZ289" s="75"/>
      <c r="HA289" s="75"/>
      <c r="HB289" s="75"/>
      <c r="HC289" s="75"/>
      <c r="HD289" s="75"/>
      <c r="HE289" s="75"/>
      <c r="HF289" s="75"/>
      <c r="HG289" s="75"/>
      <c r="HH289" s="81"/>
      <c r="HI289" s="75"/>
    </row>
    <row r="290" ht="15.0" customHeight="1">
      <c r="A290" s="74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81"/>
      <c r="M290" s="74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81"/>
      <c r="Y290" s="74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81"/>
      <c r="AK290" s="74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81"/>
      <c r="AW290" s="74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81"/>
      <c r="BI290" s="74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81"/>
      <c r="BU290" s="74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81"/>
      <c r="CG290" s="74"/>
      <c r="CH290" s="75"/>
      <c r="CI290" s="75"/>
      <c r="CJ290" s="75"/>
      <c r="CK290" s="75"/>
      <c r="CL290" s="75"/>
      <c r="CM290" s="75"/>
      <c r="CN290" s="75"/>
      <c r="CO290" s="75"/>
      <c r="CP290" s="75"/>
      <c r="CQ290" s="75"/>
      <c r="CR290" s="81"/>
      <c r="CS290" s="74"/>
      <c r="CT290" s="75"/>
      <c r="CU290" s="75"/>
      <c r="CV290" s="75"/>
      <c r="CW290" s="75"/>
      <c r="CX290" s="75"/>
      <c r="CY290" s="75"/>
      <c r="CZ290" s="75"/>
      <c r="DA290" s="75"/>
      <c r="DB290" s="75"/>
      <c r="DC290" s="75"/>
      <c r="DD290" s="81"/>
      <c r="DE290" s="74"/>
      <c r="DF290" s="75"/>
      <c r="DG290" s="75"/>
      <c r="DH290" s="75"/>
      <c r="DI290" s="75"/>
      <c r="DJ290" s="75"/>
      <c r="DK290" s="75"/>
      <c r="DL290" s="75"/>
      <c r="DM290" s="75"/>
      <c r="DN290" s="75"/>
      <c r="DO290" s="75"/>
      <c r="DP290" s="81"/>
      <c r="DQ290" s="74"/>
      <c r="DR290" s="75"/>
      <c r="DS290" s="75"/>
      <c r="DT290" s="75"/>
      <c r="DU290" s="75"/>
      <c r="DV290" s="75"/>
      <c r="DW290" s="75"/>
      <c r="DX290" s="75"/>
      <c r="DY290" s="75"/>
      <c r="DZ290" s="75"/>
      <c r="EA290" s="75"/>
      <c r="EB290" s="81"/>
      <c r="EC290" s="74"/>
      <c r="ED290" s="75"/>
      <c r="EE290" s="75"/>
      <c r="EF290" s="75"/>
      <c r="EG290" s="75"/>
      <c r="EH290" s="75"/>
      <c r="EI290" s="75"/>
      <c r="EJ290" s="75"/>
      <c r="EK290" s="75"/>
      <c r="EL290" s="75"/>
      <c r="EM290" s="75"/>
      <c r="EN290" s="81"/>
      <c r="EO290" s="74"/>
      <c r="EP290" s="75"/>
      <c r="EQ290" s="75"/>
      <c r="ER290" s="75"/>
      <c r="ES290" s="75"/>
      <c r="ET290" s="75"/>
      <c r="EU290" s="75"/>
      <c r="EV290" s="75"/>
      <c r="EW290" s="75"/>
      <c r="EX290" s="75"/>
      <c r="EY290" s="75"/>
      <c r="EZ290" s="81"/>
      <c r="FA290" s="74"/>
      <c r="FB290" s="75"/>
      <c r="FC290" s="75"/>
      <c r="FD290" s="75"/>
      <c r="FE290" s="75"/>
      <c r="FF290" s="75"/>
      <c r="FG290" s="75"/>
      <c r="FH290" s="75"/>
      <c r="FI290" s="75"/>
      <c r="FJ290" s="75"/>
      <c r="FK290" s="75"/>
      <c r="FL290" s="81"/>
      <c r="FM290" s="74"/>
      <c r="FN290" s="75"/>
      <c r="FO290" s="75"/>
      <c r="FP290" s="75"/>
      <c r="FQ290" s="75"/>
      <c r="FR290" s="75"/>
      <c r="FS290" s="75"/>
      <c r="FT290" s="75"/>
      <c r="FU290" s="75"/>
      <c r="FV290" s="75"/>
      <c r="FW290" s="75"/>
      <c r="FX290" s="81"/>
      <c r="FY290" s="74"/>
      <c r="FZ290" s="75"/>
      <c r="GA290" s="75"/>
      <c r="GB290" s="75"/>
      <c r="GC290" s="75"/>
      <c r="GD290" s="75"/>
      <c r="GE290" s="75"/>
      <c r="GF290" s="75"/>
      <c r="GG290" s="75"/>
      <c r="GH290" s="75"/>
      <c r="GI290" s="75"/>
      <c r="GJ290" s="81"/>
      <c r="GK290" s="74"/>
      <c r="GL290" s="75"/>
      <c r="GM290" s="75"/>
      <c r="GN290" s="75"/>
      <c r="GO290" s="75"/>
      <c r="GP290" s="75"/>
      <c r="GQ290" s="75"/>
      <c r="GR290" s="75"/>
      <c r="GS290" s="75"/>
      <c r="GT290" s="75"/>
      <c r="GU290" s="75"/>
      <c r="GV290" s="81"/>
      <c r="GW290" s="74"/>
      <c r="GX290" s="75"/>
      <c r="GY290" s="75"/>
      <c r="GZ290" s="75"/>
      <c r="HA290" s="75"/>
      <c r="HB290" s="75"/>
      <c r="HC290" s="75"/>
      <c r="HD290" s="75"/>
      <c r="HE290" s="75"/>
      <c r="HF290" s="75"/>
      <c r="HG290" s="75"/>
      <c r="HH290" s="81"/>
      <c r="HI290" s="75"/>
    </row>
    <row r="291" ht="15.0" customHeight="1">
      <c r="A291" s="74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81"/>
      <c r="M291" s="74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81"/>
      <c r="Y291" s="74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81"/>
      <c r="AK291" s="74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81"/>
      <c r="AW291" s="74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81"/>
      <c r="BI291" s="74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81"/>
      <c r="BU291" s="74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81"/>
      <c r="CG291" s="74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81"/>
      <c r="CS291" s="74"/>
      <c r="CT291" s="75"/>
      <c r="CU291" s="75"/>
      <c r="CV291" s="75"/>
      <c r="CW291" s="75"/>
      <c r="CX291" s="75"/>
      <c r="CY291" s="75"/>
      <c r="CZ291" s="75"/>
      <c r="DA291" s="75"/>
      <c r="DB291" s="75"/>
      <c r="DC291" s="75"/>
      <c r="DD291" s="81"/>
      <c r="DE291" s="74"/>
      <c r="DF291" s="75"/>
      <c r="DG291" s="75"/>
      <c r="DH291" s="75"/>
      <c r="DI291" s="75"/>
      <c r="DJ291" s="75"/>
      <c r="DK291" s="75"/>
      <c r="DL291" s="75"/>
      <c r="DM291" s="75"/>
      <c r="DN291" s="75"/>
      <c r="DO291" s="75"/>
      <c r="DP291" s="81"/>
      <c r="DQ291" s="74"/>
      <c r="DR291" s="75"/>
      <c r="DS291" s="75"/>
      <c r="DT291" s="75"/>
      <c r="DU291" s="75"/>
      <c r="DV291" s="75"/>
      <c r="DW291" s="75"/>
      <c r="DX291" s="75"/>
      <c r="DY291" s="75"/>
      <c r="DZ291" s="75"/>
      <c r="EA291" s="75"/>
      <c r="EB291" s="81"/>
      <c r="EC291" s="74"/>
      <c r="ED291" s="75"/>
      <c r="EE291" s="75"/>
      <c r="EF291" s="75"/>
      <c r="EG291" s="75"/>
      <c r="EH291" s="75"/>
      <c r="EI291" s="75"/>
      <c r="EJ291" s="75"/>
      <c r="EK291" s="75"/>
      <c r="EL291" s="75"/>
      <c r="EM291" s="75"/>
      <c r="EN291" s="81"/>
      <c r="EO291" s="74"/>
      <c r="EP291" s="75"/>
      <c r="EQ291" s="75"/>
      <c r="ER291" s="75"/>
      <c r="ES291" s="75"/>
      <c r="ET291" s="75"/>
      <c r="EU291" s="75"/>
      <c r="EV291" s="75"/>
      <c r="EW291" s="75"/>
      <c r="EX291" s="75"/>
      <c r="EY291" s="75"/>
      <c r="EZ291" s="81"/>
      <c r="FA291" s="74"/>
      <c r="FB291" s="75"/>
      <c r="FC291" s="75"/>
      <c r="FD291" s="75"/>
      <c r="FE291" s="75"/>
      <c r="FF291" s="75"/>
      <c r="FG291" s="75"/>
      <c r="FH291" s="75"/>
      <c r="FI291" s="75"/>
      <c r="FJ291" s="75"/>
      <c r="FK291" s="75"/>
      <c r="FL291" s="81"/>
      <c r="FM291" s="74"/>
      <c r="FN291" s="75"/>
      <c r="FO291" s="75"/>
      <c r="FP291" s="75"/>
      <c r="FQ291" s="75"/>
      <c r="FR291" s="75"/>
      <c r="FS291" s="75"/>
      <c r="FT291" s="75"/>
      <c r="FU291" s="75"/>
      <c r="FV291" s="75"/>
      <c r="FW291" s="75"/>
      <c r="FX291" s="81"/>
      <c r="FY291" s="74"/>
      <c r="FZ291" s="75"/>
      <c r="GA291" s="75"/>
      <c r="GB291" s="75"/>
      <c r="GC291" s="75"/>
      <c r="GD291" s="75"/>
      <c r="GE291" s="75"/>
      <c r="GF291" s="75"/>
      <c r="GG291" s="75"/>
      <c r="GH291" s="75"/>
      <c r="GI291" s="75"/>
      <c r="GJ291" s="81"/>
      <c r="GK291" s="74"/>
      <c r="GL291" s="75"/>
      <c r="GM291" s="75"/>
      <c r="GN291" s="75"/>
      <c r="GO291" s="75"/>
      <c r="GP291" s="75"/>
      <c r="GQ291" s="75"/>
      <c r="GR291" s="75"/>
      <c r="GS291" s="75"/>
      <c r="GT291" s="75"/>
      <c r="GU291" s="75"/>
      <c r="GV291" s="81"/>
      <c r="GW291" s="74"/>
      <c r="GX291" s="75"/>
      <c r="GY291" s="75"/>
      <c r="GZ291" s="75"/>
      <c r="HA291" s="75"/>
      <c r="HB291" s="75"/>
      <c r="HC291" s="75"/>
      <c r="HD291" s="75"/>
      <c r="HE291" s="75"/>
      <c r="HF291" s="75"/>
      <c r="HG291" s="75"/>
      <c r="HH291" s="81"/>
      <c r="HI291" s="75"/>
    </row>
    <row r="292" ht="15.0" customHeight="1">
      <c r="A292" s="74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81"/>
      <c r="M292" s="74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81"/>
      <c r="Y292" s="74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81"/>
      <c r="AK292" s="74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81"/>
      <c r="AW292" s="74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81"/>
      <c r="BI292" s="74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81"/>
      <c r="BU292" s="74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81"/>
      <c r="CG292" s="74"/>
      <c r="CH292" s="75"/>
      <c r="CI292" s="75"/>
      <c r="CJ292" s="75"/>
      <c r="CK292" s="75"/>
      <c r="CL292" s="75"/>
      <c r="CM292" s="75"/>
      <c r="CN292" s="75"/>
      <c r="CO292" s="75"/>
      <c r="CP292" s="75"/>
      <c r="CQ292" s="75"/>
      <c r="CR292" s="81"/>
      <c r="CS292" s="74"/>
      <c r="CT292" s="75"/>
      <c r="CU292" s="75"/>
      <c r="CV292" s="75"/>
      <c r="CW292" s="75"/>
      <c r="CX292" s="75"/>
      <c r="CY292" s="75"/>
      <c r="CZ292" s="75"/>
      <c r="DA292" s="75"/>
      <c r="DB292" s="75"/>
      <c r="DC292" s="75"/>
      <c r="DD292" s="81"/>
      <c r="DE292" s="74"/>
      <c r="DF292" s="75"/>
      <c r="DG292" s="75"/>
      <c r="DH292" s="75"/>
      <c r="DI292" s="75"/>
      <c r="DJ292" s="75"/>
      <c r="DK292" s="75"/>
      <c r="DL292" s="75"/>
      <c r="DM292" s="75"/>
      <c r="DN292" s="75"/>
      <c r="DO292" s="75"/>
      <c r="DP292" s="81"/>
      <c r="DQ292" s="74"/>
      <c r="DR292" s="75"/>
      <c r="DS292" s="75"/>
      <c r="DT292" s="75"/>
      <c r="DU292" s="75"/>
      <c r="DV292" s="75"/>
      <c r="DW292" s="75"/>
      <c r="DX292" s="75"/>
      <c r="DY292" s="75"/>
      <c r="DZ292" s="75"/>
      <c r="EA292" s="75"/>
      <c r="EB292" s="81"/>
      <c r="EC292" s="74"/>
      <c r="ED292" s="75"/>
      <c r="EE292" s="75"/>
      <c r="EF292" s="75"/>
      <c r="EG292" s="75"/>
      <c r="EH292" s="75"/>
      <c r="EI292" s="75"/>
      <c r="EJ292" s="75"/>
      <c r="EK292" s="75"/>
      <c r="EL292" s="75"/>
      <c r="EM292" s="75"/>
      <c r="EN292" s="81"/>
      <c r="EO292" s="74"/>
      <c r="EP292" s="75"/>
      <c r="EQ292" s="75"/>
      <c r="ER292" s="75"/>
      <c r="ES292" s="75"/>
      <c r="ET292" s="75"/>
      <c r="EU292" s="75"/>
      <c r="EV292" s="75"/>
      <c r="EW292" s="75"/>
      <c r="EX292" s="75"/>
      <c r="EY292" s="75"/>
      <c r="EZ292" s="81"/>
      <c r="FA292" s="74"/>
      <c r="FB292" s="75"/>
      <c r="FC292" s="75"/>
      <c r="FD292" s="75"/>
      <c r="FE292" s="75"/>
      <c r="FF292" s="75"/>
      <c r="FG292" s="75"/>
      <c r="FH292" s="75"/>
      <c r="FI292" s="75"/>
      <c r="FJ292" s="75"/>
      <c r="FK292" s="75"/>
      <c r="FL292" s="81"/>
      <c r="FM292" s="74"/>
      <c r="FN292" s="75"/>
      <c r="FO292" s="75"/>
      <c r="FP292" s="75"/>
      <c r="FQ292" s="75"/>
      <c r="FR292" s="75"/>
      <c r="FS292" s="75"/>
      <c r="FT292" s="75"/>
      <c r="FU292" s="75"/>
      <c r="FV292" s="75"/>
      <c r="FW292" s="75"/>
      <c r="FX292" s="81"/>
      <c r="FY292" s="74"/>
      <c r="FZ292" s="75"/>
      <c r="GA292" s="75"/>
      <c r="GB292" s="75"/>
      <c r="GC292" s="75"/>
      <c r="GD292" s="75"/>
      <c r="GE292" s="75"/>
      <c r="GF292" s="75"/>
      <c r="GG292" s="75"/>
      <c r="GH292" s="75"/>
      <c r="GI292" s="75"/>
      <c r="GJ292" s="81"/>
      <c r="GK292" s="74"/>
      <c r="GL292" s="75"/>
      <c r="GM292" s="75"/>
      <c r="GN292" s="75"/>
      <c r="GO292" s="75"/>
      <c r="GP292" s="75"/>
      <c r="GQ292" s="75"/>
      <c r="GR292" s="75"/>
      <c r="GS292" s="75"/>
      <c r="GT292" s="75"/>
      <c r="GU292" s="75"/>
      <c r="GV292" s="81"/>
      <c r="GW292" s="74"/>
      <c r="GX292" s="75"/>
      <c r="GY292" s="75"/>
      <c r="GZ292" s="75"/>
      <c r="HA292" s="75"/>
      <c r="HB292" s="75"/>
      <c r="HC292" s="75"/>
      <c r="HD292" s="75"/>
      <c r="HE292" s="75"/>
      <c r="HF292" s="75"/>
      <c r="HG292" s="75"/>
      <c r="HH292" s="81"/>
      <c r="HI292" s="75"/>
    </row>
    <row r="293" ht="15.0" customHeight="1">
      <c r="A293" s="74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81"/>
      <c r="M293" s="74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81"/>
      <c r="Y293" s="74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81"/>
      <c r="AK293" s="74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81"/>
      <c r="AW293" s="74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81"/>
      <c r="BI293" s="74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81"/>
      <c r="BU293" s="74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81"/>
      <c r="CG293" s="74"/>
      <c r="CH293" s="75"/>
      <c r="CI293" s="75"/>
      <c r="CJ293" s="75"/>
      <c r="CK293" s="75"/>
      <c r="CL293" s="75"/>
      <c r="CM293" s="75"/>
      <c r="CN293" s="75"/>
      <c r="CO293" s="75"/>
      <c r="CP293" s="75"/>
      <c r="CQ293" s="75"/>
      <c r="CR293" s="81"/>
      <c r="CS293" s="74"/>
      <c r="CT293" s="75"/>
      <c r="CU293" s="75"/>
      <c r="CV293" s="75"/>
      <c r="CW293" s="75"/>
      <c r="CX293" s="75"/>
      <c r="CY293" s="75"/>
      <c r="CZ293" s="75"/>
      <c r="DA293" s="75"/>
      <c r="DB293" s="75"/>
      <c r="DC293" s="75"/>
      <c r="DD293" s="81"/>
      <c r="DE293" s="74"/>
      <c r="DF293" s="75"/>
      <c r="DG293" s="75"/>
      <c r="DH293" s="75"/>
      <c r="DI293" s="75"/>
      <c r="DJ293" s="75"/>
      <c r="DK293" s="75"/>
      <c r="DL293" s="75"/>
      <c r="DM293" s="75"/>
      <c r="DN293" s="75"/>
      <c r="DO293" s="75"/>
      <c r="DP293" s="81"/>
      <c r="DQ293" s="74"/>
      <c r="DR293" s="75"/>
      <c r="DS293" s="75"/>
      <c r="DT293" s="75"/>
      <c r="DU293" s="75"/>
      <c r="DV293" s="75"/>
      <c r="DW293" s="75"/>
      <c r="DX293" s="75"/>
      <c r="DY293" s="75"/>
      <c r="DZ293" s="75"/>
      <c r="EA293" s="75"/>
      <c r="EB293" s="81"/>
      <c r="EC293" s="74"/>
      <c r="ED293" s="75"/>
      <c r="EE293" s="75"/>
      <c r="EF293" s="75"/>
      <c r="EG293" s="75"/>
      <c r="EH293" s="75"/>
      <c r="EI293" s="75"/>
      <c r="EJ293" s="75"/>
      <c r="EK293" s="75"/>
      <c r="EL293" s="75"/>
      <c r="EM293" s="75"/>
      <c r="EN293" s="81"/>
      <c r="EO293" s="74"/>
      <c r="EP293" s="75"/>
      <c r="EQ293" s="75"/>
      <c r="ER293" s="75"/>
      <c r="ES293" s="75"/>
      <c r="ET293" s="75"/>
      <c r="EU293" s="75"/>
      <c r="EV293" s="75"/>
      <c r="EW293" s="75"/>
      <c r="EX293" s="75"/>
      <c r="EY293" s="75"/>
      <c r="EZ293" s="81"/>
      <c r="FA293" s="74"/>
      <c r="FB293" s="75"/>
      <c r="FC293" s="75"/>
      <c r="FD293" s="75"/>
      <c r="FE293" s="75"/>
      <c r="FF293" s="75"/>
      <c r="FG293" s="75"/>
      <c r="FH293" s="75"/>
      <c r="FI293" s="75"/>
      <c r="FJ293" s="75"/>
      <c r="FK293" s="75"/>
      <c r="FL293" s="81"/>
      <c r="FM293" s="74"/>
      <c r="FN293" s="75"/>
      <c r="FO293" s="75"/>
      <c r="FP293" s="75"/>
      <c r="FQ293" s="75"/>
      <c r="FR293" s="75"/>
      <c r="FS293" s="75"/>
      <c r="FT293" s="75"/>
      <c r="FU293" s="75"/>
      <c r="FV293" s="75"/>
      <c r="FW293" s="75"/>
      <c r="FX293" s="81"/>
      <c r="FY293" s="74"/>
      <c r="FZ293" s="75"/>
      <c r="GA293" s="75"/>
      <c r="GB293" s="75"/>
      <c r="GC293" s="75"/>
      <c r="GD293" s="75"/>
      <c r="GE293" s="75"/>
      <c r="GF293" s="75"/>
      <c r="GG293" s="75"/>
      <c r="GH293" s="75"/>
      <c r="GI293" s="75"/>
      <c r="GJ293" s="81"/>
      <c r="GK293" s="74"/>
      <c r="GL293" s="75"/>
      <c r="GM293" s="75"/>
      <c r="GN293" s="75"/>
      <c r="GO293" s="75"/>
      <c r="GP293" s="75"/>
      <c r="GQ293" s="75"/>
      <c r="GR293" s="75"/>
      <c r="GS293" s="75"/>
      <c r="GT293" s="75"/>
      <c r="GU293" s="75"/>
      <c r="GV293" s="81"/>
      <c r="GW293" s="74"/>
      <c r="GX293" s="75"/>
      <c r="GY293" s="75"/>
      <c r="GZ293" s="75"/>
      <c r="HA293" s="75"/>
      <c r="HB293" s="75"/>
      <c r="HC293" s="75"/>
      <c r="HD293" s="75"/>
      <c r="HE293" s="75"/>
      <c r="HF293" s="75"/>
      <c r="HG293" s="75"/>
      <c r="HH293" s="81"/>
      <c r="HI293" s="75"/>
    </row>
    <row r="294" ht="15.0" customHeight="1">
      <c r="A294" s="74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81"/>
      <c r="M294" s="74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81"/>
      <c r="Y294" s="74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81"/>
      <c r="AK294" s="74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81"/>
      <c r="AW294" s="74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81"/>
      <c r="BI294" s="74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81"/>
      <c r="BU294" s="74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81"/>
      <c r="CG294" s="74"/>
      <c r="CH294" s="75"/>
      <c r="CI294" s="75"/>
      <c r="CJ294" s="75"/>
      <c r="CK294" s="75"/>
      <c r="CL294" s="75"/>
      <c r="CM294" s="75"/>
      <c r="CN294" s="75"/>
      <c r="CO294" s="75"/>
      <c r="CP294" s="75"/>
      <c r="CQ294" s="75"/>
      <c r="CR294" s="81"/>
      <c r="CS294" s="74"/>
      <c r="CT294" s="75"/>
      <c r="CU294" s="75"/>
      <c r="CV294" s="75"/>
      <c r="CW294" s="75"/>
      <c r="CX294" s="75"/>
      <c r="CY294" s="75"/>
      <c r="CZ294" s="75"/>
      <c r="DA294" s="75"/>
      <c r="DB294" s="75"/>
      <c r="DC294" s="75"/>
      <c r="DD294" s="81"/>
      <c r="DE294" s="74"/>
      <c r="DF294" s="75"/>
      <c r="DG294" s="75"/>
      <c r="DH294" s="75"/>
      <c r="DI294" s="75"/>
      <c r="DJ294" s="75"/>
      <c r="DK294" s="75"/>
      <c r="DL294" s="75"/>
      <c r="DM294" s="75"/>
      <c r="DN294" s="75"/>
      <c r="DO294" s="75"/>
      <c r="DP294" s="81"/>
      <c r="DQ294" s="74"/>
      <c r="DR294" s="75"/>
      <c r="DS294" s="75"/>
      <c r="DT294" s="75"/>
      <c r="DU294" s="75"/>
      <c r="DV294" s="75"/>
      <c r="DW294" s="75"/>
      <c r="DX294" s="75"/>
      <c r="DY294" s="75"/>
      <c r="DZ294" s="75"/>
      <c r="EA294" s="75"/>
      <c r="EB294" s="81"/>
      <c r="EC294" s="74"/>
      <c r="ED294" s="75"/>
      <c r="EE294" s="75"/>
      <c r="EF294" s="75"/>
      <c r="EG294" s="75"/>
      <c r="EH294" s="75"/>
      <c r="EI294" s="75"/>
      <c r="EJ294" s="75"/>
      <c r="EK294" s="75"/>
      <c r="EL294" s="75"/>
      <c r="EM294" s="75"/>
      <c r="EN294" s="81"/>
      <c r="EO294" s="74"/>
      <c r="EP294" s="75"/>
      <c r="EQ294" s="75"/>
      <c r="ER294" s="75"/>
      <c r="ES294" s="75"/>
      <c r="ET294" s="75"/>
      <c r="EU294" s="75"/>
      <c r="EV294" s="75"/>
      <c r="EW294" s="75"/>
      <c r="EX294" s="75"/>
      <c r="EY294" s="75"/>
      <c r="EZ294" s="81"/>
      <c r="FA294" s="74"/>
      <c r="FB294" s="75"/>
      <c r="FC294" s="75"/>
      <c r="FD294" s="75"/>
      <c r="FE294" s="75"/>
      <c r="FF294" s="75"/>
      <c r="FG294" s="75"/>
      <c r="FH294" s="75"/>
      <c r="FI294" s="75"/>
      <c r="FJ294" s="75"/>
      <c r="FK294" s="75"/>
      <c r="FL294" s="81"/>
      <c r="FM294" s="74"/>
      <c r="FN294" s="75"/>
      <c r="FO294" s="75"/>
      <c r="FP294" s="75"/>
      <c r="FQ294" s="75"/>
      <c r="FR294" s="75"/>
      <c r="FS294" s="75"/>
      <c r="FT294" s="75"/>
      <c r="FU294" s="75"/>
      <c r="FV294" s="75"/>
      <c r="FW294" s="75"/>
      <c r="FX294" s="81"/>
      <c r="FY294" s="74"/>
      <c r="FZ294" s="75"/>
      <c r="GA294" s="75"/>
      <c r="GB294" s="75"/>
      <c r="GC294" s="75"/>
      <c r="GD294" s="75"/>
      <c r="GE294" s="75"/>
      <c r="GF294" s="75"/>
      <c r="GG294" s="75"/>
      <c r="GH294" s="75"/>
      <c r="GI294" s="75"/>
      <c r="GJ294" s="81"/>
      <c r="GK294" s="74"/>
      <c r="GL294" s="75"/>
      <c r="GM294" s="75"/>
      <c r="GN294" s="75"/>
      <c r="GO294" s="75"/>
      <c r="GP294" s="75"/>
      <c r="GQ294" s="75"/>
      <c r="GR294" s="75"/>
      <c r="GS294" s="75"/>
      <c r="GT294" s="75"/>
      <c r="GU294" s="75"/>
      <c r="GV294" s="81"/>
      <c r="GW294" s="74"/>
      <c r="GX294" s="75"/>
      <c r="GY294" s="75"/>
      <c r="GZ294" s="75"/>
      <c r="HA294" s="75"/>
      <c r="HB294" s="75"/>
      <c r="HC294" s="75"/>
      <c r="HD294" s="75"/>
      <c r="HE294" s="75"/>
      <c r="HF294" s="75"/>
      <c r="HG294" s="75"/>
      <c r="HH294" s="81"/>
      <c r="HI294" s="75"/>
    </row>
    <row r="295" ht="15.0" customHeight="1">
      <c r="A295" s="74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81"/>
      <c r="M295" s="74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81"/>
      <c r="Y295" s="74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81"/>
      <c r="AK295" s="74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81"/>
      <c r="AW295" s="74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81"/>
      <c r="BI295" s="74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81"/>
      <c r="BU295" s="74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81"/>
      <c r="CG295" s="74"/>
      <c r="CH295" s="75"/>
      <c r="CI295" s="75"/>
      <c r="CJ295" s="75"/>
      <c r="CK295" s="75"/>
      <c r="CL295" s="75"/>
      <c r="CM295" s="75"/>
      <c r="CN295" s="75"/>
      <c r="CO295" s="75"/>
      <c r="CP295" s="75"/>
      <c r="CQ295" s="75"/>
      <c r="CR295" s="81"/>
      <c r="CS295" s="74"/>
      <c r="CT295" s="75"/>
      <c r="CU295" s="75"/>
      <c r="CV295" s="75"/>
      <c r="CW295" s="75"/>
      <c r="CX295" s="75"/>
      <c r="CY295" s="75"/>
      <c r="CZ295" s="75"/>
      <c r="DA295" s="75"/>
      <c r="DB295" s="75"/>
      <c r="DC295" s="75"/>
      <c r="DD295" s="81"/>
      <c r="DE295" s="74"/>
      <c r="DF295" s="75"/>
      <c r="DG295" s="75"/>
      <c r="DH295" s="75"/>
      <c r="DI295" s="75"/>
      <c r="DJ295" s="75"/>
      <c r="DK295" s="75"/>
      <c r="DL295" s="75"/>
      <c r="DM295" s="75"/>
      <c r="DN295" s="75"/>
      <c r="DO295" s="75"/>
      <c r="DP295" s="81"/>
      <c r="DQ295" s="74"/>
      <c r="DR295" s="75"/>
      <c r="DS295" s="75"/>
      <c r="DT295" s="75"/>
      <c r="DU295" s="75"/>
      <c r="DV295" s="75"/>
      <c r="DW295" s="75"/>
      <c r="DX295" s="75"/>
      <c r="DY295" s="75"/>
      <c r="DZ295" s="75"/>
      <c r="EA295" s="75"/>
      <c r="EB295" s="81"/>
      <c r="EC295" s="74"/>
      <c r="ED295" s="75"/>
      <c r="EE295" s="75"/>
      <c r="EF295" s="75"/>
      <c r="EG295" s="75"/>
      <c r="EH295" s="75"/>
      <c r="EI295" s="75"/>
      <c r="EJ295" s="75"/>
      <c r="EK295" s="75"/>
      <c r="EL295" s="75"/>
      <c r="EM295" s="75"/>
      <c r="EN295" s="81"/>
      <c r="EO295" s="74"/>
      <c r="EP295" s="75"/>
      <c r="EQ295" s="75"/>
      <c r="ER295" s="75"/>
      <c r="ES295" s="75"/>
      <c r="ET295" s="75"/>
      <c r="EU295" s="75"/>
      <c r="EV295" s="75"/>
      <c r="EW295" s="75"/>
      <c r="EX295" s="75"/>
      <c r="EY295" s="75"/>
      <c r="EZ295" s="81"/>
      <c r="FA295" s="74"/>
      <c r="FB295" s="75"/>
      <c r="FC295" s="75"/>
      <c r="FD295" s="75"/>
      <c r="FE295" s="75"/>
      <c r="FF295" s="75"/>
      <c r="FG295" s="75"/>
      <c r="FH295" s="75"/>
      <c r="FI295" s="75"/>
      <c r="FJ295" s="75"/>
      <c r="FK295" s="75"/>
      <c r="FL295" s="81"/>
      <c r="FM295" s="74"/>
      <c r="FN295" s="75"/>
      <c r="FO295" s="75"/>
      <c r="FP295" s="75"/>
      <c r="FQ295" s="75"/>
      <c r="FR295" s="75"/>
      <c r="FS295" s="75"/>
      <c r="FT295" s="75"/>
      <c r="FU295" s="75"/>
      <c r="FV295" s="75"/>
      <c r="FW295" s="75"/>
      <c r="FX295" s="81"/>
      <c r="FY295" s="74"/>
      <c r="FZ295" s="75"/>
      <c r="GA295" s="75"/>
      <c r="GB295" s="75"/>
      <c r="GC295" s="75"/>
      <c r="GD295" s="75"/>
      <c r="GE295" s="75"/>
      <c r="GF295" s="75"/>
      <c r="GG295" s="75"/>
      <c r="GH295" s="75"/>
      <c r="GI295" s="75"/>
      <c r="GJ295" s="81"/>
      <c r="GK295" s="74"/>
      <c r="GL295" s="75"/>
      <c r="GM295" s="75"/>
      <c r="GN295" s="75"/>
      <c r="GO295" s="75"/>
      <c r="GP295" s="75"/>
      <c r="GQ295" s="75"/>
      <c r="GR295" s="75"/>
      <c r="GS295" s="75"/>
      <c r="GT295" s="75"/>
      <c r="GU295" s="75"/>
      <c r="GV295" s="81"/>
      <c r="GW295" s="74"/>
      <c r="GX295" s="75"/>
      <c r="GY295" s="75"/>
      <c r="GZ295" s="75"/>
      <c r="HA295" s="75"/>
      <c r="HB295" s="75"/>
      <c r="HC295" s="75"/>
      <c r="HD295" s="75"/>
      <c r="HE295" s="75"/>
      <c r="HF295" s="75"/>
      <c r="HG295" s="75"/>
      <c r="HH295" s="81"/>
      <c r="HI295" s="75"/>
    </row>
    <row r="296" ht="15.0" customHeight="1">
      <c r="A296" s="74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81"/>
      <c r="M296" s="74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81"/>
      <c r="Y296" s="74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81"/>
      <c r="AK296" s="74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81"/>
      <c r="AW296" s="74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81"/>
      <c r="BI296" s="74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81"/>
      <c r="BU296" s="74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81"/>
      <c r="CG296" s="74"/>
      <c r="CH296" s="75"/>
      <c r="CI296" s="75"/>
      <c r="CJ296" s="75"/>
      <c r="CK296" s="75"/>
      <c r="CL296" s="75"/>
      <c r="CM296" s="75"/>
      <c r="CN296" s="75"/>
      <c r="CO296" s="75"/>
      <c r="CP296" s="75"/>
      <c r="CQ296" s="75"/>
      <c r="CR296" s="81"/>
      <c r="CS296" s="74"/>
      <c r="CT296" s="75"/>
      <c r="CU296" s="75"/>
      <c r="CV296" s="75"/>
      <c r="CW296" s="75"/>
      <c r="CX296" s="75"/>
      <c r="CY296" s="75"/>
      <c r="CZ296" s="75"/>
      <c r="DA296" s="75"/>
      <c r="DB296" s="75"/>
      <c r="DC296" s="75"/>
      <c r="DD296" s="81"/>
      <c r="DE296" s="74"/>
      <c r="DF296" s="75"/>
      <c r="DG296" s="75"/>
      <c r="DH296" s="75"/>
      <c r="DI296" s="75"/>
      <c r="DJ296" s="75"/>
      <c r="DK296" s="75"/>
      <c r="DL296" s="75"/>
      <c r="DM296" s="75"/>
      <c r="DN296" s="75"/>
      <c r="DO296" s="75"/>
      <c r="DP296" s="81"/>
      <c r="DQ296" s="74"/>
      <c r="DR296" s="75"/>
      <c r="DS296" s="75"/>
      <c r="DT296" s="75"/>
      <c r="DU296" s="75"/>
      <c r="DV296" s="75"/>
      <c r="DW296" s="75"/>
      <c r="DX296" s="75"/>
      <c r="DY296" s="75"/>
      <c r="DZ296" s="75"/>
      <c r="EA296" s="75"/>
      <c r="EB296" s="81"/>
      <c r="EC296" s="74"/>
      <c r="ED296" s="75"/>
      <c r="EE296" s="75"/>
      <c r="EF296" s="75"/>
      <c r="EG296" s="75"/>
      <c r="EH296" s="75"/>
      <c r="EI296" s="75"/>
      <c r="EJ296" s="75"/>
      <c r="EK296" s="75"/>
      <c r="EL296" s="75"/>
      <c r="EM296" s="75"/>
      <c r="EN296" s="81"/>
      <c r="EO296" s="74"/>
      <c r="EP296" s="75"/>
      <c r="EQ296" s="75"/>
      <c r="ER296" s="75"/>
      <c r="ES296" s="75"/>
      <c r="ET296" s="75"/>
      <c r="EU296" s="75"/>
      <c r="EV296" s="75"/>
      <c r="EW296" s="75"/>
      <c r="EX296" s="75"/>
      <c r="EY296" s="75"/>
      <c r="EZ296" s="81"/>
      <c r="FA296" s="74"/>
      <c r="FB296" s="75"/>
      <c r="FC296" s="75"/>
      <c r="FD296" s="75"/>
      <c r="FE296" s="75"/>
      <c r="FF296" s="75"/>
      <c r="FG296" s="75"/>
      <c r="FH296" s="75"/>
      <c r="FI296" s="75"/>
      <c r="FJ296" s="75"/>
      <c r="FK296" s="75"/>
      <c r="FL296" s="81"/>
      <c r="FM296" s="74"/>
      <c r="FN296" s="75"/>
      <c r="FO296" s="75"/>
      <c r="FP296" s="75"/>
      <c r="FQ296" s="75"/>
      <c r="FR296" s="75"/>
      <c r="FS296" s="75"/>
      <c r="FT296" s="75"/>
      <c r="FU296" s="75"/>
      <c r="FV296" s="75"/>
      <c r="FW296" s="75"/>
      <c r="FX296" s="81"/>
      <c r="FY296" s="74"/>
      <c r="FZ296" s="75"/>
      <c r="GA296" s="75"/>
      <c r="GB296" s="75"/>
      <c r="GC296" s="75"/>
      <c r="GD296" s="75"/>
      <c r="GE296" s="75"/>
      <c r="GF296" s="75"/>
      <c r="GG296" s="75"/>
      <c r="GH296" s="75"/>
      <c r="GI296" s="75"/>
      <c r="GJ296" s="81"/>
      <c r="GK296" s="74"/>
      <c r="GL296" s="75"/>
      <c r="GM296" s="75"/>
      <c r="GN296" s="75"/>
      <c r="GO296" s="75"/>
      <c r="GP296" s="75"/>
      <c r="GQ296" s="75"/>
      <c r="GR296" s="75"/>
      <c r="GS296" s="75"/>
      <c r="GT296" s="75"/>
      <c r="GU296" s="75"/>
      <c r="GV296" s="81"/>
      <c r="GW296" s="74"/>
      <c r="GX296" s="75"/>
      <c r="GY296" s="75"/>
      <c r="GZ296" s="75"/>
      <c r="HA296" s="75"/>
      <c r="HB296" s="75"/>
      <c r="HC296" s="75"/>
      <c r="HD296" s="75"/>
      <c r="HE296" s="75"/>
      <c r="HF296" s="75"/>
      <c r="HG296" s="75"/>
      <c r="HH296" s="81"/>
      <c r="HI296" s="75"/>
    </row>
    <row r="297" ht="15.0" customHeight="1">
      <c r="A297" s="74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81"/>
      <c r="M297" s="74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81"/>
      <c r="Y297" s="74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81"/>
      <c r="AK297" s="74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81"/>
      <c r="AW297" s="74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81"/>
      <c r="BI297" s="74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81"/>
      <c r="BU297" s="74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81"/>
      <c r="CG297" s="74"/>
      <c r="CH297" s="75"/>
      <c r="CI297" s="75"/>
      <c r="CJ297" s="75"/>
      <c r="CK297" s="75"/>
      <c r="CL297" s="75"/>
      <c r="CM297" s="75"/>
      <c r="CN297" s="75"/>
      <c r="CO297" s="75"/>
      <c r="CP297" s="75"/>
      <c r="CQ297" s="75"/>
      <c r="CR297" s="81"/>
      <c r="CS297" s="74"/>
      <c r="CT297" s="75"/>
      <c r="CU297" s="75"/>
      <c r="CV297" s="75"/>
      <c r="CW297" s="75"/>
      <c r="CX297" s="75"/>
      <c r="CY297" s="75"/>
      <c r="CZ297" s="75"/>
      <c r="DA297" s="75"/>
      <c r="DB297" s="75"/>
      <c r="DC297" s="75"/>
      <c r="DD297" s="81"/>
      <c r="DE297" s="74"/>
      <c r="DF297" s="75"/>
      <c r="DG297" s="75"/>
      <c r="DH297" s="75"/>
      <c r="DI297" s="75"/>
      <c r="DJ297" s="75"/>
      <c r="DK297" s="75"/>
      <c r="DL297" s="75"/>
      <c r="DM297" s="75"/>
      <c r="DN297" s="75"/>
      <c r="DO297" s="75"/>
      <c r="DP297" s="81"/>
      <c r="DQ297" s="74"/>
      <c r="DR297" s="75"/>
      <c r="DS297" s="75"/>
      <c r="DT297" s="75"/>
      <c r="DU297" s="75"/>
      <c r="DV297" s="75"/>
      <c r="DW297" s="75"/>
      <c r="DX297" s="75"/>
      <c r="DY297" s="75"/>
      <c r="DZ297" s="75"/>
      <c r="EA297" s="75"/>
      <c r="EB297" s="81"/>
      <c r="EC297" s="74"/>
      <c r="ED297" s="75"/>
      <c r="EE297" s="75"/>
      <c r="EF297" s="75"/>
      <c r="EG297" s="75"/>
      <c r="EH297" s="75"/>
      <c r="EI297" s="75"/>
      <c r="EJ297" s="75"/>
      <c r="EK297" s="75"/>
      <c r="EL297" s="75"/>
      <c r="EM297" s="75"/>
      <c r="EN297" s="81"/>
      <c r="EO297" s="74"/>
      <c r="EP297" s="75"/>
      <c r="EQ297" s="75"/>
      <c r="ER297" s="75"/>
      <c r="ES297" s="75"/>
      <c r="ET297" s="75"/>
      <c r="EU297" s="75"/>
      <c r="EV297" s="75"/>
      <c r="EW297" s="75"/>
      <c r="EX297" s="75"/>
      <c r="EY297" s="75"/>
      <c r="EZ297" s="81"/>
      <c r="FA297" s="74"/>
      <c r="FB297" s="75"/>
      <c r="FC297" s="75"/>
      <c r="FD297" s="75"/>
      <c r="FE297" s="75"/>
      <c r="FF297" s="75"/>
      <c r="FG297" s="75"/>
      <c r="FH297" s="75"/>
      <c r="FI297" s="75"/>
      <c r="FJ297" s="75"/>
      <c r="FK297" s="75"/>
      <c r="FL297" s="81"/>
      <c r="FM297" s="74"/>
      <c r="FN297" s="75"/>
      <c r="FO297" s="75"/>
      <c r="FP297" s="75"/>
      <c r="FQ297" s="75"/>
      <c r="FR297" s="75"/>
      <c r="FS297" s="75"/>
      <c r="FT297" s="75"/>
      <c r="FU297" s="75"/>
      <c r="FV297" s="75"/>
      <c r="FW297" s="75"/>
      <c r="FX297" s="81"/>
      <c r="FY297" s="74"/>
      <c r="FZ297" s="75"/>
      <c r="GA297" s="75"/>
      <c r="GB297" s="75"/>
      <c r="GC297" s="75"/>
      <c r="GD297" s="75"/>
      <c r="GE297" s="75"/>
      <c r="GF297" s="75"/>
      <c r="GG297" s="75"/>
      <c r="GH297" s="75"/>
      <c r="GI297" s="75"/>
      <c r="GJ297" s="81"/>
      <c r="GK297" s="74"/>
      <c r="GL297" s="75"/>
      <c r="GM297" s="75"/>
      <c r="GN297" s="75"/>
      <c r="GO297" s="75"/>
      <c r="GP297" s="75"/>
      <c r="GQ297" s="75"/>
      <c r="GR297" s="75"/>
      <c r="GS297" s="75"/>
      <c r="GT297" s="75"/>
      <c r="GU297" s="75"/>
      <c r="GV297" s="81"/>
      <c r="GW297" s="74"/>
      <c r="GX297" s="75"/>
      <c r="GY297" s="75"/>
      <c r="GZ297" s="75"/>
      <c r="HA297" s="75"/>
      <c r="HB297" s="75"/>
      <c r="HC297" s="75"/>
      <c r="HD297" s="75"/>
      <c r="HE297" s="75"/>
      <c r="HF297" s="75"/>
      <c r="HG297" s="75"/>
      <c r="HH297" s="81"/>
      <c r="HI297" s="75"/>
    </row>
    <row r="298" ht="15.0" customHeight="1">
      <c r="A298" s="74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81"/>
      <c r="M298" s="74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81"/>
      <c r="Y298" s="74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81"/>
      <c r="AK298" s="74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81"/>
      <c r="AW298" s="74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81"/>
      <c r="BI298" s="74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81"/>
      <c r="BU298" s="74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81"/>
      <c r="CG298" s="74"/>
      <c r="CH298" s="75"/>
      <c r="CI298" s="75"/>
      <c r="CJ298" s="75"/>
      <c r="CK298" s="75"/>
      <c r="CL298" s="75"/>
      <c r="CM298" s="75"/>
      <c r="CN298" s="75"/>
      <c r="CO298" s="75"/>
      <c r="CP298" s="75"/>
      <c r="CQ298" s="75"/>
      <c r="CR298" s="81"/>
      <c r="CS298" s="74"/>
      <c r="CT298" s="75"/>
      <c r="CU298" s="75"/>
      <c r="CV298" s="75"/>
      <c r="CW298" s="75"/>
      <c r="CX298" s="75"/>
      <c r="CY298" s="75"/>
      <c r="CZ298" s="75"/>
      <c r="DA298" s="75"/>
      <c r="DB298" s="75"/>
      <c r="DC298" s="75"/>
      <c r="DD298" s="81"/>
      <c r="DE298" s="74"/>
      <c r="DF298" s="75"/>
      <c r="DG298" s="75"/>
      <c r="DH298" s="75"/>
      <c r="DI298" s="75"/>
      <c r="DJ298" s="75"/>
      <c r="DK298" s="75"/>
      <c r="DL298" s="75"/>
      <c r="DM298" s="75"/>
      <c r="DN298" s="75"/>
      <c r="DO298" s="75"/>
      <c r="DP298" s="81"/>
      <c r="DQ298" s="74"/>
      <c r="DR298" s="75"/>
      <c r="DS298" s="75"/>
      <c r="DT298" s="75"/>
      <c r="DU298" s="75"/>
      <c r="DV298" s="75"/>
      <c r="DW298" s="75"/>
      <c r="DX298" s="75"/>
      <c r="DY298" s="75"/>
      <c r="DZ298" s="75"/>
      <c r="EA298" s="75"/>
      <c r="EB298" s="81"/>
      <c r="EC298" s="74"/>
      <c r="ED298" s="75"/>
      <c r="EE298" s="75"/>
      <c r="EF298" s="75"/>
      <c r="EG298" s="75"/>
      <c r="EH298" s="75"/>
      <c r="EI298" s="75"/>
      <c r="EJ298" s="75"/>
      <c r="EK298" s="75"/>
      <c r="EL298" s="75"/>
      <c r="EM298" s="75"/>
      <c r="EN298" s="81"/>
      <c r="EO298" s="74"/>
      <c r="EP298" s="75"/>
      <c r="EQ298" s="75"/>
      <c r="ER298" s="75"/>
      <c r="ES298" s="75"/>
      <c r="ET298" s="75"/>
      <c r="EU298" s="75"/>
      <c r="EV298" s="75"/>
      <c r="EW298" s="75"/>
      <c r="EX298" s="75"/>
      <c r="EY298" s="75"/>
      <c r="EZ298" s="81"/>
      <c r="FA298" s="74"/>
      <c r="FB298" s="75"/>
      <c r="FC298" s="75"/>
      <c r="FD298" s="75"/>
      <c r="FE298" s="75"/>
      <c r="FF298" s="75"/>
      <c r="FG298" s="75"/>
      <c r="FH298" s="75"/>
      <c r="FI298" s="75"/>
      <c r="FJ298" s="75"/>
      <c r="FK298" s="75"/>
      <c r="FL298" s="81"/>
      <c r="FM298" s="74"/>
      <c r="FN298" s="75"/>
      <c r="FO298" s="75"/>
      <c r="FP298" s="75"/>
      <c r="FQ298" s="75"/>
      <c r="FR298" s="75"/>
      <c r="FS298" s="75"/>
      <c r="FT298" s="75"/>
      <c r="FU298" s="75"/>
      <c r="FV298" s="75"/>
      <c r="FW298" s="75"/>
      <c r="FX298" s="81"/>
      <c r="FY298" s="74"/>
      <c r="FZ298" s="75"/>
      <c r="GA298" s="75"/>
      <c r="GB298" s="75"/>
      <c r="GC298" s="75"/>
      <c r="GD298" s="75"/>
      <c r="GE298" s="75"/>
      <c r="GF298" s="75"/>
      <c r="GG298" s="75"/>
      <c r="GH298" s="75"/>
      <c r="GI298" s="75"/>
      <c r="GJ298" s="81"/>
      <c r="GK298" s="74"/>
      <c r="GL298" s="75"/>
      <c r="GM298" s="75"/>
      <c r="GN298" s="75"/>
      <c r="GO298" s="75"/>
      <c r="GP298" s="75"/>
      <c r="GQ298" s="75"/>
      <c r="GR298" s="75"/>
      <c r="GS298" s="75"/>
      <c r="GT298" s="75"/>
      <c r="GU298" s="75"/>
      <c r="GV298" s="81"/>
      <c r="GW298" s="74"/>
      <c r="GX298" s="75"/>
      <c r="GY298" s="75"/>
      <c r="GZ298" s="75"/>
      <c r="HA298" s="75"/>
      <c r="HB298" s="75"/>
      <c r="HC298" s="75"/>
      <c r="HD298" s="75"/>
      <c r="HE298" s="75"/>
      <c r="HF298" s="75"/>
      <c r="HG298" s="75"/>
      <c r="HH298" s="81"/>
      <c r="HI298" s="75"/>
    </row>
    <row r="299" ht="15.0" customHeight="1">
      <c r="A299" s="74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81"/>
      <c r="M299" s="74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81"/>
      <c r="Y299" s="74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81"/>
      <c r="AK299" s="74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81"/>
      <c r="AW299" s="74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81"/>
      <c r="BI299" s="74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81"/>
      <c r="BU299" s="74"/>
      <c r="BV299" s="75"/>
      <c r="BW299" s="75"/>
      <c r="BX299" s="75"/>
      <c r="BY299" s="75"/>
      <c r="BZ299" s="75"/>
      <c r="CA299" s="75"/>
      <c r="CB299" s="75"/>
      <c r="CC299" s="75"/>
      <c r="CD299" s="75"/>
      <c r="CE299" s="75"/>
      <c r="CF299" s="81"/>
      <c r="CG299" s="74"/>
      <c r="CH299" s="75"/>
      <c r="CI299" s="75"/>
      <c r="CJ299" s="75"/>
      <c r="CK299" s="75"/>
      <c r="CL299" s="75"/>
      <c r="CM299" s="75"/>
      <c r="CN299" s="75"/>
      <c r="CO299" s="75"/>
      <c r="CP299" s="75"/>
      <c r="CQ299" s="75"/>
      <c r="CR299" s="81"/>
      <c r="CS299" s="74"/>
      <c r="CT299" s="75"/>
      <c r="CU299" s="75"/>
      <c r="CV299" s="75"/>
      <c r="CW299" s="75"/>
      <c r="CX299" s="75"/>
      <c r="CY299" s="75"/>
      <c r="CZ299" s="75"/>
      <c r="DA299" s="75"/>
      <c r="DB299" s="75"/>
      <c r="DC299" s="75"/>
      <c r="DD299" s="81"/>
      <c r="DE299" s="74"/>
      <c r="DF299" s="75"/>
      <c r="DG299" s="75"/>
      <c r="DH299" s="75"/>
      <c r="DI299" s="75"/>
      <c r="DJ299" s="75"/>
      <c r="DK299" s="75"/>
      <c r="DL299" s="75"/>
      <c r="DM299" s="75"/>
      <c r="DN299" s="75"/>
      <c r="DO299" s="75"/>
      <c r="DP299" s="81"/>
      <c r="DQ299" s="74"/>
      <c r="DR299" s="75"/>
      <c r="DS299" s="75"/>
      <c r="DT299" s="75"/>
      <c r="DU299" s="75"/>
      <c r="DV299" s="75"/>
      <c r="DW299" s="75"/>
      <c r="DX299" s="75"/>
      <c r="DY299" s="75"/>
      <c r="DZ299" s="75"/>
      <c r="EA299" s="75"/>
      <c r="EB299" s="81"/>
      <c r="EC299" s="74"/>
      <c r="ED299" s="75"/>
      <c r="EE299" s="75"/>
      <c r="EF299" s="75"/>
      <c r="EG299" s="75"/>
      <c r="EH299" s="75"/>
      <c r="EI299" s="75"/>
      <c r="EJ299" s="75"/>
      <c r="EK299" s="75"/>
      <c r="EL299" s="75"/>
      <c r="EM299" s="75"/>
      <c r="EN299" s="81"/>
      <c r="EO299" s="74"/>
      <c r="EP299" s="75"/>
      <c r="EQ299" s="75"/>
      <c r="ER299" s="75"/>
      <c r="ES299" s="75"/>
      <c r="ET299" s="75"/>
      <c r="EU299" s="75"/>
      <c r="EV299" s="75"/>
      <c r="EW299" s="75"/>
      <c r="EX299" s="75"/>
      <c r="EY299" s="75"/>
      <c r="EZ299" s="81"/>
      <c r="FA299" s="74"/>
      <c r="FB299" s="75"/>
      <c r="FC299" s="75"/>
      <c r="FD299" s="75"/>
      <c r="FE299" s="75"/>
      <c r="FF299" s="75"/>
      <c r="FG299" s="75"/>
      <c r="FH299" s="75"/>
      <c r="FI299" s="75"/>
      <c r="FJ299" s="75"/>
      <c r="FK299" s="75"/>
      <c r="FL299" s="81"/>
      <c r="FM299" s="74"/>
      <c r="FN299" s="75"/>
      <c r="FO299" s="75"/>
      <c r="FP299" s="75"/>
      <c r="FQ299" s="75"/>
      <c r="FR299" s="75"/>
      <c r="FS299" s="75"/>
      <c r="FT299" s="75"/>
      <c r="FU299" s="75"/>
      <c r="FV299" s="75"/>
      <c r="FW299" s="75"/>
      <c r="FX299" s="81"/>
      <c r="FY299" s="74"/>
      <c r="FZ299" s="75"/>
      <c r="GA299" s="75"/>
      <c r="GB299" s="75"/>
      <c r="GC299" s="75"/>
      <c r="GD299" s="75"/>
      <c r="GE299" s="75"/>
      <c r="GF299" s="75"/>
      <c r="GG299" s="75"/>
      <c r="GH299" s="75"/>
      <c r="GI299" s="75"/>
      <c r="GJ299" s="81"/>
      <c r="GK299" s="74"/>
      <c r="GL299" s="75"/>
      <c r="GM299" s="75"/>
      <c r="GN299" s="75"/>
      <c r="GO299" s="75"/>
      <c r="GP299" s="75"/>
      <c r="GQ299" s="75"/>
      <c r="GR299" s="75"/>
      <c r="GS299" s="75"/>
      <c r="GT299" s="75"/>
      <c r="GU299" s="75"/>
      <c r="GV299" s="81"/>
      <c r="GW299" s="74"/>
      <c r="GX299" s="75"/>
      <c r="GY299" s="75"/>
      <c r="GZ299" s="75"/>
      <c r="HA299" s="75"/>
      <c r="HB299" s="75"/>
      <c r="HC299" s="75"/>
      <c r="HD299" s="75"/>
      <c r="HE299" s="75"/>
      <c r="HF299" s="75"/>
      <c r="HG299" s="75"/>
      <c r="HH299" s="81"/>
      <c r="HI299" s="75"/>
    </row>
    <row r="300" ht="15.0" customHeight="1">
      <c r="A300" s="74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81"/>
      <c r="M300" s="74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81"/>
      <c r="Y300" s="74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81"/>
      <c r="AK300" s="74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81"/>
      <c r="AW300" s="74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81"/>
      <c r="BI300" s="74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81"/>
      <c r="BU300" s="74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81"/>
      <c r="CG300" s="74"/>
      <c r="CH300" s="75"/>
      <c r="CI300" s="75"/>
      <c r="CJ300" s="75"/>
      <c r="CK300" s="75"/>
      <c r="CL300" s="75"/>
      <c r="CM300" s="75"/>
      <c r="CN300" s="75"/>
      <c r="CO300" s="75"/>
      <c r="CP300" s="75"/>
      <c r="CQ300" s="75"/>
      <c r="CR300" s="81"/>
      <c r="CS300" s="74"/>
      <c r="CT300" s="75"/>
      <c r="CU300" s="75"/>
      <c r="CV300" s="75"/>
      <c r="CW300" s="75"/>
      <c r="CX300" s="75"/>
      <c r="CY300" s="75"/>
      <c r="CZ300" s="75"/>
      <c r="DA300" s="75"/>
      <c r="DB300" s="75"/>
      <c r="DC300" s="75"/>
      <c r="DD300" s="81"/>
      <c r="DE300" s="74"/>
      <c r="DF300" s="75"/>
      <c r="DG300" s="75"/>
      <c r="DH300" s="75"/>
      <c r="DI300" s="75"/>
      <c r="DJ300" s="75"/>
      <c r="DK300" s="75"/>
      <c r="DL300" s="75"/>
      <c r="DM300" s="75"/>
      <c r="DN300" s="75"/>
      <c r="DO300" s="75"/>
      <c r="DP300" s="81"/>
      <c r="DQ300" s="74"/>
      <c r="DR300" s="75"/>
      <c r="DS300" s="75"/>
      <c r="DT300" s="75"/>
      <c r="DU300" s="75"/>
      <c r="DV300" s="75"/>
      <c r="DW300" s="75"/>
      <c r="DX300" s="75"/>
      <c r="DY300" s="75"/>
      <c r="DZ300" s="75"/>
      <c r="EA300" s="75"/>
      <c r="EB300" s="81"/>
      <c r="EC300" s="74"/>
      <c r="ED300" s="75"/>
      <c r="EE300" s="75"/>
      <c r="EF300" s="75"/>
      <c r="EG300" s="75"/>
      <c r="EH300" s="75"/>
      <c r="EI300" s="75"/>
      <c r="EJ300" s="75"/>
      <c r="EK300" s="75"/>
      <c r="EL300" s="75"/>
      <c r="EM300" s="75"/>
      <c r="EN300" s="81"/>
      <c r="EO300" s="74"/>
      <c r="EP300" s="75"/>
      <c r="EQ300" s="75"/>
      <c r="ER300" s="75"/>
      <c r="ES300" s="75"/>
      <c r="ET300" s="75"/>
      <c r="EU300" s="75"/>
      <c r="EV300" s="75"/>
      <c r="EW300" s="75"/>
      <c r="EX300" s="75"/>
      <c r="EY300" s="75"/>
      <c r="EZ300" s="81"/>
      <c r="FA300" s="74"/>
      <c r="FB300" s="75"/>
      <c r="FC300" s="75"/>
      <c r="FD300" s="75"/>
      <c r="FE300" s="75"/>
      <c r="FF300" s="75"/>
      <c r="FG300" s="75"/>
      <c r="FH300" s="75"/>
      <c r="FI300" s="75"/>
      <c r="FJ300" s="75"/>
      <c r="FK300" s="75"/>
      <c r="FL300" s="81"/>
      <c r="FM300" s="74"/>
      <c r="FN300" s="75"/>
      <c r="FO300" s="75"/>
      <c r="FP300" s="75"/>
      <c r="FQ300" s="75"/>
      <c r="FR300" s="75"/>
      <c r="FS300" s="75"/>
      <c r="FT300" s="75"/>
      <c r="FU300" s="75"/>
      <c r="FV300" s="75"/>
      <c r="FW300" s="75"/>
      <c r="FX300" s="81"/>
      <c r="FY300" s="74"/>
      <c r="FZ300" s="75"/>
      <c r="GA300" s="75"/>
      <c r="GB300" s="75"/>
      <c r="GC300" s="75"/>
      <c r="GD300" s="75"/>
      <c r="GE300" s="75"/>
      <c r="GF300" s="75"/>
      <c r="GG300" s="75"/>
      <c r="GH300" s="75"/>
      <c r="GI300" s="75"/>
      <c r="GJ300" s="81"/>
      <c r="GK300" s="74"/>
      <c r="GL300" s="75"/>
      <c r="GM300" s="75"/>
      <c r="GN300" s="75"/>
      <c r="GO300" s="75"/>
      <c r="GP300" s="75"/>
      <c r="GQ300" s="75"/>
      <c r="GR300" s="75"/>
      <c r="GS300" s="75"/>
      <c r="GT300" s="75"/>
      <c r="GU300" s="75"/>
      <c r="GV300" s="81"/>
      <c r="GW300" s="74"/>
      <c r="GX300" s="75"/>
      <c r="GY300" s="75"/>
      <c r="GZ300" s="75"/>
      <c r="HA300" s="75"/>
      <c r="HB300" s="75"/>
      <c r="HC300" s="75"/>
      <c r="HD300" s="75"/>
      <c r="HE300" s="75"/>
      <c r="HF300" s="75"/>
      <c r="HG300" s="75"/>
      <c r="HH300" s="81"/>
      <c r="HI300" s="75"/>
    </row>
    <row r="301" ht="15.0" customHeight="1">
      <c r="A301" s="74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81"/>
      <c r="M301" s="74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81"/>
      <c r="Y301" s="74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81"/>
      <c r="AK301" s="74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81"/>
      <c r="AW301" s="74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81"/>
      <c r="BI301" s="74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81"/>
      <c r="BU301" s="74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81"/>
      <c r="CG301" s="74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81"/>
      <c r="CS301" s="74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81"/>
      <c r="DE301" s="74"/>
      <c r="DF301" s="75"/>
      <c r="DG301" s="75"/>
      <c r="DH301" s="75"/>
      <c r="DI301" s="75"/>
      <c r="DJ301" s="75"/>
      <c r="DK301" s="75"/>
      <c r="DL301" s="75"/>
      <c r="DM301" s="75"/>
      <c r="DN301" s="75"/>
      <c r="DO301" s="75"/>
      <c r="DP301" s="81"/>
      <c r="DQ301" s="74"/>
      <c r="DR301" s="75"/>
      <c r="DS301" s="75"/>
      <c r="DT301" s="75"/>
      <c r="DU301" s="75"/>
      <c r="DV301" s="75"/>
      <c r="DW301" s="75"/>
      <c r="DX301" s="75"/>
      <c r="DY301" s="75"/>
      <c r="DZ301" s="75"/>
      <c r="EA301" s="75"/>
      <c r="EB301" s="81"/>
      <c r="EC301" s="74"/>
      <c r="ED301" s="75"/>
      <c r="EE301" s="75"/>
      <c r="EF301" s="75"/>
      <c r="EG301" s="75"/>
      <c r="EH301" s="75"/>
      <c r="EI301" s="75"/>
      <c r="EJ301" s="75"/>
      <c r="EK301" s="75"/>
      <c r="EL301" s="75"/>
      <c r="EM301" s="75"/>
      <c r="EN301" s="81"/>
      <c r="EO301" s="74"/>
      <c r="EP301" s="75"/>
      <c r="EQ301" s="75"/>
      <c r="ER301" s="75"/>
      <c r="ES301" s="75"/>
      <c r="ET301" s="75"/>
      <c r="EU301" s="75"/>
      <c r="EV301" s="75"/>
      <c r="EW301" s="75"/>
      <c r="EX301" s="75"/>
      <c r="EY301" s="75"/>
      <c r="EZ301" s="81"/>
      <c r="FA301" s="74"/>
      <c r="FB301" s="75"/>
      <c r="FC301" s="75"/>
      <c r="FD301" s="75"/>
      <c r="FE301" s="75"/>
      <c r="FF301" s="75"/>
      <c r="FG301" s="75"/>
      <c r="FH301" s="75"/>
      <c r="FI301" s="75"/>
      <c r="FJ301" s="75"/>
      <c r="FK301" s="75"/>
      <c r="FL301" s="81"/>
      <c r="FM301" s="74"/>
      <c r="FN301" s="75"/>
      <c r="FO301" s="75"/>
      <c r="FP301" s="75"/>
      <c r="FQ301" s="75"/>
      <c r="FR301" s="75"/>
      <c r="FS301" s="75"/>
      <c r="FT301" s="75"/>
      <c r="FU301" s="75"/>
      <c r="FV301" s="75"/>
      <c r="FW301" s="75"/>
      <c r="FX301" s="81"/>
      <c r="FY301" s="74"/>
      <c r="FZ301" s="75"/>
      <c r="GA301" s="75"/>
      <c r="GB301" s="75"/>
      <c r="GC301" s="75"/>
      <c r="GD301" s="75"/>
      <c r="GE301" s="75"/>
      <c r="GF301" s="75"/>
      <c r="GG301" s="75"/>
      <c r="GH301" s="75"/>
      <c r="GI301" s="75"/>
      <c r="GJ301" s="81"/>
      <c r="GK301" s="74"/>
      <c r="GL301" s="75"/>
      <c r="GM301" s="75"/>
      <c r="GN301" s="75"/>
      <c r="GO301" s="75"/>
      <c r="GP301" s="75"/>
      <c r="GQ301" s="75"/>
      <c r="GR301" s="75"/>
      <c r="GS301" s="75"/>
      <c r="GT301" s="75"/>
      <c r="GU301" s="75"/>
      <c r="GV301" s="81"/>
      <c r="GW301" s="74"/>
      <c r="GX301" s="75"/>
      <c r="GY301" s="75"/>
      <c r="GZ301" s="75"/>
      <c r="HA301" s="75"/>
      <c r="HB301" s="75"/>
      <c r="HC301" s="75"/>
      <c r="HD301" s="75"/>
      <c r="HE301" s="75"/>
      <c r="HF301" s="75"/>
      <c r="HG301" s="75"/>
      <c r="HH301" s="81"/>
      <c r="HI301" s="75"/>
    </row>
    <row r="302" ht="15.0" customHeight="1">
      <c r="A302" s="74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81"/>
      <c r="M302" s="74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81"/>
      <c r="Y302" s="74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81"/>
      <c r="AK302" s="74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81"/>
      <c r="AW302" s="74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81"/>
      <c r="BI302" s="74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81"/>
      <c r="BU302" s="74"/>
      <c r="BV302" s="75"/>
      <c r="BW302" s="75"/>
      <c r="BX302" s="75"/>
      <c r="BY302" s="75"/>
      <c r="BZ302" s="75"/>
      <c r="CA302" s="75"/>
      <c r="CB302" s="75"/>
      <c r="CC302" s="75"/>
      <c r="CD302" s="75"/>
      <c r="CE302" s="75"/>
      <c r="CF302" s="81"/>
      <c r="CG302" s="74"/>
      <c r="CH302" s="75"/>
      <c r="CI302" s="75"/>
      <c r="CJ302" s="75"/>
      <c r="CK302" s="75"/>
      <c r="CL302" s="75"/>
      <c r="CM302" s="75"/>
      <c r="CN302" s="75"/>
      <c r="CO302" s="75"/>
      <c r="CP302" s="75"/>
      <c r="CQ302" s="75"/>
      <c r="CR302" s="81"/>
      <c r="CS302" s="74"/>
      <c r="CT302" s="75"/>
      <c r="CU302" s="75"/>
      <c r="CV302" s="75"/>
      <c r="CW302" s="75"/>
      <c r="CX302" s="75"/>
      <c r="CY302" s="75"/>
      <c r="CZ302" s="75"/>
      <c r="DA302" s="75"/>
      <c r="DB302" s="75"/>
      <c r="DC302" s="75"/>
      <c r="DD302" s="81"/>
      <c r="DE302" s="74"/>
      <c r="DF302" s="75"/>
      <c r="DG302" s="75"/>
      <c r="DH302" s="75"/>
      <c r="DI302" s="75"/>
      <c r="DJ302" s="75"/>
      <c r="DK302" s="75"/>
      <c r="DL302" s="75"/>
      <c r="DM302" s="75"/>
      <c r="DN302" s="75"/>
      <c r="DO302" s="75"/>
      <c r="DP302" s="81"/>
      <c r="DQ302" s="74"/>
      <c r="DR302" s="75"/>
      <c r="DS302" s="75"/>
      <c r="DT302" s="75"/>
      <c r="DU302" s="75"/>
      <c r="DV302" s="75"/>
      <c r="DW302" s="75"/>
      <c r="DX302" s="75"/>
      <c r="DY302" s="75"/>
      <c r="DZ302" s="75"/>
      <c r="EA302" s="75"/>
      <c r="EB302" s="81"/>
      <c r="EC302" s="74"/>
      <c r="ED302" s="75"/>
      <c r="EE302" s="75"/>
      <c r="EF302" s="75"/>
      <c r="EG302" s="75"/>
      <c r="EH302" s="75"/>
      <c r="EI302" s="75"/>
      <c r="EJ302" s="75"/>
      <c r="EK302" s="75"/>
      <c r="EL302" s="75"/>
      <c r="EM302" s="75"/>
      <c r="EN302" s="81"/>
      <c r="EO302" s="74"/>
      <c r="EP302" s="75"/>
      <c r="EQ302" s="75"/>
      <c r="ER302" s="75"/>
      <c r="ES302" s="75"/>
      <c r="ET302" s="75"/>
      <c r="EU302" s="75"/>
      <c r="EV302" s="75"/>
      <c r="EW302" s="75"/>
      <c r="EX302" s="75"/>
      <c r="EY302" s="75"/>
      <c r="EZ302" s="81"/>
      <c r="FA302" s="74"/>
      <c r="FB302" s="75"/>
      <c r="FC302" s="75"/>
      <c r="FD302" s="75"/>
      <c r="FE302" s="75"/>
      <c r="FF302" s="75"/>
      <c r="FG302" s="75"/>
      <c r="FH302" s="75"/>
      <c r="FI302" s="75"/>
      <c r="FJ302" s="75"/>
      <c r="FK302" s="75"/>
      <c r="FL302" s="81"/>
      <c r="FM302" s="74"/>
      <c r="FN302" s="75"/>
      <c r="FO302" s="75"/>
      <c r="FP302" s="75"/>
      <c r="FQ302" s="75"/>
      <c r="FR302" s="75"/>
      <c r="FS302" s="75"/>
      <c r="FT302" s="75"/>
      <c r="FU302" s="75"/>
      <c r="FV302" s="75"/>
      <c r="FW302" s="75"/>
      <c r="FX302" s="81"/>
      <c r="FY302" s="74"/>
      <c r="FZ302" s="75"/>
      <c r="GA302" s="75"/>
      <c r="GB302" s="75"/>
      <c r="GC302" s="75"/>
      <c r="GD302" s="75"/>
      <c r="GE302" s="75"/>
      <c r="GF302" s="75"/>
      <c r="GG302" s="75"/>
      <c r="GH302" s="75"/>
      <c r="GI302" s="75"/>
      <c r="GJ302" s="81"/>
      <c r="GK302" s="74"/>
      <c r="GL302" s="75"/>
      <c r="GM302" s="75"/>
      <c r="GN302" s="75"/>
      <c r="GO302" s="75"/>
      <c r="GP302" s="75"/>
      <c r="GQ302" s="75"/>
      <c r="GR302" s="75"/>
      <c r="GS302" s="75"/>
      <c r="GT302" s="75"/>
      <c r="GU302" s="75"/>
      <c r="GV302" s="81"/>
      <c r="GW302" s="74"/>
      <c r="GX302" s="75"/>
      <c r="GY302" s="75"/>
      <c r="GZ302" s="75"/>
      <c r="HA302" s="75"/>
      <c r="HB302" s="75"/>
      <c r="HC302" s="75"/>
      <c r="HD302" s="75"/>
      <c r="HE302" s="75"/>
      <c r="HF302" s="75"/>
      <c r="HG302" s="75"/>
      <c r="HH302" s="81"/>
      <c r="HI302" s="75"/>
    </row>
    <row r="303" ht="15.0" customHeight="1">
      <c r="A303" s="74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81"/>
      <c r="M303" s="74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81"/>
      <c r="Y303" s="74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81"/>
      <c r="AK303" s="74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81"/>
      <c r="AW303" s="74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81"/>
      <c r="BI303" s="74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81"/>
      <c r="BU303" s="74"/>
      <c r="BV303" s="75"/>
      <c r="BW303" s="75"/>
      <c r="BX303" s="75"/>
      <c r="BY303" s="75"/>
      <c r="BZ303" s="75"/>
      <c r="CA303" s="75"/>
      <c r="CB303" s="75"/>
      <c r="CC303" s="75"/>
      <c r="CD303" s="75"/>
      <c r="CE303" s="75"/>
      <c r="CF303" s="81"/>
      <c r="CG303" s="74"/>
      <c r="CH303" s="75"/>
      <c r="CI303" s="75"/>
      <c r="CJ303" s="75"/>
      <c r="CK303" s="75"/>
      <c r="CL303" s="75"/>
      <c r="CM303" s="75"/>
      <c r="CN303" s="75"/>
      <c r="CO303" s="75"/>
      <c r="CP303" s="75"/>
      <c r="CQ303" s="75"/>
      <c r="CR303" s="81"/>
      <c r="CS303" s="74"/>
      <c r="CT303" s="75"/>
      <c r="CU303" s="75"/>
      <c r="CV303" s="75"/>
      <c r="CW303" s="75"/>
      <c r="CX303" s="75"/>
      <c r="CY303" s="75"/>
      <c r="CZ303" s="75"/>
      <c r="DA303" s="75"/>
      <c r="DB303" s="75"/>
      <c r="DC303" s="75"/>
      <c r="DD303" s="81"/>
      <c r="DE303" s="74"/>
      <c r="DF303" s="75"/>
      <c r="DG303" s="75"/>
      <c r="DH303" s="75"/>
      <c r="DI303" s="75"/>
      <c r="DJ303" s="75"/>
      <c r="DK303" s="75"/>
      <c r="DL303" s="75"/>
      <c r="DM303" s="75"/>
      <c r="DN303" s="75"/>
      <c r="DO303" s="75"/>
      <c r="DP303" s="81"/>
      <c r="DQ303" s="74"/>
      <c r="DR303" s="75"/>
      <c r="DS303" s="75"/>
      <c r="DT303" s="75"/>
      <c r="DU303" s="75"/>
      <c r="DV303" s="75"/>
      <c r="DW303" s="75"/>
      <c r="DX303" s="75"/>
      <c r="DY303" s="75"/>
      <c r="DZ303" s="75"/>
      <c r="EA303" s="75"/>
      <c r="EB303" s="81"/>
      <c r="EC303" s="74"/>
      <c r="ED303" s="75"/>
      <c r="EE303" s="75"/>
      <c r="EF303" s="75"/>
      <c r="EG303" s="75"/>
      <c r="EH303" s="75"/>
      <c r="EI303" s="75"/>
      <c r="EJ303" s="75"/>
      <c r="EK303" s="75"/>
      <c r="EL303" s="75"/>
      <c r="EM303" s="75"/>
      <c r="EN303" s="81"/>
      <c r="EO303" s="74"/>
      <c r="EP303" s="75"/>
      <c r="EQ303" s="75"/>
      <c r="ER303" s="75"/>
      <c r="ES303" s="75"/>
      <c r="ET303" s="75"/>
      <c r="EU303" s="75"/>
      <c r="EV303" s="75"/>
      <c r="EW303" s="75"/>
      <c r="EX303" s="75"/>
      <c r="EY303" s="75"/>
      <c r="EZ303" s="81"/>
      <c r="FA303" s="74"/>
      <c r="FB303" s="75"/>
      <c r="FC303" s="75"/>
      <c r="FD303" s="75"/>
      <c r="FE303" s="75"/>
      <c r="FF303" s="75"/>
      <c r="FG303" s="75"/>
      <c r="FH303" s="75"/>
      <c r="FI303" s="75"/>
      <c r="FJ303" s="75"/>
      <c r="FK303" s="75"/>
      <c r="FL303" s="81"/>
      <c r="FM303" s="74"/>
      <c r="FN303" s="75"/>
      <c r="FO303" s="75"/>
      <c r="FP303" s="75"/>
      <c r="FQ303" s="75"/>
      <c r="FR303" s="75"/>
      <c r="FS303" s="75"/>
      <c r="FT303" s="75"/>
      <c r="FU303" s="75"/>
      <c r="FV303" s="75"/>
      <c r="FW303" s="75"/>
      <c r="FX303" s="81"/>
      <c r="FY303" s="74"/>
      <c r="FZ303" s="75"/>
      <c r="GA303" s="75"/>
      <c r="GB303" s="75"/>
      <c r="GC303" s="75"/>
      <c r="GD303" s="75"/>
      <c r="GE303" s="75"/>
      <c r="GF303" s="75"/>
      <c r="GG303" s="75"/>
      <c r="GH303" s="75"/>
      <c r="GI303" s="75"/>
      <c r="GJ303" s="81"/>
      <c r="GK303" s="74"/>
      <c r="GL303" s="75"/>
      <c r="GM303" s="75"/>
      <c r="GN303" s="75"/>
      <c r="GO303" s="75"/>
      <c r="GP303" s="75"/>
      <c r="GQ303" s="75"/>
      <c r="GR303" s="75"/>
      <c r="GS303" s="75"/>
      <c r="GT303" s="75"/>
      <c r="GU303" s="75"/>
      <c r="GV303" s="81"/>
      <c r="GW303" s="74"/>
      <c r="GX303" s="75"/>
      <c r="GY303" s="75"/>
      <c r="GZ303" s="75"/>
      <c r="HA303" s="75"/>
      <c r="HB303" s="75"/>
      <c r="HC303" s="75"/>
      <c r="HD303" s="75"/>
      <c r="HE303" s="75"/>
      <c r="HF303" s="75"/>
      <c r="HG303" s="75"/>
      <c r="HH303" s="81"/>
      <c r="HI303" s="75"/>
    </row>
    <row r="304" ht="15.0" customHeight="1">
      <c r="A304" s="74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81"/>
      <c r="M304" s="74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81"/>
      <c r="Y304" s="74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81"/>
      <c r="AK304" s="74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81"/>
      <c r="AW304" s="74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81"/>
      <c r="BI304" s="74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81"/>
      <c r="BU304" s="74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81"/>
      <c r="CG304" s="74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81"/>
      <c r="CS304" s="74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81"/>
      <c r="DE304" s="74"/>
      <c r="DF304" s="75"/>
      <c r="DG304" s="75"/>
      <c r="DH304" s="75"/>
      <c r="DI304" s="75"/>
      <c r="DJ304" s="75"/>
      <c r="DK304" s="75"/>
      <c r="DL304" s="75"/>
      <c r="DM304" s="75"/>
      <c r="DN304" s="75"/>
      <c r="DO304" s="75"/>
      <c r="DP304" s="81"/>
      <c r="DQ304" s="74"/>
      <c r="DR304" s="75"/>
      <c r="DS304" s="75"/>
      <c r="DT304" s="75"/>
      <c r="DU304" s="75"/>
      <c r="DV304" s="75"/>
      <c r="DW304" s="75"/>
      <c r="DX304" s="75"/>
      <c r="DY304" s="75"/>
      <c r="DZ304" s="75"/>
      <c r="EA304" s="75"/>
      <c r="EB304" s="81"/>
      <c r="EC304" s="74"/>
      <c r="ED304" s="75"/>
      <c r="EE304" s="75"/>
      <c r="EF304" s="75"/>
      <c r="EG304" s="75"/>
      <c r="EH304" s="75"/>
      <c r="EI304" s="75"/>
      <c r="EJ304" s="75"/>
      <c r="EK304" s="75"/>
      <c r="EL304" s="75"/>
      <c r="EM304" s="75"/>
      <c r="EN304" s="81"/>
      <c r="EO304" s="74"/>
      <c r="EP304" s="75"/>
      <c r="EQ304" s="75"/>
      <c r="ER304" s="75"/>
      <c r="ES304" s="75"/>
      <c r="ET304" s="75"/>
      <c r="EU304" s="75"/>
      <c r="EV304" s="75"/>
      <c r="EW304" s="75"/>
      <c r="EX304" s="75"/>
      <c r="EY304" s="75"/>
      <c r="EZ304" s="81"/>
      <c r="FA304" s="74"/>
      <c r="FB304" s="75"/>
      <c r="FC304" s="75"/>
      <c r="FD304" s="75"/>
      <c r="FE304" s="75"/>
      <c r="FF304" s="75"/>
      <c r="FG304" s="75"/>
      <c r="FH304" s="75"/>
      <c r="FI304" s="75"/>
      <c r="FJ304" s="75"/>
      <c r="FK304" s="75"/>
      <c r="FL304" s="81"/>
      <c r="FM304" s="74"/>
      <c r="FN304" s="75"/>
      <c r="FO304" s="75"/>
      <c r="FP304" s="75"/>
      <c r="FQ304" s="75"/>
      <c r="FR304" s="75"/>
      <c r="FS304" s="75"/>
      <c r="FT304" s="75"/>
      <c r="FU304" s="75"/>
      <c r="FV304" s="75"/>
      <c r="FW304" s="75"/>
      <c r="FX304" s="81"/>
      <c r="FY304" s="74"/>
      <c r="FZ304" s="75"/>
      <c r="GA304" s="75"/>
      <c r="GB304" s="75"/>
      <c r="GC304" s="75"/>
      <c r="GD304" s="75"/>
      <c r="GE304" s="75"/>
      <c r="GF304" s="75"/>
      <c r="GG304" s="75"/>
      <c r="GH304" s="75"/>
      <c r="GI304" s="75"/>
      <c r="GJ304" s="81"/>
      <c r="GK304" s="74"/>
      <c r="GL304" s="75"/>
      <c r="GM304" s="75"/>
      <c r="GN304" s="75"/>
      <c r="GO304" s="75"/>
      <c r="GP304" s="75"/>
      <c r="GQ304" s="75"/>
      <c r="GR304" s="75"/>
      <c r="GS304" s="75"/>
      <c r="GT304" s="75"/>
      <c r="GU304" s="75"/>
      <c r="GV304" s="81"/>
      <c r="GW304" s="74"/>
      <c r="GX304" s="75"/>
      <c r="GY304" s="75"/>
      <c r="GZ304" s="75"/>
      <c r="HA304" s="75"/>
      <c r="HB304" s="75"/>
      <c r="HC304" s="75"/>
      <c r="HD304" s="75"/>
      <c r="HE304" s="75"/>
      <c r="HF304" s="75"/>
      <c r="HG304" s="75"/>
      <c r="HH304" s="81"/>
      <c r="HI304" s="75"/>
    </row>
    <row r="305" ht="15.0" customHeight="1">
      <c r="A305" s="74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81"/>
      <c r="M305" s="74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81"/>
      <c r="Y305" s="74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81"/>
      <c r="AK305" s="74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81"/>
      <c r="AW305" s="74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81"/>
      <c r="BI305" s="74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81"/>
      <c r="BU305" s="74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81"/>
      <c r="CG305" s="74"/>
      <c r="CH305" s="75"/>
      <c r="CI305" s="75"/>
      <c r="CJ305" s="75"/>
      <c r="CK305" s="75"/>
      <c r="CL305" s="75"/>
      <c r="CM305" s="75"/>
      <c r="CN305" s="75"/>
      <c r="CO305" s="75"/>
      <c r="CP305" s="75"/>
      <c r="CQ305" s="75"/>
      <c r="CR305" s="81"/>
      <c r="CS305" s="74"/>
      <c r="CT305" s="75"/>
      <c r="CU305" s="75"/>
      <c r="CV305" s="75"/>
      <c r="CW305" s="75"/>
      <c r="CX305" s="75"/>
      <c r="CY305" s="75"/>
      <c r="CZ305" s="75"/>
      <c r="DA305" s="75"/>
      <c r="DB305" s="75"/>
      <c r="DC305" s="75"/>
      <c r="DD305" s="81"/>
      <c r="DE305" s="74"/>
      <c r="DF305" s="75"/>
      <c r="DG305" s="75"/>
      <c r="DH305" s="75"/>
      <c r="DI305" s="75"/>
      <c r="DJ305" s="75"/>
      <c r="DK305" s="75"/>
      <c r="DL305" s="75"/>
      <c r="DM305" s="75"/>
      <c r="DN305" s="75"/>
      <c r="DO305" s="75"/>
      <c r="DP305" s="81"/>
      <c r="DQ305" s="74"/>
      <c r="DR305" s="75"/>
      <c r="DS305" s="75"/>
      <c r="DT305" s="75"/>
      <c r="DU305" s="75"/>
      <c r="DV305" s="75"/>
      <c r="DW305" s="75"/>
      <c r="DX305" s="75"/>
      <c r="DY305" s="75"/>
      <c r="DZ305" s="75"/>
      <c r="EA305" s="75"/>
      <c r="EB305" s="81"/>
      <c r="EC305" s="74"/>
      <c r="ED305" s="75"/>
      <c r="EE305" s="75"/>
      <c r="EF305" s="75"/>
      <c r="EG305" s="75"/>
      <c r="EH305" s="75"/>
      <c r="EI305" s="75"/>
      <c r="EJ305" s="75"/>
      <c r="EK305" s="75"/>
      <c r="EL305" s="75"/>
      <c r="EM305" s="75"/>
      <c r="EN305" s="81"/>
      <c r="EO305" s="74"/>
      <c r="EP305" s="75"/>
      <c r="EQ305" s="75"/>
      <c r="ER305" s="75"/>
      <c r="ES305" s="75"/>
      <c r="ET305" s="75"/>
      <c r="EU305" s="75"/>
      <c r="EV305" s="75"/>
      <c r="EW305" s="75"/>
      <c r="EX305" s="75"/>
      <c r="EY305" s="75"/>
      <c r="EZ305" s="81"/>
      <c r="FA305" s="74"/>
      <c r="FB305" s="75"/>
      <c r="FC305" s="75"/>
      <c r="FD305" s="75"/>
      <c r="FE305" s="75"/>
      <c r="FF305" s="75"/>
      <c r="FG305" s="75"/>
      <c r="FH305" s="75"/>
      <c r="FI305" s="75"/>
      <c r="FJ305" s="75"/>
      <c r="FK305" s="75"/>
      <c r="FL305" s="81"/>
      <c r="FM305" s="74"/>
      <c r="FN305" s="75"/>
      <c r="FO305" s="75"/>
      <c r="FP305" s="75"/>
      <c r="FQ305" s="75"/>
      <c r="FR305" s="75"/>
      <c r="FS305" s="75"/>
      <c r="FT305" s="75"/>
      <c r="FU305" s="75"/>
      <c r="FV305" s="75"/>
      <c r="FW305" s="75"/>
      <c r="FX305" s="81"/>
      <c r="FY305" s="74"/>
      <c r="FZ305" s="75"/>
      <c r="GA305" s="75"/>
      <c r="GB305" s="75"/>
      <c r="GC305" s="75"/>
      <c r="GD305" s="75"/>
      <c r="GE305" s="75"/>
      <c r="GF305" s="75"/>
      <c r="GG305" s="75"/>
      <c r="GH305" s="75"/>
      <c r="GI305" s="75"/>
      <c r="GJ305" s="81"/>
      <c r="GK305" s="74"/>
      <c r="GL305" s="75"/>
      <c r="GM305" s="75"/>
      <c r="GN305" s="75"/>
      <c r="GO305" s="75"/>
      <c r="GP305" s="75"/>
      <c r="GQ305" s="75"/>
      <c r="GR305" s="75"/>
      <c r="GS305" s="75"/>
      <c r="GT305" s="75"/>
      <c r="GU305" s="75"/>
      <c r="GV305" s="81"/>
      <c r="GW305" s="74"/>
      <c r="GX305" s="75"/>
      <c r="GY305" s="75"/>
      <c r="GZ305" s="75"/>
      <c r="HA305" s="75"/>
      <c r="HB305" s="75"/>
      <c r="HC305" s="75"/>
      <c r="HD305" s="75"/>
      <c r="HE305" s="75"/>
      <c r="HF305" s="75"/>
      <c r="HG305" s="75"/>
      <c r="HH305" s="81"/>
      <c r="HI305" s="75"/>
    </row>
    <row r="306" ht="15.0" customHeight="1">
      <c r="A306" s="74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81"/>
      <c r="M306" s="74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81"/>
      <c r="Y306" s="74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81"/>
      <c r="AK306" s="74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81"/>
      <c r="AW306" s="74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81"/>
      <c r="BI306" s="74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81"/>
      <c r="BU306" s="74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81"/>
      <c r="CG306" s="74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81"/>
      <c r="CS306" s="74"/>
      <c r="CT306" s="75"/>
      <c r="CU306" s="75"/>
      <c r="CV306" s="75"/>
      <c r="CW306" s="75"/>
      <c r="CX306" s="75"/>
      <c r="CY306" s="75"/>
      <c r="CZ306" s="75"/>
      <c r="DA306" s="75"/>
      <c r="DB306" s="75"/>
      <c r="DC306" s="75"/>
      <c r="DD306" s="81"/>
      <c r="DE306" s="74"/>
      <c r="DF306" s="75"/>
      <c r="DG306" s="75"/>
      <c r="DH306" s="75"/>
      <c r="DI306" s="75"/>
      <c r="DJ306" s="75"/>
      <c r="DK306" s="75"/>
      <c r="DL306" s="75"/>
      <c r="DM306" s="75"/>
      <c r="DN306" s="75"/>
      <c r="DO306" s="75"/>
      <c r="DP306" s="81"/>
      <c r="DQ306" s="74"/>
      <c r="DR306" s="75"/>
      <c r="DS306" s="75"/>
      <c r="DT306" s="75"/>
      <c r="DU306" s="75"/>
      <c r="DV306" s="75"/>
      <c r="DW306" s="75"/>
      <c r="DX306" s="75"/>
      <c r="DY306" s="75"/>
      <c r="DZ306" s="75"/>
      <c r="EA306" s="75"/>
      <c r="EB306" s="81"/>
      <c r="EC306" s="74"/>
      <c r="ED306" s="75"/>
      <c r="EE306" s="75"/>
      <c r="EF306" s="75"/>
      <c r="EG306" s="75"/>
      <c r="EH306" s="75"/>
      <c r="EI306" s="75"/>
      <c r="EJ306" s="75"/>
      <c r="EK306" s="75"/>
      <c r="EL306" s="75"/>
      <c r="EM306" s="75"/>
      <c r="EN306" s="81"/>
      <c r="EO306" s="74"/>
      <c r="EP306" s="75"/>
      <c r="EQ306" s="75"/>
      <c r="ER306" s="75"/>
      <c r="ES306" s="75"/>
      <c r="ET306" s="75"/>
      <c r="EU306" s="75"/>
      <c r="EV306" s="75"/>
      <c r="EW306" s="75"/>
      <c r="EX306" s="75"/>
      <c r="EY306" s="75"/>
      <c r="EZ306" s="81"/>
      <c r="FA306" s="74"/>
      <c r="FB306" s="75"/>
      <c r="FC306" s="75"/>
      <c r="FD306" s="75"/>
      <c r="FE306" s="75"/>
      <c r="FF306" s="75"/>
      <c r="FG306" s="75"/>
      <c r="FH306" s="75"/>
      <c r="FI306" s="75"/>
      <c r="FJ306" s="75"/>
      <c r="FK306" s="75"/>
      <c r="FL306" s="81"/>
      <c r="FM306" s="74"/>
      <c r="FN306" s="75"/>
      <c r="FO306" s="75"/>
      <c r="FP306" s="75"/>
      <c r="FQ306" s="75"/>
      <c r="FR306" s="75"/>
      <c r="FS306" s="75"/>
      <c r="FT306" s="75"/>
      <c r="FU306" s="75"/>
      <c r="FV306" s="75"/>
      <c r="FW306" s="75"/>
      <c r="FX306" s="81"/>
      <c r="FY306" s="74"/>
      <c r="FZ306" s="75"/>
      <c r="GA306" s="75"/>
      <c r="GB306" s="75"/>
      <c r="GC306" s="75"/>
      <c r="GD306" s="75"/>
      <c r="GE306" s="75"/>
      <c r="GF306" s="75"/>
      <c r="GG306" s="75"/>
      <c r="GH306" s="75"/>
      <c r="GI306" s="75"/>
      <c r="GJ306" s="81"/>
      <c r="GK306" s="74"/>
      <c r="GL306" s="75"/>
      <c r="GM306" s="75"/>
      <c r="GN306" s="75"/>
      <c r="GO306" s="75"/>
      <c r="GP306" s="75"/>
      <c r="GQ306" s="75"/>
      <c r="GR306" s="75"/>
      <c r="GS306" s="75"/>
      <c r="GT306" s="75"/>
      <c r="GU306" s="75"/>
      <c r="GV306" s="81"/>
      <c r="GW306" s="74"/>
      <c r="GX306" s="75"/>
      <c r="GY306" s="75"/>
      <c r="GZ306" s="75"/>
      <c r="HA306" s="75"/>
      <c r="HB306" s="75"/>
      <c r="HC306" s="75"/>
      <c r="HD306" s="75"/>
      <c r="HE306" s="75"/>
      <c r="HF306" s="75"/>
      <c r="HG306" s="75"/>
      <c r="HH306" s="81"/>
      <c r="HI306" s="75"/>
    </row>
    <row r="307" ht="15.0" customHeight="1">
      <c r="A307" s="74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81"/>
      <c r="M307" s="74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81"/>
      <c r="Y307" s="74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81"/>
      <c r="AK307" s="74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81"/>
      <c r="AW307" s="74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81"/>
      <c r="BI307" s="74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81"/>
      <c r="BU307" s="74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81"/>
      <c r="CG307" s="74"/>
      <c r="CH307" s="75"/>
      <c r="CI307" s="75"/>
      <c r="CJ307" s="75"/>
      <c r="CK307" s="75"/>
      <c r="CL307" s="75"/>
      <c r="CM307" s="75"/>
      <c r="CN307" s="75"/>
      <c r="CO307" s="75"/>
      <c r="CP307" s="75"/>
      <c r="CQ307" s="75"/>
      <c r="CR307" s="81"/>
      <c r="CS307" s="74"/>
      <c r="CT307" s="75"/>
      <c r="CU307" s="75"/>
      <c r="CV307" s="75"/>
      <c r="CW307" s="75"/>
      <c r="CX307" s="75"/>
      <c r="CY307" s="75"/>
      <c r="CZ307" s="75"/>
      <c r="DA307" s="75"/>
      <c r="DB307" s="75"/>
      <c r="DC307" s="75"/>
      <c r="DD307" s="81"/>
      <c r="DE307" s="74"/>
      <c r="DF307" s="75"/>
      <c r="DG307" s="75"/>
      <c r="DH307" s="75"/>
      <c r="DI307" s="75"/>
      <c r="DJ307" s="75"/>
      <c r="DK307" s="75"/>
      <c r="DL307" s="75"/>
      <c r="DM307" s="75"/>
      <c r="DN307" s="75"/>
      <c r="DO307" s="75"/>
      <c r="DP307" s="81"/>
      <c r="DQ307" s="74"/>
      <c r="DR307" s="75"/>
      <c r="DS307" s="75"/>
      <c r="DT307" s="75"/>
      <c r="DU307" s="75"/>
      <c r="DV307" s="75"/>
      <c r="DW307" s="75"/>
      <c r="DX307" s="75"/>
      <c r="DY307" s="75"/>
      <c r="DZ307" s="75"/>
      <c r="EA307" s="75"/>
      <c r="EB307" s="81"/>
      <c r="EC307" s="74"/>
      <c r="ED307" s="75"/>
      <c r="EE307" s="75"/>
      <c r="EF307" s="75"/>
      <c r="EG307" s="75"/>
      <c r="EH307" s="75"/>
      <c r="EI307" s="75"/>
      <c r="EJ307" s="75"/>
      <c r="EK307" s="75"/>
      <c r="EL307" s="75"/>
      <c r="EM307" s="75"/>
      <c r="EN307" s="81"/>
      <c r="EO307" s="74"/>
      <c r="EP307" s="75"/>
      <c r="EQ307" s="75"/>
      <c r="ER307" s="75"/>
      <c r="ES307" s="75"/>
      <c r="ET307" s="75"/>
      <c r="EU307" s="75"/>
      <c r="EV307" s="75"/>
      <c r="EW307" s="75"/>
      <c r="EX307" s="75"/>
      <c r="EY307" s="75"/>
      <c r="EZ307" s="81"/>
      <c r="FA307" s="74"/>
      <c r="FB307" s="75"/>
      <c r="FC307" s="75"/>
      <c r="FD307" s="75"/>
      <c r="FE307" s="75"/>
      <c r="FF307" s="75"/>
      <c r="FG307" s="75"/>
      <c r="FH307" s="75"/>
      <c r="FI307" s="75"/>
      <c r="FJ307" s="75"/>
      <c r="FK307" s="75"/>
      <c r="FL307" s="81"/>
      <c r="FM307" s="74"/>
      <c r="FN307" s="75"/>
      <c r="FO307" s="75"/>
      <c r="FP307" s="75"/>
      <c r="FQ307" s="75"/>
      <c r="FR307" s="75"/>
      <c r="FS307" s="75"/>
      <c r="FT307" s="75"/>
      <c r="FU307" s="75"/>
      <c r="FV307" s="75"/>
      <c r="FW307" s="75"/>
      <c r="FX307" s="81"/>
      <c r="FY307" s="74"/>
      <c r="FZ307" s="75"/>
      <c r="GA307" s="75"/>
      <c r="GB307" s="75"/>
      <c r="GC307" s="75"/>
      <c r="GD307" s="75"/>
      <c r="GE307" s="75"/>
      <c r="GF307" s="75"/>
      <c r="GG307" s="75"/>
      <c r="GH307" s="75"/>
      <c r="GI307" s="75"/>
      <c r="GJ307" s="81"/>
      <c r="GK307" s="74"/>
      <c r="GL307" s="75"/>
      <c r="GM307" s="75"/>
      <c r="GN307" s="75"/>
      <c r="GO307" s="75"/>
      <c r="GP307" s="75"/>
      <c r="GQ307" s="75"/>
      <c r="GR307" s="75"/>
      <c r="GS307" s="75"/>
      <c r="GT307" s="75"/>
      <c r="GU307" s="75"/>
      <c r="GV307" s="81"/>
      <c r="GW307" s="74"/>
      <c r="GX307" s="75"/>
      <c r="GY307" s="75"/>
      <c r="GZ307" s="75"/>
      <c r="HA307" s="75"/>
      <c r="HB307" s="75"/>
      <c r="HC307" s="75"/>
      <c r="HD307" s="75"/>
      <c r="HE307" s="75"/>
      <c r="HF307" s="75"/>
      <c r="HG307" s="75"/>
      <c r="HH307" s="81"/>
      <c r="HI307" s="75"/>
    </row>
    <row r="308" ht="15.0" customHeight="1">
      <c r="A308" s="74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81"/>
      <c r="M308" s="74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81"/>
      <c r="Y308" s="74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81"/>
      <c r="AK308" s="74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81"/>
      <c r="AW308" s="74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81"/>
      <c r="BI308" s="74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81"/>
      <c r="BU308" s="74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81"/>
      <c r="CG308" s="74"/>
      <c r="CH308" s="75"/>
      <c r="CI308" s="75"/>
      <c r="CJ308" s="75"/>
      <c r="CK308" s="75"/>
      <c r="CL308" s="75"/>
      <c r="CM308" s="75"/>
      <c r="CN308" s="75"/>
      <c r="CO308" s="75"/>
      <c r="CP308" s="75"/>
      <c r="CQ308" s="75"/>
      <c r="CR308" s="81"/>
      <c r="CS308" s="74"/>
      <c r="CT308" s="75"/>
      <c r="CU308" s="75"/>
      <c r="CV308" s="75"/>
      <c r="CW308" s="75"/>
      <c r="CX308" s="75"/>
      <c r="CY308" s="75"/>
      <c r="CZ308" s="75"/>
      <c r="DA308" s="75"/>
      <c r="DB308" s="75"/>
      <c r="DC308" s="75"/>
      <c r="DD308" s="81"/>
      <c r="DE308" s="74"/>
      <c r="DF308" s="75"/>
      <c r="DG308" s="75"/>
      <c r="DH308" s="75"/>
      <c r="DI308" s="75"/>
      <c r="DJ308" s="75"/>
      <c r="DK308" s="75"/>
      <c r="DL308" s="75"/>
      <c r="DM308" s="75"/>
      <c r="DN308" s="75"/>
      <c r="DO308" s="75"/>
      <c r="DP308" s="81"/>
      <c r="DQ308" s="74"/>
      <c r="DR308" s="75"/>
      <c r="DS308" s="75"/>
      <c r="DT308" s="75"/>
      <c r="DU308" s="75"/>
      <c r="DV308" s="75"/>
      <c r="DW308" s="75"/>
      <c r="DX308" s="75"/>
      <c r="DY308" s="75"/>
      <c r="DZ308" s="75"/>
      <c r="EA308" s="75"/>
      <c r="EB308" s="81"/>
      <c r="EC308" s="74"/>
      <c r="ED308" s="75"/>
      <c r="EE308" s="75"/>
      <c r="EF308" s="75"/>
      <c r="EG308" s="75"/>
      <c r="EH308" s="75"/>
      <c r="EI308" s="75"/>
      <c r="EJ308" s="75"/>
      <c r="EK308" s="75"/>
      <c r="EL308" s="75"/>
      <c r="EM308" s="75"/>
      <c r="EN308" s="81"/>
      <c r="EO308" s="74"/>
      <c r="EP308" s="75"/>
      <c r="EQ308" s="75"/>
      <c r="ER308" s="75"/>
      <c r="ES308" s="75"/>
      <c r="ET308" s="75"/>
      <c r="EU308" s="75"/>
      <c r="EV308" s="75"/>
      <c r="EW308" s="75"/>
      <c r="EX308" s="75"/>
      <c r="EY308" s="75"/>
      <c r="EZ308" s="81"/>
      <c r="FA308" s="74"/>
      <c r="FB308" s="75"/>
      <c r="FC308" s="75"/>
      <c r="FD308" s="75"/>
      <c r="FE308" s="75"/>
      <c r="FF308" s="75"/>
      <c r="FG308" s="75"/>
      <c r="FH308" s="75"/>
      <c r="FI308" s="75"/>
      <c r="FJ308" s="75"/>
      <c r="FK308" s="75"/>
      <c r="FL308" s="81"/>
      <c r="FM308" s="74"/>
      <c r="FN308" s="75"/>
      <c r="FO308" s="75"/>
      <c r="FP308" s="75"/>
      <c r="FQ308" s="75"/>
      <c r="FR308" s="75"/>
      <c r="FS308" s="75"/>
      <c r="FT308" s="75"/>
      <c r="FU308" s="75"/>
      <c r="FV308" s="75"/>
      <c r="FW308" s="75"/>
      <c r="FX308" s="81"/>
      <c r="FY308" s="74"/>
      <c r="FZ308" s="75"/>
      <c r="GA308" s="75"/>
      <c r="GB308" s="75"/>
      <c r="GC308" s="75"/>
      <c r="GD308" s="75"/>
      <c r="GE308" s="75"/>
      <c r="GF308" s="75"/>
      <c r="GG308" s="75"/>
      <c r="GH308" s="75"/>
      <c r="GI308" s="75"/>
      <c r="GJ308" s="81"/>
      <c r="GK308" s="74"/>
      <c r="GL308" s="75"/>
      <c r="GM308" s="75"/>
      <c r="GN308" s="75"/>
      <c r="GO308" s="75"/>
      <c r="GP308" s="75"/>
      <c r="GQ308" s="75"/>
      <c r="GR308" s="75"/>
      <c r="GS308" s="75"/>
      <c r="GT308" s="75"/>
      <c r="GU308" s="75"/>
      <c r="GV308" s="81"/>
      <c r="GW308" s="74"/>
      <c r="GX308" s="75"/>
      <c r="GY308" s="75"/>
      <c r="GZ308" s="75"/>
      <c r="HA308" s="75"/>
      <c r="HB308" s="75"/>
      <c r="HC308" s="75"/>
      <c r="HD308" s="75"/>
      <c r="HE308" s="75"/>
      <c r="HF308" s="75"/>
      <c r="HG308" s="75"/>
      <c r="HH308" s="81"/>
      <c r="HI308" s="75"/>
    </row>
    <row r="309" ht="15.0" customHeight="1">
      <c r="A309" s="74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81"/>
      <c r="M309" s="74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81"/>
      <c r="Y309" s="74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81"/>
      <c r="AK309" s="74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81"/>
      <c r="AW309" s="74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81"/>
      <c r="BI309" s="74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81"/>
      <c r="BU309" s="74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81"/>
      <c r="CG309" s="74"/>
      <c r="CH309" s="75"/>
      <c r="CI309" s="75"/>
      <c r="CJ309" s="75"/>
      <c r="CK309" s="75"/>
      <c r="CL309" s="75"/>
      <c r="CM309" s="75"/>
      <c r="CN309" s="75"/>
      <c r="CO309" s="75"/>
      <c r="CP309" s="75"/>
      <c r="CQ309" s="75"/>
      <c r="CR309" s="81"/>
      <c r="CS309" s="74"/>
      <c r="CT309" s="75"/>
      <c r="CU309" s="75"/>
      <c r="CV309" s="75"/>
      <c r="CW309" s="75"/>
      <c r="CX309" s="75"/>
      <c r="CY309" s="75"/>
      <c r="CZ309" s="75"/>
      <c r="DA309" s="75"/>
      <c r="DB309" s="75"/>
      <c r="DC309" s="75"/>
      <c r="DD309" s="81"/>
      <c r="DE309" s="74"/>
      <c r="DF309" s="75"/>
      <c r="DG309" s="75"/>
      <c r="DH309" s="75"/>
      <c r="DI309" s="75"/>
      <c r="DJ309" s="75"/>
      <c r="DK309" s="75"/>
      <c r="DL309" s="75"/>
      <c r="DM309" s="75"/>
      <c r="DN309" s="75"/>
      <c r="DO309" s="75"/>
      <c r="DP309" s="81"/>
      <c r="DQ309" s="74"/>
      <c r="DR309" s="75"/>
      <c r="DS309" s="75"/>
      <c r="DT309" s="75"/>
      <c r="DU309" s="75"/>
      <c r="DV309" s="75"/>
      <c r="DW309" s="75"/>
      <c r="DX309" s="75"/>
      <c r="DY309" s="75"/>
      <c r="DZ309" s="75"/>
      <c r="EA309" s="75"/>
      <c r="EB309" s="81"/>
      <c r="EC309" s="74"/>
      <c r="ED309" s="75"/>
      <c r="EE309" s="75"/>
      <c r="EF309" s="75"/>
      <c r="EG309" s="75"/>
      <c r="EH309" s="75"/>
      <c r="EI309" s="75"/>
      <c r="EJ309" s="75"/>
      <c r="EK309" s="75"/>
      <c r="EL309" s="75"/>
      <c r="EM309" s="75"/>
      <c r="EN309" s="81"/>
      <c r="EO309" s="74"/>
      <c r="EP309" s="75"/>
      <c r="EQ309" s="75"/>
      <c r="ER309" s="75"/>
      <c r="ES309" s="75"/>
      <c r="ET309" s="75"/>
      <c r="EU309" s="75"/>
      <c r="EV309" s="75"/>
      <c r="EW309" s="75"/>
      <c r="EX309" s="75"/>
      <c r="EY309" s="75"/>
      <c r="EZ309" s="81"/>
      <c r="FA309" s="74"/>
      <c r="FB309" s="75"/>
      <c r="FC309" s="75"/>
      <c r="FD309" s="75"/>
      <c r="FE309" s="75"/>
      <c r="FF309" s="75"/>
      <c r="FG309" s="75"/>
      <c r="FH309" s="75"/>
      <c r="FI309" s="75"/>
      <c r="FJ309" s="75"/>
      <c r="FK309" s="75"/>
      <c r="FL309" s="81"/>
      <c r="FM309" s="74"/>
      <c r="FN309" s="75"/>
      <c r="FO309" s="75"/>
      <c r="FP309" s="75"/>
      <c r="FQ309" s="75"/>
      <c r="FR309" s="75"/>
      <c r="FS309" s="75"/>
      <c r="FT309" s="75"/>
      <c r="FU309" s="75"/>
      <c r="FV309" s="75"/>
      <c r="FW309" s="75"/>
      <c r="FX309" s="81"/>
      <c r="FY309" s="74"/>
      <c r="FZ309" s="75"/>
      <c r="GA309" s="75"/>
      <c r="GB309" s="75"/>
      <c r="GC309" s="75"/>
      <c r="GD309" s="75"/>
      <c r="GE309" s="75"/>
      <c r="GF309" s="75"/>
      <c r="GG309" s="75"/>
      <c r="GH309" s="75"/>
      <c r="GI309" s="75"/>
      <c r="GJ309" s="81"/>
      <c r="GK309" s="74"/>
      <c r="GL309" s="75"/>
      <c r="GM309" s="75"/>
      <c r="GN309" s="75"/>
      <c r="GO309" s="75"/>
      <c r="GP309" s="75"/>
      <c r="GQ309" s="75"/>
      <c r="GR309" s="75"/>
      <c r="GS309" s="75"/>
      <c r="GT309" s="75"/>
      <c r="GU309" s="75"/>
      <c r="GV309" s="81"/>
      <c r="GW309" s="74"/>
      <c r="GX309" s="75"/>
      <c r="GY309" s="75"/>
      <c r="GZ309" s="75"/>
      <c r="HA309" s="75"/>
      <c r="HB309" s="75"/>
      <c r="HC309" s="75"/>
      <c r="HD309" s="75"/>
      <c r="HE309" s="75"/>
      <c r="HF309" s="75"/>
      <c r="HG309" s="75"/>
      <c r="HH309" s="81"/>
      <c r="HI309" s="75"/>
    </row>
    <row r="310" ht="15.0" customHeight="1">
      <c r="A310" s="74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81"/>
      <c r="M310" s="74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81"/>
      <c r="Y310" s="74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81"/>
      <c r="AK310" s="74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81"/>
      <c r="AW310" s="74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81"/>
      <c r="BI310" s="74"/>
      <c r="BJ310" s="75"/>
      <c r="BK310" s="75"/>
      <c r="BL310" s="75"/>
      <c r="BM310" s="75"/>
      <c r="BN310" s="75"/>
      <c r="BO310" s="75"/>
      <c r="BP310" s="75"/>
      <c r="BQ310" s="75"/>
      <c r="BR310" s="75"/>
      <c r="BS310" s="75"/>
      <c r="BT310" s="81"/>
      <c r="BU310" s="74"/>
      <c r="BV310" s="75"/>
      <c r="BW310" s="75"/>
      <c r="BX310" s="75"/>
      <c r="BY310" s="75"/>
      <c r="BZ310" s="75"/>
      <c r="CA310" s="75"/>
      <c r="CB310" s="75"/>
      <c r="CC310" s="75"/>
      <c r="CD310" s="75"/>
      <c r="CE310" s="75"/>
      <c r="CF310" s="81"/>
      <c r="CG310" s="74"/>
      <c r="CH310" s="75"/>
      <c r="CI310" s="75"/>
      <c r="CJ310" s="75"/>
      <c r="CK310" s="75"/>
      <c r="CL310" s="75"/>
      <c r="CM310" s="75"/>
      <c r="CN310" s="75"/>
      <c r="CO310" s="75"/>
      <c r="CP310" s="75"/>
      <c r="CQ310" s="75"/>
      <c r="CR310" s="81"/>
      <c r="CS310" s="74"/>
      <c r="CT310" s="75"/>
      <c r="CU310" s="75"/>
      <c r="CV310" s="75"/>
      <c r="CW310" s="75"/>
      <c r="CX310" s="75"/>
      <c r="CY310" s="75"/>
      <c r="CZ310" s="75"/>
      <c r="DA310" s="75"/>
      <c r="DB310" s="75"/>
      <c r="DC310" s="75"/>
      <c r="DD310" s="81"/>
      <c r="DE310" s="74"/>
      <c r="DF310" s="75"/>
      <c r="DG310" s="75"/>
      <c r="DH310" s="75"/>
      <c r="DI310" s="75"/>
      <c r="DJ310" s="75"/>
      <c r="DK310" s="75"/>
      <c r="DL310" s="75"/>
      <c r="DM310" s="75"/>
      <c r="DN310" s="75"/>
      <c r="DO310" s="75"/>
      <c r="DP310" s="81"/>
      <c r="DQ310" s="74"/>
      <c r="DR310" s="75"/>
      <c r="DS310" s="75"/>
      <c r="DT310" s="75"/>
      <c r="DU310" s="75"/>
      <c r="DV310" s="75"/>
      <c r="DW310" s="75"/>
      <c r="DX310" s="75"/>
      <c r="DY310" s="75"/>
      <c r="DZ310" s="75"/>
      <c r="EA310" s="75"/>
      <c r="EB310" s="81"/>
      <c r="EC310" s="74"/>
      <c r="ED310" s="75"/>
      <c r="EE310" s="75"/>
      <c r="EF310" s="75"/>
      <c r="EG310" s="75"/>
      <c r="EH310" s="75"/>
      <c r="EI310" s="75"/>
      <c r="EJ310" s="75"/>
      <c r="EK310" s="75"/>
      <c r="EL310" s="75"/>
      <c r="EM310" s="75"/>
      <c r="EN310" s="81"/>
      <c r="EO310" s="74"/>
      <c r="EP310" s="75"/>
      <c r="EQ310" s="75"/>
      <c r="ER310" s="75"/>
      <c r="ES310" s="75"/>
      <c r="ET310" s="75"/>
      <c r="EU310" s="75"/>
      <c r="EV310" s="75"/>
      <c r="EW310" s="75"/>
      <c r="EX310" s="75"/>
      <c r="EY310" s="75"/>
      <c r="EZ310" s="81"/>
      <c r="FA310" s="74"/>
      <c r="FB310" s="75"/>
      <c r="FC310" s="75"/>
      <c r="FD310" s="75"/>
      <c r="FE310" s="75"/>
      <c r="FF310" s="75"/>
      <c r="FG310" s="75"/>
      <c r="FH310" s="75"/>
      <c r="FI310" s="75"/>
      <c r="FJ310" s="75"/>
      <c r="FK310" s="75"/>
      <c r="FL310" s="81"/>
      <c r="FM310" s="74"/>
      <c r="FN310" s="75"/>
      <c r="FO310" s="75"/>
      <c r="FP310" s="75"/>
      <c r="FQ310" s="75"/>
      <c r="FR310" s="75"/>
      <c r="FS310" s="75"/>
      <c r="FT310" s="75"/>
      <c r="FU310" s="75"/>
      <c r="FV310" s="75"/>
      <c r="FW310" s="75"/>
      <c r="FX310" s="81"/>
      <c r="FY310" s="74"/>
      <c r="FZ310" s="75"/>
      <c r="GA310" s="75"/>
      <c r="GB310" s="75"/>
      <c r="GC310" s="75"/>
      <c r="GD310" s="75"/>
      <c r="GE310" s="75"/>
      <c r="GF310" s="75"/>
      <c r="GG310" s="75"/>
      <c r="GH310" s="75"/>
      <c r="GI310" s="75"/>
      <c r="GJ310" s="81"/>
      <c r="GK310" s="74"/>
      <c r="GL310" s="75"/>
      <c r="GM310" s="75"/>
      <c r="GN310" s="75"/>
      <c r="GO310" s="75"/>
      <c r="GP310" s="75"/>
      <c r="GQ310" s="75"/>
      <c r="GR310" s="75"/>
      <c r="GS310" s="75"/>
      <c r="GT310" s="75"/>
      <c r="GU310" s="75"/>
      <c r="GV310" s="81"/>
      <c r="GW310" s="74"/>
      <c r="GX310" s="75"/>
      <c r="GY310" s="75"/>
      <c r="GZ310" s="75"/>
      <c r="HA310" s="75"/>
      <c r="HB310" s="75"/>
      <c r="HC310" s="75"/>
      <c r="HD310" s="75"/>
      <c r="HE310" s="75"/>
      <c r="HF310" s="75"/>
      <c r="HG310" s="75"/>
      <c r="HH310" s="81"/>
      <c r="HI310" s="75"/>
    </row>
    <row r="311" ht="15.0" customHeight="1">
      <c r="A311" s="74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81"/>
      <c r="M311" s="74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81"/>
      <c r="Y311" s="74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81"/>
      <c r="AK311" s="74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81"/>
      <c r="AW311" s="74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81"/>
      <c r="BI311" s="74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81"/>
      <c r="BU311" s="74"/>
      <c r="BV311" s="75"/>
      <c r="BW311" s="75"/>
      <c r="BX311" s="75"/>
      <c r="BY311" s="75"/>
      <c r="BZ311" s="75"/>
      <c r="CA311" s="75"/>
      <c r="CB311" s="75"/>
      <c r="CC311" s="75"/>
      <c r="CD311" s="75"/>
      <c r="CE311" s="75"/>
      <c r="CF311" s="81"/>
      <c r="CG311" s="74"/>
      <c r="CH311" s="75"/>
      <c r="CI311" s="75"/>
      <c r="CJ311" s="75"/>
      <c r="CK311" s="75"/>
      <c r="CL311" s="75"/>
      <c r="CM311" s="75"/>
      <c r="CN311" s="75"/>
      <c r="CO311" s="75"/>
      <c r="CP311" s="75"/>
      <c r="CQ311" s="75"/>
      <c r="CR311" s="81"/>
      <c r="CS311" s="74"/>
      <c r="CT311" s="75"/>
      <c r="CU311" s="75"/>
      <c r="CV311" s="75"/>
      <c r="CW311" s="75"/>
      <c r="CX311" s="75"/>
      <c r="CY311" s="75"/>
      <c r="CZ311" s="75"/>
      <c r="DA311" s="75"/>
      <c r="DB311" s="75"/>
      <c r="DC311" s="75"/>
      <c r="DD311" s="81"/>
      <c r="DE311" s="74"/>
      <c r="DF311" s="75"/>
      <c r="DG311" s="75"/>
      <c r="DH311" s="75"/>
      <c r="DI311" s="75"/>
      <c r="DJ311" s="75"/>
      <c r="DK311" s="75"/>
      <c r="DL311" s="75"/>
      <c r="DM311" s="75"/>
      <c r="DN311" s="75"/>
      <c r="DO311" s="75"/>
      <c r="DP311" s="81"/>
      <c r="DQ311" s="74"/>
      <c r="DR311" s="75"/>
      <c r="DS311" s="75"/>
      <c r="DT311" s="75"/>
      <c r="DU311" s="75"/>
      <c r="DV311" s="75"/>
      <c r="DW311" s="75"/>
      <c r="DX311" s="75"/>
      <c r="DY311" s="75"/>
      <c r="DZ311" s="75"/>
      <c r="EA311" s="75"/>
      <c r="EB311" s="81"/>
      <c r="EC311" s="74"/>
      <c r="ED311" s="75"/>
      <c r="EE311" s="75"/>
      <c r="EF311" s="75"/>
      <c r="EG311" s="75"/>
      <c r="EH311" s="75"/>
      <c r="EI311" s="75"/>
      <c r="EJ311" s="75"/>
      <c r="EK311" s="75"/>
      <c r="EL311" s="75"/>
      <c r="EM311" s="75"/>
      <c r="EN311" s="81"/>
      <c r="EO311" s="74"/>
      <c r="EP311" s="75"/>
      <c r="EQ311" s="75"/>
      <c r="ER311" s="75"/>
      <c r="ES311" s="75"/>
      <c r="ET311" s="75"/>
      <c r="EU311" s="75"/>
      <c r="EV311" s="75"/>
      <c r="EW311" s="75"/>
      <c r="EX311" s="75"/>
      <c r="EY311" s="75"/>
      <c r="EZ311" s="81"/>
      <c r="FA311" s="74"/>
      <c r="FB311" s="75"/>
      <c r="FC311" s="75"/>
      <c r="FD311" s="75"/>
      <c r="FE311" s="75"/>
      <c r="FF311" s="75"/>
      <c r="FG311" s="75"/>
      <c r="FH311" s="75"/>
      <c r="FI311" s="75"/>
      <c r="FJ311" s="75"/>
      <c r="FK311" s="75"/>
      <c r="FL311" s="81"/>
      <c r="FM311" s="74"/>
      <c r="FN311" s="75"/>
      <c r="FO311" s="75"/>
      <c r="FP311" s="75"/>
      <c r="FQ311" s="75"/>
      <c r="FR311" s="75"/>
      <c r="FS311" s="75"/>
      <c r="FT311" s="75"/>
      <c r="FU311" s="75"/>
      <c r="FV311" s="75"/>
      <c r="FW311" s="75"/>
      <c r="FX311" s="81"/>
      <c r="FY311" s="74"/>
      <c r="FZ311" s="75"/>
      <c r="GA311" s="75"/>
      <c r="GB311" s="75"/>
      <c r="GC311" s="75"/>
      <c r="GD311" s="75"/>
      <c r="GE311" s="75"/>
      <c r="GF311" s="75"/>
      <c r="GG311" s="75"/>
      <c r="GH311" s="75"/>
      <c r="GI311" s="75"/>
      <c r="GJ311" s="81"/>
      <c r="GK311" s="74"/>
      <c r="GL311" s="75"/>
      <c r="GM311" s="75"/>
      <c r="GN311" s="75"/>
      <c r="GO311" s="75"/>
      <c r="GP311" s="75"/>
      <c r="GQ311" s="75"/>
      <c r="GR311" s="75"/>
      <c r="GS311" s="75"/>
      <c r="GT311" s="75"/>
      <c r="GU311" s="75"/>
      <c r="GV311" s="81"/>
      <c r="GW311" s="74"/>
      <c r="GX311" s="75"/>
      <c r="GY311" s="75"/>
      <c r="GZ311" s="75"/>
      <c r="HA311" s="75"/>
      <c r="HB311" s="75"/>
      <c r="HC311" s="75"/>
      <c r="HD311" s="75"/>
      <c r="HE311" s="75"/>
      <c r="HF311" s="75"/>
      <c r="HG311" s="75"/>
      <c r="HH311" s="81"/>
      <c r="HI311" s="75"/>
    </row>
    <row r="312" ht="15.0" customHeight="1">
      <c r="A312" s="74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81"/>
      <c r="M312" s="74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81"/>
      <c r="Y312" s="74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81"/>
      <c r="AK312" s="74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81"/>
      <c r="AW312" s="74"/>
      <c r="AX312" s="75"/>
      <c r="AY312" s="75"/>
      <c r="AZ312" s="75"/>
      <c r="BA312" s="75"/>
      <c r="BB312" s="75"/>
      <c r="BC312" s="75"/>
      <c r="BD312" s="75"/>
      <c r="BE312" s="75"/>
      <c r="BF312" s="75"/>
      <c r="BG312" s="75"/>
      <c r="BH312" s="81"/>
      <c r="BI312" s="74"/>
      <c r="BJ312" s="75"/>
      <c r="BK312" s="75"/>
      <c r="BL312" s="75"/>
      <c r="BM312" s="75"/>
      <c r="BN312" s="75"/>
      <c r="BO312" s="75"/>
      <c r="BP312" s="75"/>
      <c r="BQ312" s="75"/>
      <c r="BR312" s="75"/>
      <c r="BS312" s="75"/>
      <c r="BT312" s="81"/>
      <c r="BU312" s="74"/>
      <c r="BV312" s="75"/>
      <c r="BW312" s="75"/>
      <c r="BX312" s="75"/>
      <c r="BY312" s="75"/>
      <c r="BZ312" s="75"/>
      <c r="CA312" s="75"/>
      <c r="CB312" s="75"/>
      <c r="CC312" s="75"/>
      <c r="CD312" s="75"/>
      <c r="CE312" s="75"/>
      <c r="CF312" s="81"/>
      <c r="CG312" s="74"/>
      <c r="CH312" s="75"/>
      <c r="CI312" s="75"/>
      <c r="CJ312" s="75"/>
      <c r="CK312" s="75"/>
      <c r="CL312" s="75"/>
      <c r="CM312" s="75"/>
      <c r="CN312" s="75"/>
      <c r="CO312" s="75"/>
      <c r="CP312" s="75"/>
      <c r="CQ312" s="75"/>
      <c r="CR312" s="81"/>
      <c r="CS312" s="74"/>
      <c r="CT312" s="75"/>
      <c r="CU312" s="75"/>
      <c r="CV312" s="75"/>
      <c r="CW312" s="75"/>
      <c r="CX312" s="75"/>
      <c r="CY312" s="75"/>
      <c r="CZ312" s="75"/>
      <c r="DA312" s="75"/>
      <c r="DB312" s="75"/>
      <c r="DC312" s="75"/>
      <c r="DD312" s="81"/>
      <c r="DE312" s="74"/>
      <c r="DF312" s="75"/>
      <c r="DG312" s="75"/>
      <c r="DH312" s="75"/>
      <c r="DI312" s="75"/>
      <c r="DJ312" s="75"/>
      <c r="DK312" s="75"/>
      <c r="DL312" s="75"/>
      <c r="DM312" s="75"/>
      <c r="DN312" s="75"/>
      <c r="DO312" s="75"/>
      <c r="DP312" s="81"/>
      <c r="DQ312" s="74"/>
      <c r="DR312" s="75"/>
      <c r="DS312" s="75"/>
      <c r="DT312" s="75"/>
      <c r="DU312" s="75"/>
      <c r="DV312" s="75"/>
      <c r="DW312" s="75"/>
      <c r="DX312" s="75"/>
      <c r="DY312" s="75"/>
      <c r="DZ312" s="75"/>
      <c r="EA312" s="75"/>
      <c r="EB312" s="81"/>
      <c r="EC312" s="74"/>
      <c r="ED312" s="75"/>
      <c r="EE312" s="75"/>
      <c r="EF312" s="75"/>
      <c r="EG312" s="75"/>
      <c r="EH312" s="75"/>
      <c r="EI312" s="75"/>
      <c r="EJ312" s="75"/>
      <c r="EK312" s="75"/>
      <c r="EL312" s="75"/>
      <c r="EM312" s="75"/>
      <c r="EN312" s="81"/>
      <c r="EO312" s="74"/>
      <c r="EP312" s="75"/>
      <c r="EQ312" s="75"/>
      <c r="ER312" s="75"/>
      <c r="ES312" s="75"/>
      <c r="ET312" s="75"/>
      <c r="EU312" s="75"/>
      <c r="EV312" s="75"/>
      <c r="EW312" s="75"/>
      <c r="EX312" s="75"/>
      <c r="EY312" s="75"/>
      <c r="EZ312" s="81"/>
      <c r="FA312" s="74"/>
      <c r="FB312" s="75"/>
      <c r="FC312" s="75"/>
      <c r="FD312" s="75"/>
      <c r="FE312" s="75"/>
      <c r="FF312" s="75"/>
      <c r="FG312" s="75"/>
      <c r="FH312" s="75"/>
      <c r="FI312" s="75"/>
      <c r="FJ312" s="75"/>
      <c r="FK312" s="75"/>
      <c r="FL312" s="81"/>
      <c r="FM312" s="74"/>
      <c r="FN312" s="75"/>
      <c r="FO312" s="75"/>
      <c r="FP312" s="75"/>
      <c r="FQ312" s="75"/>
      <c r="FR312" s="75"/>
      <c r="FS312" s="75"/>
      <c r="FT312" s="75"/>
      <c r="FU312" s="75"/>
      <c r="FV312" s="75"/>
      <c r="FW312" s="75"/>
      <c r="FX312" s="81"/>
      <c r="FY312" s="74"/>
      <c r="FZ312" s="75"/>
      <c r="GA312" s="75"/>
      <c r="GB312" s="75"/>
      <c r="GC312" s="75"/>
      <c r="GD312" s="75"/>
      <c r="GE312" s="75"/>
      <c r="GF312" s="75"/>
      <c r="GG312" s="75"/>
      <c r="GH312" s="75"/>
      <c r="GI312" s="75"/>
      <c r="GJ312" s="81"/>
      <c r="GK312" s="74"/>
      <c r="GL312" s="75"/>
      <c r="GM312" s="75"/>
      <c r="GN312" s="75"/>
      <c r="GO312" s="75"/>
      <c r="GP312" s="75"/>
      <c r="GQ312" s="75"/>
      <c r="GR312" s="75"/>
      <c r="GS312" s="75"/>
      <c r="GT312" s="75"/>
      <c r="GU312" s="75"/>
      <c r="GV312" s="81"/>
      <c r="GW312" s="74"/>
      <c r="GX312" s="75"/>
      <c r="GY312" s="75"/>
      <c r="GZ312" s="75"/>
      <c r="HA312" s="75"/>
      <c r="HB312" s="75"/>
      <c r="HC312" s="75"/>
      <c r="HD312" s="75"/>
      <c r="HE312" s="75"/>
      <c r="HF312" s="75"/>
      <c r="HG312" s="75"/>
      <c r="HH312" s="81"/>
      <c r="HI312" s="75"/>
    </row>
    <row r="313" ht="15.0" customHeight="1">
      <c r="A313" s="74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81"/>
      <c r="M313" s="74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81"/>
      <c r="Y313" s="74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81"/>
      <c r="AK313" s="74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81"/>
      <c r="AW313" s="74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81"/>
      <c r="BI313" s="74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81"/>
      <c r="BU313" s="74"/>
      <c r="BV313" s="75"/>
      <c r="BW313" s="75"/>
      <c r="BX313" s="75"/>
      <c r="BY313" s="75"/>
      <c r="BZ313" s="75"/>
      <c r="CA313" s="75"/>
      <c r="CB313" s="75"/>
      <c r="CC313" s="75"/>
      <c r="CD313" s="75"/>
      <c r="CE313" s="75"/>
      <c r="CF313" s="81"/>
      <c r="CG313" s="74"/>
      <c r="CH313" s="75"/>
      <c r="CI313" s="75"/>
      <c r="CJ313" s="75"/>
      <c r="CK313" s="75"/>
      <c r="CL313" s="75"/>
      <c r="CM313" s="75"/>
      <c r="CN313" s="75"/>
      <c r="CO313" s="75"/>
      <c r="CP313" s="75"/>
      <c r="CQ313" s="75"/>
      <c r="CR313" s="81"/>
      <c r="CS313" s="74"/>
      <c r="CT313" s="75"/>
      <c r="CU313" s="75"/>
      <c r="CV313" s="75"/>
      <c r="CW313" s="75"/>
      <c r="CX313" s="75"/>
      <c r="CY313" s="75"/>
      <c r="CZ313" s="75"/>
      <c r="DA313" s="75"/>
      <c r="DB313" s="75"/>
      <c r="DC313" s="75"/>
      <c r="DD313" s="81"/>
      <c r="DE313" s="74"/>
      <c r="DF313" s="75"/>
      <c r="DG313" s="75"/>
      <c r="DH313" s="75"/>
      <c r="DI313" s="75"/>
      <c r="DJ313" s="75"/>
      <c r="DK313" s="75"/>
      <c r="DL313" s="75"/>
      <c r="DM313" s="75"/>
      <c r="DN313" s="75"/>
      <c r="DO313" s="75"/>
      <c r="DP313" s="81"/>
      <c r="DQ313" s="74"/>
      <c r="DR313" s="75"/>
      <c r="DS313" s="75"/>
      <c r="DT313" s="75"/>
      <c r="DU313" s="75"/>
      <c r="DV313" s="75"/>
      <c r="DW313" s="75"/>
      <c r="DX313" s="75"/>
      <c r="DY313" s="75"/>
      <c r="DZ313" s="75"/>
      <c r="EA313" s="75"/>
      <c r="EB313" s="81"/>
      <c r="EC313" s="74"/>
      <c r="ED313" s="75"/>
      <c r="EE313" s="75"/>
      <c r="EF313" s="75"/>
      <c r="EG313" s="75"/>
      <c r="EH313" s="75"/>
      <c r="EI313" s="75"/>
      <c r="EJ313" s="75"/>
      <c r="EK313" s="75"/>
      <c r="EL313" s="75"/>
      <c r="EM313" s="75"/>
      <c r="EN313" s="81"/>
      <c r="EO313" s="74"/>
      <c r="EP313" s="75"/>
      <c r="EQ313" s="75"/>
      <c r="ER313" s="75"/>
      <c r="ES313" s="75"/>
      <c r="ET313" s="75"/>
      <c r="EU313" s="75"/>
      <c r="EV313" s="75"/>
      <c r="EW313" s="75"/>
      <c r="EX313" s="75"/>
      <c r="EY313" s="75"/>
      <c r="EZ313" s="81"/>
      <c r="FA313" s="74"/>
      <c r="FB313" s="75"/>
      <c r="FC313" s="75"/>
      <c r="FD313" s="75"/>
      <c r="FE313" s="75"/>
      <c r="FF313" s="75"/>
      <c r="FG313" s="75"/>
      <c r="FH313" s="75"/>
      <c r="FI313" s="75"/>
      <c r="FJ313" s="75"/>
      <c r="FK313" s="75"/>
      <c r="FL313" s="81"/>
      <c r="FM313" s="74"/>
      <c r="FN313" s="75"/>
      <c r="FO313" s="75"/>
      <c r="FP313" s="75"/>
      <c r="FQ313" s="75"/>
      <c r="FR313" s="75"/>
      <c r="FS313" s="75"/>
      <c r="FT313" s="75"/>
      <c r="FU313" s="75"/>
      <c r="FV313" s="75"/>
      <c r="FW313" s="75"/>
      <c r="FX313" s="81"/>
      <c r="FY313" s="74"/>
      <c r="FZ313" s="75"/>
      <c r="GA313" s="75"/>
      <c r="GB313" s="75"/>
      <c r="GC313" s="75"/>
      <c r="GD313" s="75"/>
      <c r="GE313" s="75"/>
      <c r="GF313" s="75"/>
      <c r="GG313" s="75"/>
      <c r="GH313" s="75"/>
      <c r="GI313" s="75"/>
      <c r="GJ313" s="81"/>
      <c r="GK313" s="74"/>
      <c r="GL313" s="75"/>
      <c r="GM313" s="75"/>
      <c r="GN313" s="75"/>
      <c r="GO313" s="75"/>
      <c r="GP313" s="75"/>
      <c r="GQ313" s="75"/>
      <c r="GR313" s="75"/>
      <c r="GS313" s="75"/>
      <c r="GT313" s="75"/>
      <c r="GU313" s="75"/>
      <c r="GV313" s="81"/>
      <c r="GW313" s="74"/>
      <c r="GX313" s="75"/>
      <c r="GY313" s="75"/>
      <c r="GZ313" s="75"/>
      <c r="HA313" s="75"/>
      <c r="HB313" s="75"/>
      <c r="HC313" s="75"/>
      <c r="HD313" s="75"/>
      <c r="HE313" s="75"/>
      <c r="HF313" s="75"/>
      <c r="HG313" s="75"/>
      <c r="HH313" s="81"/>
      <c r="HI313" s="75"/>
    </row>
    <row r="314" ht="15.0" customHeight="1">
      <c r="A314" s="74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81"/>
      <c r="M314" s="74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81"/>
      <c r="Y314" s="74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81"/>
      <c r="AK314" s="74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81"/>
      <c r="AW314" s="74"/>
      <c r="AX314" s="75"/>
      <c r="AY314" s="75"/>
      <c r="AZ314" s="75"/>
      <c r="BA314" s="75"/>
      <c r="BB314" s="75"/>
      <c r="BC314" s="75"/>
      <c r="BD314" s="75"/>
      <c r="BE314" s="75"/>
      <c r="BF314" s="75"/>
      <c r="BG314" s="75"/>
      <c r="BH314" s="81"/>
      <c r="BI314" s="74"/>
      <c r="BJ314" s="75"/>
      <c r="BK314" s="75"/>
      <c r="BL314" s="75"/>
      <c r="BM314" s="75"/>
      <c r="BN314" s="75"/>
      <c r="BO314" s="75"/>
      <c r="BP314" s="75"/>
      <c r="BQ314" s="75"/>
      <c r="BR314" s="75"/>
      <c r="BS314" s="75"/>
      <c r="BT314" s="81"/>
      <c r="BU314" s="74"/>
      <c r="BV314" s="75"/>
      <c r="BW314" s="75"/>
      <c r="BX314" s="75"/>
      <c r="BY314" s="75"/>
      <c r="BZ314" s="75"/>
      <c r="CA314" s="75"/>
      <c r="CB314" s="75"/>
      <c r="CC314" s="75"/>
      <c r="CD314" s="75"/>
      <c r="CE314" s="75"/>
      <c r="CF314" s="81"/>
      <c r="CG314" s="74"/>
      <c r="CH314" s="75"/>
      <c r="CI314" s="75"/>
      <c r="CJ314" s="75"/>
      <c r="CK314" s="75"/>
      <c r="CL314" s="75"/>
      <c r="CM314" s="75"/>
      <c r="CN314" s="75"/>
      <c r="CO314" s="75"/>
      <c r="CP314" s="75"/>
      <c r="CQ314" s="75"/>
      <c r="CR314" s="81"/>
      <c r="CS314" s="74"/>
      <c r="CT314" s="75"/>
      <c r="CU314" s="75"/>
      <c r="CV314" s="75"/>
      <c r="CW314" s="75"/>
      <c r="CX314" s="75"/>
      <c r="CY314" s="75"/>
      <c r="CZ314" s="75"/>
      <c r="DA314" s="75"/>
      <c r="DB314" s="75"/>
      <c r="DC314" s="75"/>
      <c r="DD314" s="81"/>
      <c r="DE314" s="74"/>
      <c r="DF314" s="75"/>
      <c r="DG314" s="75"/>
      <c r="DH314" s="75"/>
      <c r="DI314" s="75"/>
      <c r="DJ314" s="75"/>
      <c r="DK314" s="75"/>
      <c r="DL314" s="75"/>
      <c r="DM314" s="75"/>
      <c r="DN314" s="75"/>
      <c r="DO314" s="75"/>
      <c r="DP314" s="81"/>
      <c r="DQ314" s="74"/>
      <c r="DR314" s="75"/>
      <c r="DS314" s="75"/>
      <c r="DT314" s="75"/>
      <c r="DU314" s="75"/>
      <c r="DV314" s="75"/>
      <c r="DW314" s="75"/>
      <c r="DX314" s="75"/>
      <c r="DY314" s="75"/>
      <c r="DZ314" s="75"/>
      <c r="EA314" s="75"/>
      <c r="EB314" s="81"/>
      <c r="EC314" s="74"/>
      <c r="ED314" s="75"/>
      <c r="EE314" s="75"/>
      <c r="EF314" s="75"/>
      <c r="EG314" s="75"/>
      <c r="EH314" s="75"/>
      <c r="EI314" s="75"/>
      <c r="EJ314" s="75"/>
      <c r="EK314" s="75"/>
      <c r="EL314" s="75"/>
      <c r="EM314" s="75"/>
      <c r="EN314" s="81"/>
      <c r="EO314" s="74"/>
      <c r="EP314" s="75"/>
      <c r="EQ314" s="75"/>
      <c r="ER314" s="75"/>
      <c r="ES314" s="75"/>
      <c r="ET314" s="75"/>
      <c r="EU314" s="75"/>
      <c r="EV314" s="75"/>
      <c r="EW314" s="75"/>
      <c r="EX314" s="75"/>
      <c r="EY314" s="75"/>
      <c r="EZ314" s="81"/>
      <c r="FA314" s="74"/>
      <c r="FB314" s="75"/>
      <c r="FC314" s="75"/>
      <c r="FD314" s="75"/>
      <c r="FE314" s="75"/>
      <c r="FF314" s="75"/>
      <c r="FG314" s="75"/>
      <c r="FH314" s="75"/>
      <c r="FI314" s="75"/>
      <c r="FJ314" s="75"/>
      <c r="FK314" s="75"/>
      <c r="FL314" s="81"/>
      <c r="FM314" s="74"/>
      <c r="FN314" s="75"/>
      <c r="FO314" s="75"/>
      <c r="FP314" s="75"/>
      <c r="FQ314" s="75"/>
      <c r="FR314" s="75"/>
      <c r="FS314" s="75"/>
      <c r="FT314" s="75"/>
      <c r="FU314" s="75"/>
      <c r="FV314" s="75"/>
      <c r="FW314" s="75"/>
      <c r="FX314" s="81"/>
      <c r="FY314" s="74"/>
      <c r="FZ314" s="75"/>
      <c r="GA314" s="75"/>
      <c r="GB314" s="75"/>
      <c r="GC314" s="75"/>
      <c r="GD314" s="75"/>
      <c r="GE314" s="75"/>
      <c r="GF314" s="75"/>
      <c r="GG314" s="75"/>
      <c r="GH314" s="75"/>
      <c r="GI314" s="75"/>
      <c r="GJ314" s="81"/>
      <c r="GK314" s="74"/>
      <c r="GL314" s="75"/>
      <c r="GM314" s="75"/>
      <c r="GN314" s="75"/>
      <c r="GO314" s="75"/>
      <c r="GP314" s="75"/>
      <c r="GQ314" s="75"/>
      <c r="GR314" s="75"/>
      <c r="GS314" s="75"/>
      <c r="GT314" s="75"/>
      <c r="GU314" s="75"/>
      <c r="GV314" s="81"/>
      <c r="GW314" s="74"/>
      <c r="GX314" s="75"/>
      <c r="GY314" s="75"/>
      <c r="GZ314" s="75"/>
      <c r="HA314" s="75"/>
      <c r="HB314" s="75"/>
      <c r="HC314" s="75"/>
      <c r="HD314" s="75"/>
      <c r="HE314" s="75"/>
      <c r="HF314" s="75"/>
      <c r="HG314" s="75"/>
      <c r="HH314" s="81"/>
      <c r="HI314" s="75"/>
    </row>
    <row r="315" ht="15.0" customHeight="1">
      <c r="A315" s="74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81"/>
      <c r="M315" s="74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81"/>
      <c r="Y315" s="74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81"/>
      <c r="AK315" s="74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81"/>
      <c r="AW315" s="74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81"/>
      <c r="BI315" s="74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81"/>
      <c r="BU315" s="74"/>
      <c r="BV315" s="75"/>
      <c r="BW315" s="75"/>
      <c r="BX315" s="75"/>
      <c r="BY315" s="75"/>
      <c r="BZ315" s="75"/>
      <c r="CA315" s="75"/>
      <c r="CB315" s="75"/>
      <c r="CC315" s="75"/>
      <c r="CD315" s="75"/>
      <c r="CE315" s="75"/>
      <c r="CF315" s="81"/>
      <c r="CG315" s="74"/>
      <c r="CH315" s="75"/>
      <c r="CI315" s="75"/>
      <c r="CJ315" s="75"/>
      <c r="CK315" s="75"/>
      <c r="CL315" s="75"/>
      <c r="CM315" s="75"/>
      <c r="CN315" s="75"/>
      <c r="CO315" s="75"/>
      <c r="CP315" s="75"/>
      <c r="CQ315" s="75"/>
      <c r="CR315" s="81"/>
      <c r="CS315" s="74"/>
      <c r="CT315" s="75"/>
      <c r="CU315" s="75"/>
      <c r="CV315" s="75"/>
      <c r="CW315" s="75"/>
      <c r="CX315" s="75"/>
      <c r="CY315" s="75"/>
      <c r="CZ315" s="75"/>
      <c r="DA315" s="75"/>
      <c r="DB315" s="75"/>
      <c r="DC315" s="75"/>
      <c r="DD315" s="81"/>
      <c r="DE315" s="74"/>
      <c r="DF315" s="75"/>
      <c r="DG315" s="75"/>
      <c r="DH315" s="75"/>
      <c r="DI315" s="75"/>
      <c r="DJ315" s="75"/>
      <c r="DK315" s="75"/>
      <c r="DL315" s="75"/>
      <c r="DM315" s="75"/>
      <c r="DN315" s="75"/>
      <c r="DO315" s="75"/>
      <c r="DP315" s="81"/>
      <c r="DQ315" s="74"/>
      <c r="DR315" s="75"/>
      <c r="DS315" s="75"/>
      <c r="DT315" s="75"/>
      <c r="DU315" s="75"/>
      <c r="DV315" s="75"/>
      <c r="DW315" s="75"/>
      <c r="DX315" s="75"/>
      <c r="DY315" s="75"/>
      <c r="DZ315" s="75"/>
      <c r="EA315" s="75"/>
      <c r="EB315" s="81"/>
      <c r="EC315" s="74"/>
      <c r="ED315" s="75"/>
      <c r="EE315" s="75"/>
      <c r="EF315" s="75"/>
      <c r="EG315" s="75"/>
      <c r="EH315" s="75"/>
      <c r="EI315" s="75"/>
      <c r="EJ315" s="75"/>
      <c r="EK315" s="75"/>
      <c r="EL315" s="75"/>
      <c r="EM315" s="75"/>
      <c r="EN315" s="81"/>
      <c r="EO315" s="74"/>
      <c r="EP315" s="75"/>
      <c r="EQ315" s="75"/>
      <c r="ER315" s="75"/>
      <c r="ES315" s="75"/>
      <c r="ET315" s="75"/>
      <c r="EU315" s="75"/>
      <c r="EV315" s="75"/>
      <c r="EW315" s="75"/>
      <c r="EX315" s="75"/>
      <c r="EY315" s="75"/>
      <c r="EZ315" s="81"/>
      <c r="FA315" s="74"/>
      <c r="FB315" s="75"/>
      <c r="FC315" s="75"/>
      <c r="FD315" s="75"/>
      <c r="FE315" s="75"/>
      <c r="FF315" s="75"/>
      <c r="FG315" s="75"/>
      <c r="FH315" s="75"/>
      <c r="FI315" s="75"/>
      <c r="FJ315" s="75"/>
      <c r="FK315" s="75"/>
      <c r="FL315" s="81"/>
      <c r="FM315" s="74"/>
      <c r="FN315" s="75"/>
      <c r="FO315" s="75"/>
      <c r="FP315" s="75"/>
      <c r="FQ315" s="75"/>
      <c r="FR315" s="75"/>
      <c r="FS315" s="75"/>
      <c r="FT315" s="75"/>
      <c r="FU315" s="75"/>
      <c r="FV315" s="75"/>
      <c r="FW315" s="75"/>
      <c r="FX315" s="81"/>
      <c r="FY315" s="74"/>
      <c r="FZ315" s="75"/>
      <c r="GA315" s="75"/>
      <c r="GB315" s="75"/>
      <c r="GC315" s="75"/>
      <c r="GD315" s="75"/>
      <c r="GE315" s="75"/>
      <c r="GF315" s="75"/>
      <c r="GG315" s="75"/>
      <c r="GH315" s="75"/>
      <c r="GI315" s="75"/>
      <c r="GJ315" s="81"/>
      <c r="GK315" s="74"/>
      <c r="GL315" s="75"/>
      <c r="GM315" s="75"/>
      <c r="GN315" s="75"/>
      <c r="GO315" s="75"/>
      <c r="GP315" s="75"/>
      <c r="GQ315" s="75"/>
      <c r="GR315" s="75"/>
      <c r="GS315" s="75"/>
      <c r="GT315" s="75"/>
      <c r="GU315" s="75"/>
      <c r="GV315" s="81"/>
      <c r="GW315" s="74"/>
      <c r="GX315" s="75"/>
      <c r="GY315" s="75"/>
      <c r="GZ315" s="75"/>
      <c r="HA315" s="75"/>
      <c r="HB315" s="75"/>
      <c r="HC315" s="75"/>
      <c r="HD315" s="75"/>
      <c r="HE315" s="75"/>
      <c r="HF315" s="75"/>
      <c r="HG315" s="75"/>
      <c r="HH315" s="81"/>
      <c r="HI315" s="75"/>
    </row>
    <row r="316" ht="15.0" customHeight="1">
      <c r="A316" s="74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81"/>
      <c r="M316" s="74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81"/>
      <c r="Y316" s="74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81"/>
      <c r="AK316" s="74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81"/>
      <c r="AW316" s="74"/>
      <c r="AX316" s="75"/>
      <c r="AY316" s="75"/>
      <c r="AZ316" s="75"/>
      <c r="BA316" s="75"/>
      <c r="BB316" s="75"/>
      <c r="BC316" s="75"/>
      <c r="BD316" s="75"/>
      <c r="BE316" s="75"/>
      <c r="BF316" s="75"/>
      <c r="BG316" s="75"/>
      <c r="BH316" s="81"/>
      <c r="BI316" s="74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81"/>
      <c r="BU316" s="74"/>
      <c r="BV316" s="75"/>
      <c r="BW316" s="75"/>
      <c r="BX316" s="75"/>
      <c r="BY316" s="75"/>
      <c r="BZ316" s="75"/>
      <c r="CA316" s="75"/>
      <c r="CB316" s="75"/>
      <c r="CC316" s="75"/>
      <c r="CD316" s="75"/>
      <c r="CE316" s="75"/>
      <c r="CF316" s="81"/>
      <c r="CG316" s="74"/>
      <c r="CH316" s="75"/>
      <c r="CI316" s="75"/>
      <c r="CJ316" s="75"/>
      <c r="CK316" s="75"/>
      <c r="CL316" s="75"/>
      <c r="CM316" s="75"/>
      <c r="CN316" s="75"/>
      <c r="CO316" s="75"/>
      <c r="CP316" s="75"/>
      <c r="CQ316" s="75"/>
      <c r="CR316" s="81"/>
      <c r="CS316" s="74"/>
      <c r="CT316" s="75"/>
      <c r="CU316" s="75"/>
      <c r="CV316" s="75"/>
      <c r="CW316" s="75"/>
      <c r="CX316" s="75"/>
      <c r="CY316" s="75"/>
      <c r="CZ316" s="75"/>
      <c r="DA316" s="75"/>
      <c r="DB316" s="75"/>
      <c r="DC316" s="75"/>
      <c r="DD316" s="81"/>
      <c r="DE316" s="74"/>
      <c r="DF316" s="75"/>
      <c r="DG316" s="75"/>
      <c r="DH316" s="75"/>
      <c r="DI316" s="75"/>
      <c r="DJ316" s="75"/>
      <c r="DK316" s="75"/>
      <c r="DL316" s="75"/>
      <c r="DM316" s="75"/>
      <c r="DN316" s="75"/>
      <c r="DO316" s="75"/>
      <c r="DP316" s="81"/>
      <c r="DQ316" s="74"/>
      <c r="DR316" s="75"/>
      <c r="DS316" s="75"/>
      <c r="DT316" s="75"/>
      <c r="DU316" s="75"/>
      <c r="DV316" s="75"/>
      <c r="DW316" s="75"/>
      <c r="DX316" s="75"/>
      <c r="DY316" s="75"/>
      <c r="DZ316" s="75"/>
      <c r="EA316" s="75"/>
      <c r="EB316" s="81"/>
      <c r="EC316" s="74"/>
      <c r="ED316" s="75"/>
      <c r="EE316" s="75"/>
      <c r="EF316" s="75"/>
      <c r="EG316" s="75"/>
      <c r="EH316" s="75"/>
      <c r="EI316" s="75"/>
      <c r="EJ316" s="75"/>
      <c r="EK316" s="75"/>
      <c r="EL316" s="75"/>
      <c r="EM316" s="75"/>
      <c r="EN316" s="81"/>
      <c r="EO316" s="74"/>
      <c r="EP316" s="75"/>
      <c r="EQ316" s="75"/>
      <c r="ER316" s="75"/>
      <c r="ES316" s="75"/>
      <c r="ET316" s="75"/>
      <c r="EU316" s="75"/>
      <c r="EV316" s="75"/>
      <c r="EW316" s="75"/>
      <c r="EX316" s="75"/>
      <c r="EY316" s="75"/>
      <c r="EZ316" s="81"/>
      <c r="FA316" s="74"/>
      <c r="FB316" s="75"/>
      <c r="FC316" s="75"/>
      <c r="FD316" s="75"/>
      <c r="FE316" s="75"/>
      <c r="FF316" s="75"/>
      <c r="FG316" s="75"/>
      <c r="FH316" s="75"/>
      <c r="FI316" s="75"/>
      <c r="FJ316" s="75"/>
      <c r="FK316" s="75"/>
      <c r="FL316" s="81"/>
      <c r="FM316" s="74"/>
      <c r="FN316" s="75"/>
      <c r="FO316" s="75"/>
      <c r="FP316" s="75"/>
      <c r="FQ316" s="75"/>
      <c r="FR316" s="75"/>
      <c r="FS316" s="75"/>
      <c r="FT316" s="75"/>
      <c r="FU316" s="75"/>
      <c r="FV316" s="75"/>
      <c r="FW316" s="75"/>
      <c r="FX316" s="81"/>
      <c r="FY316" s="74"/>
      <c r="FZ316" s="75"/>
      <c r="GA316" s="75"/>
      <c r="GB316" s="75"/>
      <c r="GC316" s="75"/>
      <c r="GD316" s="75"/>
      <c r="GE316" s="75"/>
      <c r="GF316" s="75"/>
      <c r="GG316" s="75"/>
      <c r="GH316" s="75"/>
      <c r="GI316" s="75"/>
      <c r="GJ316" s="81"/>
      <c r="GK316" s="74"/>
      <c r="GL316" s="75"/>
      <c r="GM316" s="75"/>
      <c r="GN316" s="75"/>
      <c r="GO316" s="75"/>
      <c r="GP316" s="75"/>
      <c r="GQ316" s="75"/>
      <c r="GR316" s="75"/>
      <c r="GS316" s="75"/>
      <c r="GT316" s="75"/>
      <c r="GU316" s="75"/>
      <c r="GV316" s="81"/>
      <c r="GW316" s="74"/>
      <c r="GX316" s="75"/>
      <c r="GY316" s="75"/>
      <c r="GZ316" s="75"/>
      <c r="HA316" s="75"/>
      <c r="HB316" s="75"/>
      <c r="HC316" s="75"/>
      <c r="HD316" s="75"/>
      <c r="HE316" s="75"/>
      <c r="HF316" s="75"/>
      <c r="HG316" s="75"/>
      <c r="HH316" s="81"/>
      <c r="HI316" s="75"/>
    </row>
    <row r="317" ht="15.0" customHeight="1">
      <c r="A317" s="74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81"/>
      <c r="M317" s="74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81"/>
      <c r="Y317" s="74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81"/>
      <c r="AK317" s="74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81"/>
      <c r="AW317" s="74"/>
      <c r="AX317" s="75"/>
      <c r="AY317" s="75"/>
      <c r="AZ317" s="75"/>
      <c r="BA317" s="75"/>
      <c r="BB317" s="75"/>
      <c r="BC317" s="75"/>
      <c r="BD317" s="75"/>
      <c r="BE317" s="75"/>
      <c r="BF317" s="75"/>
      <c r="BG317" s="75"/>
      <c r="BH317" s="81"/>
      <c r="BI317" s="74"/>
      <c r="BJ317" s="75"/>
      <c r="BK317" s="75"/>
      <c r="BL317" s="75"/>
      <c r="BM317" s="75"/>
      <c r="BN317" s="75"/>
      <c r="BO317" s="75"/>
      <c r="BP317" s="75"/>
      <c r="BQ317" s="75"/>
      <c r="BR317" s="75"/>
      <c r="BS317" s="75"/>
      <c r="BT317" s="81"/>
      <c r="BU317" s="74"/>
      <c r="BV317" s="75"/>
      <c r="BW317" s="75"/>
      <c r="BX317" s="75"/>
      <c r="BY317" s="75"/>
      <c r="BZ317" s="75"/>
      <c r="CA317" s="75"/>
      <c r="CB317" s="75"/>
      <c r="CC317" s="75"/>
      <c r="CD317" s="75"/>
      <c r="CE317" s="75"/>
      <c r="CF317" s="81"/>
      <c r="CG317" s="74"/>
      <c r="CH317" s="75"/>
      <c r="CI317" s="75"/>
      <c r="CJ317" s="75"/>
      <c r="CK317" s="75"/>
      <c r="CL317" s="75"/>
      <c r="CM317" s="75"/>
      <c r="CN317" s="75"/>
      <c r="CO317" s="75"/>
      <c r="CP317" s="75"/>
      <c r="CQ317" s="75"/>
      <c r="CR317" s="81"/>
      <c r="CS317" s="74"/>
      <c r="CT317" s="75"/>
      <c r="CU317" s="75"/>
      <c r="CV317" s="75"/>
      <c r="CW317" s="75"/>
      <c r="CX317" s="75"/>
      <c r="CY317" s="75"/>
      <c r="CZ317" s="75"/>
      <c r="DA317" s="75"/>
      <c r="DB317" s="75"/>
      <c r="DC317" s="75"/>
      <c r="DD317" s="81"/>
      <c r="DE317" s="74"/>
      <c r="DF317" s="75"/>
      <c r="DG317" s="75"/>
      <c r="DH317" s="75"/>
      <c r="DI317" s="75"/>
      <c r="DJ317" s="75"/>
      <c r="DK317" s="75"/>
      <c r="DL317" s="75"/>
      <c r="DM317" s="75"/>
      <c r="DN317" s="75"/>
      <c r="DO317" s="75"/>
      <c r="DP317" s="81"/>
      <c r="DQ317" s="74"/>
      <c r="DR317" s="75"/>
      <c r="DS317" s="75"/>
      <c r="DT317" s="75"/>
      <c r="DU317" s="75"/>
      <c r="DV317" s="75"/>
      <c r="DW317" s="75"/>
      <c r="DX317" s="75"/>
      <c r="DY317" s="75"/>
      <c r="DZ317" s="75"/>
      <c r="EA317" s="75"/>
      <c r="EB317" s="81"/>
      <c r="EC317" s="74"/>
      <c r="ED317" s="75"/>
      <c r="EE317" s="75"/>
      <c r="EF317" s="75"/>
      <c r="EG317" s="75"/>
      <c r="EH317" s="75"/>
      <c r="EI317" s="75"/>
      <c r="EJ317" s="75"/>
      <c r="EK317" s="75"/>
      <c r="EL317" s="75"/>
      <c r="EM317" s="75"/>
      <c r="EN317" s="81"/>
      <c r="EO317" s="74"/>
      <c r="EP317" s="75"/>
      <c r="EQ317" s="75"/>
      <c r="ER317" s="75"/>
      <c r="ES317" s="75"/>
      <c r="ET317" s="75"/>
      <c r="EU317" s="75"/>
      <c r="EV317" s="75"/>
      <c r="EW317" s="75"/>
      <c r="EX317" s="75"/>
      <c r="EY317" s="75"/>
      <c r="EZ317" s="81"/>
      <c r="FA317" s="74"/>
      <c r="FB317" s="75"/>
      <c r="FC317" s="75"/>
      <c r="FD317" s="75"/>
      <c r="FE317" s="75"/>
      <c r="FF317" s="75"/>
      <c r="FG317" s="75"/>
      <c r="FH317" s="75"/>
      <c r="FI317" s="75"/>
      <c r="FJ317" s="75"/>
      <c r="FK317" s="75"/>
      <c r="FL317" s="81"/>
      <c r="FM317" s="74"/>
      <c r="FN317" s="75"/>
      <c r="FO317" s="75"/>
      <c r="FP317" s="75"/>
      <c r="FQ317" s="75"/>
      <c r="FR317" s="75"/>
      <c r="FS317" s="75"/>
      <c r="FT317" s="75"/>
      <c r="FU317" s="75"/>
      <c r="FV317" s="75"/>
      <c r="FW317" s="75"/>
      <c r="FX317" s="81"/>
      <c r="FY317" s="74"/>
      <c r="FZ317" s="75"/>
      <c r="GA317" s="75"/>
      <c r="GB317" s="75"/>
      <c r="GC317" s="75"/>
      <c r="GD317" s="75"/>
      <c r="GE317" s="75"/>
      <c r="GF317" s="75"/>
      <c r="GG317" s="75"/>
      <c r="GH317" s="75"/>
      <c r="GI317" s="75"/>
      <c r="GJ317" s="81"/>
      <c r="GK317" s="74"/>
      <c r="GL317" s="75"/>
      <c r="GM317" s="75"/>
      <c r="GN317" s="75"/>
      <c r="GO317" s="75"/>
      <c r="GP317" s="75"/>
      <c r="GQ317" s="75"/>
      <c r="GR317" s="75"/>
      <c r="GS317" s="75"/>
      <c r="GT317" s="75"/>
      <c r="GU317" s="75"/>
      <c r="GV317" s="81"/>
      <c r="GW317" s="74"/>
      <c r="GX317" s="75"/>
      <c r="GY317" s="75"/>
      <c r="GZ317" s="75"/>
      <c r="HA317" s="75"/>
      <c r="HB317" s="75"/>
      <c r="HC317" s="75"/>
      <c r="HD317" s="75"/>
      <c r="HE317" s="75"/>
      <c r="HF317" s="75"/>
      <c r="HG317" s="75"/>
      <c r="HH317" s="81"/>
      <c r="HI317" s="75"/>
    </row>
    <row r="318" ht="15.0" customHeight="1">
      <c r="A318" s="74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81"/>
      <c r="M318" s="74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81"/>
      <c r="Y318" s="74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81"/>
      <c r="AK318" s="74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81"/>
      <c r="AW318" s="74"/>
      <c r="AX318" s="75"/>
      <c r="AY318" s="75"/>
      <c r="AZ318" s="75"/>
      <c r="BA318" s="75"/>
      <c r="BB318" s="75"/>
      <c r="BC318" s="75"/>
      <c r="BD318" s="75"/>
      <c r="BE318" s="75"/>
      <c r="BF318" s="75"/>
      <c r="BG318" s="75"/>
      <c r="BH318" s="81"/>
      <c r="BI318" s="74"/>
      <c r="BJ318" s="75"/>
      <c r="BK318" s="75"/>
      <c r="BL318" s="75"/>
      <c r="BM318" s="75"/>
      <c r="BN318" s="75"/>
      <c r="BO318" s="75"/>
      <c r="BP318" s="75"/>
      <c r="BQ318" s="75"/>
      <c r="BR318" s="75"/>
      <c r="BS318" s="75"/>
      <c r="BT318" s="81"/>
      <c r="BU318" s="74"/>
      <c r="BV318" s="75"/>
      <c r="BW318" s="75"/>
      <c r="BX318" s="75"/>
      <c r="BY318" s="75"/>
      <c r="BZ318" s="75"/>
      <c r="CA318" s="75"/>
      <c r="CB318" s="75"/>
      <c r="CC318" s="75"/>
      <c r="CD318" s="75"/>
      <c r="CE318" s="75"/>
      <c r="CF318" s="81"/>
      <c r="CG318" s="74"/>
      <c r="CH318" s="75"/>
      <c r="CI318" s="75"/>
      <c r="CJ318" s="75"/>
      <c r="CK318" s="75"/>
      <c r="CL318" s="75"/>
      <c r="CM318" s="75"/>
      <c r="CN318" s="75"/>
      <c r="CO318" s="75"/>
      <c r="CP318" s="75"/>
      <c r="CQ318" s="75"/>
      <c r="CR318" s="81"/>
      <c r="CS318" s="74"/>
      <c r="CT318" s="75"/>
      <c r="CU318" s="75"/>
      <c r="CV318" s="75"/>
      <c r="CW318" s="75"/>
      <c r="CX318" s="75"/>
      <c r="CY318" s="75"/>
      <c r="CZ318" s="75"/>
      <c r="DA318" s="75"/>
      <c r="DB318" s="75"/>
      <c r="DC318" s="75"/>
      <c r="DD318" s="81"/>
      <c r="DE318" s="74"/>
      <c r="DF318" s="75"/>
      <c r="DG318" s="75"/>
      <c r="DH318" s="75"/>
      <c r="DI318" s="75"/>
      <c r="DJ318" s="75"/>
      <c r="DK318" s="75"/>
      <c r="DL318" s="75"/>
      <c r="DM318" s="75"/>
      <c r="DN318" s="75"/>
      <c r="DO318" s="75"/>
      <c r="DP318" s="81"/>
      <c r="DQ318" s="74"/>
      <c r="DR318" s="75"/>
      <c r="DS318" s="75"/>
      <c r="DT318" s="75"/>
      <c r="DU318" s="75"/>
      <c r="DV318" s="75"/>
      <c r="DW318" s="75"/>
      <c r="DX318" s="75"/>
      <c r="DY318" s="75"/>
      <c r="DZ318" s="75"/>
      <c r="EA318" s="75"/>
      <c r="EB318" s="81"/>
      <c r="EC318" s="74"/>
      <c r="ED318" s="75"/>
      <c r="EE318" s="75"/>
      <c r="EF318" s="75"/>
      <c r="EG318" s="75"/>
      <c r="EH318" s="75"/>
      <c r="EI318" s="75"/>
      <c r="EJ318" s="75"/>
      <c r="EK318" s="75"/>
      <c r="EL318" s="75"/>
      <c r="EM318" s="75"/>
      <c r="EN318" s="81"/>
      <c r="EO318" s="74"/>
      <c r="EP318" s="75"/>
      <c r="EQ318" s="75"/>
      <c r="ER318" s="75"/>
      <c r="ES318" s="75"/>
      <c r="ET318" s="75"/>
      <c r="EU318" s="75"/>
      <c r="EV318" s="75"/>
      <c r="EW318" s="75"/>
      <c r="EX318" s="75"/>
      <c r="EY318" s="75"/>
      <c r="EZ318" s="81"/>
      <c r="FA318" s="74"/>
      <c r="FB318" s="75"/>
      <c r="FC318" s="75"/>
      <c r="FD318" s="75"/>
      <c r="FE318" s="75"/>
      <c r="FF318" s="75"/>
      <c r="FG318" s="75"/>
      <c r="FH318" s="75"/>
      <c r="FI318" s="75"/>
      <c r="FJ318" s="75"/>
      <c r="FK318" s="75"/>
      <c r="FL318" s="81"/>
      <c r="FM318" s="74"/>
      <c r="FN318" s="75"/>
      <c r="FO318" s="75"/>
      <c r="FP318" s="75"/>
      <c r="FQ318" s="75"/>
      <c r="FR318" s="75"/>
      <c r="FS318" s="75"/>
      <c r="FT318" s="75"/>
      <c r="FU318" s="75"/>
      <c r="FV318" s="75"/>
      <c r="FW318" s="75"/>
      <c r="FX318" s="81"/>
      <c r="FY318" s="74"/>
      <c r="FZ318" s="75"/>
      <c r="GA318" s="75"/>
      <c r="GB318" s="75"/>
      <c r="GC318" s="75"/>
      <c r="GD318" s="75"/>
      <c r="GE318" s="75"/>
      <c r="GF318" s="75"/>
      <c r="GG318" s="75"/>
      <c r="GH318" s="75"/>
      <c r="GI318" s="75"/>
      <c r="GJ318" s="81"/>
      <c r="GK318" s="74"/>
      <c r="GL318" s="75"/>
      <c r="GM318" s="75"/>
      <c r="GN318" s="75"/>
      <c r="GO318" s="75"/>
      <c r="GP318" s="75"/>
      <c r="GQ318" s="75"/>
      <c r="GR318" s="75"/>
      <c r="GS318" s="75"/>
      <c r="GT318" s="75"/>
      <c r="GU318" s="75"/>
      <c r="GV318" s="81"/>
      <c r="GW318" s="74"/>
      <c r="GX318" s="75"/>
      <c r="GY318" s="75"/>
      <c r="GZ318" s="75"/>
      <c r="HA318" s="75"/>
      <c r="HB318" s="75"/>
      <c r="HC318" s="75"/>
      <c r="HD318" s="75"/>
      <c r="HE318" s="75"/>
      <c r="HF318" s="75"/>
      <c r="HG318" s="75"/>
      <c r="HH318" s="81"/>
      <c r="HI318" s="75"/>
    </row>
    <row r="319" ht="15.0" customHeight="1">
      <c r="A319" s="74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81"/>
      <c r="M319" s="74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81"/>
      <c r="Y319" s="74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81"/>
      <c r="AK319" s="74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81"/>
      <c r="AW319" s="74"/>
      <c r="AX319" s="75"/>
      <c r="AY319" s="75"/>
      <c r="AZ319" s="75"/>
      <c r="BA319" s="75"/>
      <c r="BB319" s="75"/>
      <c r="BC319" s="75"/>
      <c r="BD319" s="75"/>
      <c r="BE319" s="75"/>
      <c r="BF319" s="75"/>
      <c r="BG319" s="75"/>
      <c r="BH319" s="81"/>
      <c r="BI319" s="74"/>
      <c r="BJ319" s="75"/>
      <c r="BK319" s="75"/>
      <c r="BL319" s="75"/>
      <c r="BM319" s="75"/>
      <c r="BN319" s="75"/>
      <c r="BO319" s="75"/>
      <c r="BP319" s="75"/>
      <c r="BQ319" s="75"/>
      <c r="BR319" s="75"/>
      <c r="BS319" s="75"/>
      <c r="BT319" s="81"/>
      <c r="BU319" s="74"/>
      <c r="BV319" s="75"/>
      <c r="BW319" s="75"/>
      <c r="BX319" s="75"/>
      <c r="BY319" s="75"/>
      <c r="BZ319" s="75"/>
      <c r="CA319" s="75"/>
      <c r="CB319" s="75"/>
      <c r="CC319" s="75"/>
      <c r="CD319" s="75"/>
      <c r="CE319" s="75"/>
      <c r="CF319" s="81"/>
      <c r="CG319" s="74"/>
      <c r="CH319" s="75"/>
      <c r="CI319" s="75"/>
      <c r="CJ319" s="75"/>
      <c r="CK319" s="75"/>
      <c r="CL319" s="75"/>
      <c r="CM319" s="75"/>
      <c r="CN319" s="75"/>
      <c r="CO319" s="75"/>
      <c r="CP319" s="75"/>
      <c r="CQ319" s="75"/>
      <c r="CR319" s="81"/>
      <c r="CS319" s="74"/>
      <c r="CT319" s="75"/>
      <c r="CU319" s="75"/>
      <c r="CV319" s="75"/>
      <c r="CW319" s="75"/>
      <c r="CX319" s="75"/>
      <c r="CY319" s="75"/>
      <c r="CZ319" s="75"/>
      <c r="DA319" s="75"/>
      <c r="DB319" s="75"/>
      <c r="DC319" s="75"/>
      <c r="DD319" s="81"/>
      <c r="DE319" s="74"/>
      <c r="DF319" s="75"/>
      <c r="DG319" s="75"/>
      <c r="DH319" s="75"/>
      <c r="DI319" s="75"/>
      <c r="DJ319" s="75"/>
      <c r="DK319" s="75"/>
      <c r="DL319" s="75"/>
      <c r="DM319" s="75"/>
      <c r="DN319" s="75"/>
      <c r="DO319" s="75"/>
      <c r="DP319" s="81"/>
      <c r="DQ319" s="74"/>
      <c r="DR319" s="75"/>
      <c r="DS319" s="75"/>
      <c r="DT319" s="75"/>
      <c r="DU319" s="75"/>
      <c r="DV319" s="75"/>
      <c r="DW319" s="75"/>
      <c r="DX319" s="75"/>
      <c r="DY319" s="75"/>
      <c r="DZ319" s="75"/>
      <c r="EA319" s="75"/>
      <c r="EB319" s="81"/>
      <c r="EC319" s="74"/>
      <c r="ED319" s="75"/>
      <c r="EE319" s="75"/>
      <c r="EF319" s="75"/>
      <c r="EG319" s="75"/>
      <c r="EH319" s="75"/>
      <c r="EI319" s="75"/>
      <c r="EJ319" s="75"/>
      <c r="EK319" s="75"/>
      <c r="EL319" s="75"/>
      <c r="EM319" s="75"/>
      <c r="EN319" s="81"/>
      <c r="EO319" s="74"/>
      <c r="EP319" s="75"/>
      <c r="EQ319" s="75"/>
      <c r="ER319" s="75"/>
      <c r="ES319" s="75"/>
      <c r="ET319" s="75"/>
      <c r="EU319" s="75"/>
      <c r="EV319" s="75"/>
      <c r="EW319" s="75"/>
      <c r="EX319" s="75"/>
      <c r="EY319" s="75"/>
      <c r="EZ319" s="81"/>
      <c r="FA319" s="74"/>
      <c r="FB319" s="75"/>
      <c r="FC319" s="75"/>
      <c r="FD319" s="75"/>
      <c r="FE319" s="75"/>
      <c r="FF319" s="75"/>
      <c r="FG319" s="75"/>
      <c r="FH319" s="75"/>
      <c r="FI319" s="75"/>
      <c r="FJ319" s="75"/>
      <c r="FK319" s="75"/>
      <c r="FL319" s="81"/>
      <c r="FM319" s="74"/>
      <c r="FN319" s="75"/>
      <c r="FO319" s="75"/>
      <c r="FP319" s="75"/>
      <c r="FQ319" s="75"/>
      <c r="FR319" s="75"/>
      <c r="FS319" s="75"/>
      <c r="FT319" s="75"/>
      <c r="FU319" s="75"/>
      <c r="FV319" s="75"/>
      <c r="FW319" s="75"/>
      <c r="FX319" s="81"/>
      <c r="FY319" s="74"/>
      <c r="FZ319" s="75"/>
      <c r="GA319" s="75"/>
      <c r="GB319" s="75"/>
      <c r="GC319" s="75"/>
      <c r="GD319" s="75"/>
      <c r="GE319" s="75"/>
      <c r="GF319" s="75"/>
      <c r="GG319" s="75"/>
      <c r="GH319" s="75"/>
      <c r="GI319" s="75"/>
      <c r="GJ319" s="81"/>
      <c r="GK319" s="74"/>
      <c r="GL319" s="75"/>
      <c r="GM319" s="75"/>
      <c r="GN319" s="75"/>
      <c r="GO319" s="75"/>
      <c r="GP319" s="75"/>
      <c r="GQ319" s="75"/>
      <c r="GR319" s="75"/>
      <c r="GS319" s="75"/>
      <c r="GT319" s="75"/>
      <c r="GU319" s="75"/>
      <c r="GV319" s="81"/>
      <c r="GW319" s="74"/>
      <c r="GX319" s="75"/>
      <c r="GY319" s="75"/>
      <c r="GZ319" s="75"/>
      <c r="HA319" s="75"/>
      <c r="HB319" s="75"/>
      <c r="HC319" s="75"/>
      <c r="HD319" s="75"/>
      <c r="HE319" s="75"/>
      <c r="HF319" s="75"/>
      <c r="HG319" s="75"/>
      <c r="HH319" s="81"/>
      <c r="HI319" s="75"/>
    </row>
    <row r="320" ht="15.0" customHeight="1">
      <c r="A320" s="74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81"/>
      <c r="M320" s="74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81"/>
      <c r="Y320" s="74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81"/>
      <c r="AK320" s="74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81"/>
      <c r="AW320" s="74"/>
      <c r="AX320" s="75"/>
      <c r="AY320" s="75"/>
      <c r="AZ320" s="75"/>
      <c r="BA320" s="75"/>
      <c r="BB320" s="75"/>
      <c r="BC320" s="75"/>
      <c r="BD320" s="75"/>
      <c r="BE320" s="75"/>
      <c r="BF320" s="75"/>
      <c r="BG320" s="75"/>
      <c r="BH320" s="81"/>
      <c r="BI320" s="74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81"/>
      <c r="BU320" s="74"/>
      <c r="BV320" s="75"/>
      <c r="BW320" s="75"/>
      <c r="BX320" s="75"/>
      <c r="BY320" s="75"/>
      <c r="BZ320" s="75"/>
      <c r="CA320" s="75"/>
      <c r="CB320" s="75"/>
      <c r="CC320" s="75"/>
      <c r="CD320" s="75"/>
      <c r="CE320" s="75"/>
      <c r="CF320" s="81"/>
      <c r="CG320" s="74"/>
      <c r="CH320" s="75"/>
      <c r="CI320" s="75"/>
      <c r="CJ320" s="75"/>
      <c r="CK320" s="75"/>
      <c r="CL320" s="75"/>
      <c r="CM320" s="75"/>
      <c r="CN320" s="75"/>
      <c r="CO320" s="75"/>
      <c r="CP320" s="75"/>
      <c r="CQ320" s="75"/>
      <c r="CR320" s="81"/>
      <c r="CS320" s="74"/>
      <c r="CT320" s="75"/>
      <c r="CU320" s="75"/>
      <c r="CV320" s="75"/>
      <c r="CW320" s="75"/>
      <c r="CX320" s="75"/>
      <c r="CY320" s="75"/>
      <c r="CZ320" s="75"/>
      <c r="DA320" s="75"/>
      <c r="DB320" s="75"/>
      <c r="DC320" s="75"/>
      <c r="DD320" s="81"/>
      <c r="DE320" s="74"/>
      <c r="DF320" s="75"/>
      <c r="DG320" s="75"/>
      <c r="DH320" s="75"/>
      <c r="DI320" s="75"/>
      <c r="DJ320" s="75"/>
      <c r="DK320" s="75"/>
      <c r="DL320" s="75"/>
      <c r="DM320" s="75"/>
      <c r="DN320" s="75"/>
      <c r="DO320" s="75"/>
      <c r="DP320" s="81"/>
      <c r="DQ320" s="74"/>
      <c r="DR320" s="75"/>
      <c r="DS320" s="75"/>
      <c r="DT320" s="75"/>
      <c r="DU320" s="75"/>
      <c r="DV320" s="75"/>
      <c r="DW320" s="75"/>
      <c r="DX320" s="75"/>
      <c r="DY320" s="75"/>
      <c r="DZ320" s="75"/>
      <c r="EA320" s="75"/>
      <c r="EB320" s="81"/>
      <c r="EC320" s="74"/>
      <c r="ED320" s="75"/>
      <c r="EE320" s="75"/>
      <c r="EF320" s="75"/>
      <c r="EG320" s="75"/>
      <c r="EH320" s="75"/>
      <c r="EI320" s="75"/>
      <c r="EJ320" s="75"/>
      <c r="EK320" s="75"/>
      <c r="EL320" s="75"/>
      <c r="EM320" s="75"/>
      <c r="EN320" s="81"/>
      <c r="EO320" s="74"/>
      <c r="EP320" s="75"/>
      <c r="EQ320" s="75"/>
      <c r="ER320" s="75"/>
      <c r="ES320" s="75"/>
      <c r="ET320" s="75"/>
      <c r="EU320" s="75"/>
      <c r="EV320" s="75"/>
      <c r="EW320" s="75"/>
      <c r="EX320" s="75"/>
      <c r="EY320" s="75"/>
      <c r="EZ320" s="81"/>
      <c r="FA320" s="74"/>
      <c r="FB320" s="75"/>
      <c r="FC320" s="75"/>
      <c r="FD320" s="75"/>
      <c r="FE320" s="75"/>
      <c r="FF320" s="75"/>
      <c r="FG320" s="75"/>
      <c r="FH320" s="75"/>
      <c r="FI320" s="75"/>
      <c r="FJ320" s="75"/>
      <c r="FK320" s="75"/>
      <c r="FL320" s="81"/>
      <c r="FM320" s="74"/>
      <c r="FN320" s="75"/>
      <c r="FO320" s="75"/>
      <c r="FP320" s="75"/>
      <c r="FQ320" s="75"/>
      <c r="FR320" s="75"/>
      <c r="FS320" s="75"/>
      <c r="FT320" s="75"/>
      <c r="FU320" s="75"/>
      <c r="FV320" s="75"/>
      <c r="FW320" s="75"/>
      <c r="FX320" s="81"/>
      <c r="FY320" s="74"/>
      <c r="FZ320" s="75"/>
      <c r="GA320" s="75"/>
      <c r="GB320" s="75"/>
      <c r="GC320" s="75"/>
      <c r="GD320" s="75"/>
      <c r="GE320" s="75"/>
      <c r="GF320" s="75"/>
      <c r="GG320" s="75"/>
      <c r="GH320" s="75"/>
      <c r="GI320" s="75"/>
      <c r="GJ320" s="81"/>
      <c r="GK320" s="74"/>
      <c r="GL320" s="75"/>
      <c r="GM320" s="75"/>
      <c r="GN320" s="75"/>
      <c r="GO320" s="75"/>
      <c r="GP320" s="75"/>
      <c r="GQ320" s="75"/>
      <c r="GR320" s="75"/>
      <c r="GS320" s="75"/>
      <c r="GT320" s="75"/>
      <c r="GU320" s="75"/>
      <c r="GV320" s="81"/>
      <c r="GW320" s="74"/>
      <c r="GX320" s="75"/>
      <c r="GY320" s="75"/>
      <c r="GZ320" s="75"/>
      <c r="HA320" s="75"/>
      <c r="HB320" s="75"/>
      <c r="HC320" s="75"/>
      <c r="HD320" s="75"/>
      <c r="HE320" s="75"/>
      <c r="HF320" s="75"/>
      <c r="HG320" s="75"/>
      <c r="HH320" s="81"/>
      <c r="HI320" s="75"/>
    </row>
    <row r="321" ht="15.0" customHeight="1">
      <c r="A321" s="74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81"/>
      <c r="M321" s="74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81"/>
      <c r="Y321" s="74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81"/>
      <c r="AK321" s="74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81"/>
      <c r="AW321" s="74"/>
      <c r="AX321" s="75"/>
      <c r="AY321" s="75"/>
      <c r="AZ321" s="75"/>
      <c r="BA321" s="75"/>
      <c r="BB321" s="75"/>
      <c r="BC321" s="75"/>
      <c r="BD321" s="75"/>
      <c r="BE321" s="75"/>
      <c r="BF321" s="75"/>
      <c r="BG321" s="75"/>
      <c r="BH321" s="81"/>
      <c r="BI321" s="74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81"/>
      <c r="BU321" s="74"/>
      <c r="BV321" s="75"/>
      <c r="BW321" s="75"/>
      <c r="BX321" s="75"/>
      <c r="BY321" s="75"/>
      <c r="BZ321" s="75"/>
      <c r="CA321" s="75"/>
      <c r="CB321" s="75"/>
      <c r="CC321" s="75"/>
      <c r="CD321" s="75"/>
      <c r="CE321" s="75"/>
      <c r="CF321" s="81"/>
      <c r="CG321" s="74"/>
      <c r="CH321" s="75"/>
      <c r="CI321" s="75"/>
      <c r="CJ321" s="75"/>
      <c r="CK321" s="75"/>
      <c r="CL321" s="75"/>
      <c r="CM321" s="75"/>
      <c r="CN321" s="75"/>
      <c r="CO321" s="75"/>
      <c r="CP321" s="75"/>
      <c r="CQ321" s="75"/>
      <c r="CR321" s="81"/>
      <c r="CS321" s="74"/>
      <c r="CT321" s="75"/>
      <c r="CU321" s="75"/>
      <c r="CV321" s="75"/>
      <c r="CW321" s="75"/>
      <c r="CX321" s="75"/>
      <c r="CY321" s="75"/>
      <c r="CZ321" s="75"/>
      <c r="DA321" s="75"/>
      <c r="DB321" s="75"/>
      <c r="DC321" s="75"/>
      <c r="DD321" s="81"/>
      <c r="DE321" s="74"/>
      <c r="DF321" s="75"/>
      <c r="DG321" s="75"/>
      <c r="DH321" s="75"/>
      <c r="DI321" s="75"/>
      <c r="DJ321" s="75"/>
      <c r="DK321" s="75"/>
      <c r="DL321" s="75"/>
      <c r="DM321" s="75"/>
      <c r="DN321" s="75"/>
      <c r="DO321" s="75"/>
      <c r="DP321" s="81"/>
      <c r="DQ321" s="74"/>
      <c r="DR321" s="75"/>
      <c r="DS321" s="75"/>
      <c r="DT321" s="75"/>
      <c r="DU321" s="75"/>
      <c r="DV321" s="75"/>
      <c r="DW321" s="75"/>
      <c r="DX321" s="75"/>
      <c r="DY321" s="75"/>
      <c r="DZ321" s="75"/>
      <c r="EA321" s="75"/>
      <c r="EB321" s="81"/>
      <c r="EC321" s="74"/>
      <c r="ED321" s="75"/>
      <c r="EE321" s="75"/>
      <c r="EF321" s="75"/>
      <c r="EG321" s="75"/>
      <c r="EH321" s="75"/>
      <c r="EI321" s="75"/>
      <c r="EJ321" s="75"/>
      <c r="EK321" s="75"/>
      <c r="EL321" s="75"/>
      <c r="EM321" s="75"/>
      <c r="EN321" s="81"/>
      <c r="EO321" s="74"/>
      <c r="EP321" s="75"/>
      <c r="EQ321" s="75"/>
      <c r="ER321" s="75"/>
      <c r="ES321" s="75"/>
      <c r="ET321" s="75"/>
      <c r="EU321" s="75"/>
      <c r="EV321" s="75"/>
      <c r="EW321" s="75"/>
      <c r="EX321" s="75"/>
      <c r="EY321" s="75"/>
      <c r="EZ321" s="81"/>
      <c r="FA321" s="74"/>
      <c r="FB321" s="75"/>
      <c r="FC321" s="75"/>
      <c r="FD321" s="75"/>
      <c r="FE321" s="75"/>
      <c r="FF321" s="75"/>
      <c r="FG321" s="75"/>
      <c r="FH321" s="75"/>
      <c r="FI321" s="75"/>
      <c r="FJ321" s="75"/>
      <c r="FK321" s="75"/>
      <c r="FL321" s="81"/>
      <c r="FM321" s="74"/>
      <c r="FN321" s="75"/>
      <c r="FO321" s="75"/>
      <c r="FP321" s="75"/>
      <c r="FQ321" s="75"/>
      <c r="FR321" s="75"/>
      <c r="FS321" s="75"/>
      <c r="FT321" s="75"/>
      <c r="FU321" s="75"/>
      <c r="FV321" s="75"/>
      <c r="FW321" s="75"/>
      <c r="FX321" s="81"/>
      <c r="FY321" s="74"/>
      <c r="FZ321" s="75"/>
      <c r="GA321" s="75"/>
      <c r="GB321" s="75"/>
      <c r="GC321" s="75"/>
      <c r="GD321" s="75"/>
      <c r="GE321" s="75"/>
      <c r="GF321" s="75"/>
      <c r="GG321" s="75"/>
      <c r="GH321" s="75"/>
      <c r="GI321" s="75"/>
      <c r="GJ321" s="81"/>
      <c r="GK321" s="74"/>
      <c r="GL321" s="75"/>
      <c r="GM321" s="75"/>
      <c r="GN321" s="75"/>
      <c r="GO321" s="75"/>
      <c r="GP321" s="75"/>
      <c r="GQ321" s="75"/>
      <c r="GR321" s="75"/>
      <c r="GS321" s="75"/>
      <c r="GT321" s="75"/>
      <c r="GU321" s="75"/>
      <c r="GV321" s="81"/>
      <c r="GW321" s="74"/>
      <c r="GX321" s="75"/>
      <c r="GY321" s="75"/>
      <c r="GZ321" s="75"/>
      <c r="HA321" s="75"/>
      <c r="HB321" s="75"/>
      <c r="HC321" s="75"/>
      <c r="HD321" s="75"/>
      <c r="HE321" s="75"/>
      <c r="HF321" s="75"/>
      <c r="HG321" s="75"/>
      <c r="HH321" s="81"/>
      <c r="HI321" s="75"/>
    </row>
    <row r="322" ht="15.0" customHeight="1">
      <c r="A322" s="74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81"/>
      <c r="M322" s="74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81"/>
      <c r="Y322" s="74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81"/>
      <c r="AK322" s="74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81"/>
      <c r="AW322" s="74"/>
      <c r="AX322" s="75"/>
      <c r="AY322" s="75"/>
      <c r="AZ322" s="75"/>
      <c r="BA322" s="75"/>
      <c r="BB322" s="75"/>
      <c r="BC322" s="75"/>
      <c r="BD322" s="75"/>
      <c r="BE322" s="75"/>
      <c r="BF322" s="75"/>
      <c r="BG322" s="75"/>
      <c r="BH322" s="81"/>
      <c r="BI322" s="74"/>
      <c r="BJ322" s="75"/>
      <c r="BK322" s="75"/>
      <c r="BL322" s="75"/>
      <c r="BM322" s="75"/>
      <c r="BN322" s="75"/>
      <c r="BO322" s="75"/>
      <c r="BP322" s="75"/>
      <c r="BQ322" s="75"/>
      <c r="BR322" s="75"/>
      <c r="BS322" s="75"/>
      <c r="BT322" s="81"/>
      <c r="BU322" s="74"/>
      <c r="BV322" s="75"/>
      <c r="BW322" s="75"/>
      <c r="BX322" s="75"/>
      <c r="BY322" s="75"/>
      <c r="BZ322" s="75"/>
      <c r="CA322" s="75"/>
      <c r="CB322" s="75"/>
      <c r="CC322" s="75"/>
      <c r="CD322" s="75"/>
      <c r="CE322" s="75"/>
      <c r="CF322" s="81"/>
      <c r="CG322" s="74"/>
      <c r="CH322" s="75"/>
      <c r="CI322" s="75"/>
      <c r="CJ322" s="75"/>
      <c r="CK322" s="75"/>
      <c r="CL322" s="75"/>
      <c r="CM322" s="75"/>
      <c r="CN322" s="75"/>
      <c r="CO322" s="75"/>
      <c r="CP322" s="75"/>
      <c r="CQ322" s="75"/>
      <c r="CR322" s="81"/>
      <c r="CS322" s="74"/>
      <c r="CT322" s="75"/>
      <c r="CU322" s="75"/>
      <c r="CV322" s="75"/>
      <c r="CW322" s="75"/>
      <c r="CX322" s="75"/>
      <c r="CY322" s="75"/>
      <c r="CZ322" s="75"/>
      <c r="DA322" s="75"/>
      <c r="DB322" s="75"/>
      <c r="DC322" s="75"/>
      <c r="DD322" s="81"/>
      <c r="DE322" s="74"/>
      <c r="DF322" s="75"/>
      <c r="DG322" s="75"/>
      <c r="DH322" s="75"/>
      <c r="DI322" s="75"/>
      <c r="DJ322" s="75"/>
      <c r="DK322" s="75"/>
      <c r="DL322" s="75"/>
      <c r="DM322" s="75"/>
      <c r="DN322" s="75"/>
      <c r="DO322" s="75"/>
      <c r="DP322" s="81"/>
      <c r="DQ322" s="74"/>
      <c r="DR322" s="75"/>
      <c r="DS322" s="75"/>
      <c r="DT322" s="75"/>
      <c r="DU322" s="75"/>
      <c r="DV322" s="75"/>
      <c r="DW322" s="75"/>
      <c r="DX322" s="75"/>
      <c r="DY322" s="75"/>
      <c r="DZ322" s="75"/>
      <c r="EA322" s="75"/>
      <c r="EB322" s="81"/>
      <c r="EC322" s="74"/>
      <c r="ED322" s="75"/>
      <c r="EE322" s="75"/>
      <c r="EF322" s="75"/>
      <c r="EG322" s="75"/>
      <c r="EH322" s="75"/>
      <c r="EI322" s="75"/>
      <c r="EJ322" s="75"/>
      <c r="EK322" s="75"/>
      <c r="EL322" s="75"/>
      <c r="EM322" s="75"/>
      <c r="EN322" s="81"/>
      <c r="EO322" s="74"/>
      <c r="EP322" s="75"/>
      <c r="EQ322" s="75"/>
      <c r="ER322" s="75"/>
      <c r="ES322" s="75"/>
      <c r="ET322" s="75"/>
      <c r="EU322" s="75"/>
      <c r="EV322" s="75"/>
      <c r="EW322" s="75"/>
      <c r="EX322" s="75"/>
      <c r="EY322" s="75"/>
      <c r="EZ322" s="81"/>
      <c r="FA322" s="74"/>
      <c r="FB322" s="75"/>
      <c r="FC322" s="75"/>
      <c r="FD322" s="75"/>
      <c r="FE322" s="75"/>
      <c r="FF322" s="75"/>
      <c r="FG322" s="75"/>
      <c r="FH322" s="75"/>
      <c r="FI322" s="75"/>
      <c r="FJ322" s="75"/>
      <c r="FK322" s="75"/>
      <c r="FL322" s="81"/>
      <c r="FM322" s="74"/>
      <c r="FN322" s="75"/>
      <c r="FO322" s="75"/>
      <c r="FP322" s="75"/>
      <c r="FQ322" s="75"/>
      <c r="FR322" s="75"/>
      <c r="FS322" s="75"/>
      <c r="FT322" s="75"/>
      <c r="FU322" s="75"/>
      <c r="FV322" s="75"/>
      <c r="FW322" s="75"/>
      <c r="FX322" s="81"/>
      <c r="FY322" s="74"/>
      <c r="FZ322" s="75"/>
      <c r="GA322" s="75"/>
      <c r="GB322" s="75"/>
      <c r="GC322" s="75"/>
      <c r="GD322" s="75"/>
      <c r="GE322" s="75"/>
      <c r="GF322" s="75"/>
      <c r="GG322" s="75"/>
      <c r="GH322" s="75"/>
      <c r="GI322" s="75"/>
      <c r="GJ322" s="81"/>
      <c r="GK322" s="74"/>
      <c r="GL322" s="75"/>
      <c r="GM322" s="75"/>
      <c r="GN322" s="75"/>
      <c r="GO322" s="75"/>
      <c r="GP322" s="75"/>
      <c r="GQ322" s="75"/>
      <c r="GR322" s="75"/>
      <c r="GS322" s="75"/>
      <c r="GT322" s="75"/>
      <c r="GU322" s="75"/>
      <c r="GV322" s="81"/>
      <c r="GW322" s="74"/>
      <c r="GX322" s="75"/>
      <c r="GY322" s="75"/>
      <c r="GZ322" s="75"/>
      <c r="HA322" s="75"/>
      <c r="HB322" s="75"/>
      <c r="HC322" s="75"/>
      <c r="HD322" s="75"/>
      <c r="HE322" s="75"/>
      <c r="HF322" s="75"/>
      <c r="HG322" s="75"/>
      <c r="HH322" s="81"/>
      <c r="HI322" s="75"/>
    </row>
    <row r="323" ht="15.0" customHeight="1">
      <c r="A323" s="74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81"/>
      <c r="M323" s="74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81"/>
      <c r="Y323" s="74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81"/>
      <c r="AK323" s="74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81"/>
      <c r="AW323" s="74"/>
      <c r="AX323" s="75"/>
      <c r="AY323" s="75"/>
      <c r="AZ323" s="75"/>
      <c r="BA323" s="75"/>
      <c r="BB323" s="75"/>
      <c r="BC323" s="75"/>
      <c r="BD323" s="75"/>
      <c r="BE323" s="75"/>
      <c r="BF323" s="75"/>
      <c r="BG323" s="75"/>
      <c r="BH323" s="81"/>
      <c r="BI323" s="74"/>
      <c r="BJ323" s="75"/>
      <c r="BK323" s="75"/>
      <c r="BL323" s="75"/>
      <c r="BM323" s="75"/>
      <c r="BN323" s="75"/>
      <c r="BO323" s="75"/>
      <c r="BP323" s="75"/>
      <c r="BQ323" s="75"/>
      <c r="BR323" s="75"/>
      <c r="BS323" s="75"/>
      <c r="BT323" s="81"/>
      <c r="BU323" s="74"/>
      <c r="BV323" s="75"/>
      <c r="BW323" s="75"/>
      <c r="BX323" s="75"/>
      <c r="BY323" s="75"/>
      <c r="BZ323" s="75"/>
      <c r="CA323" s="75"/>
      <c r="CB323" s="75"/>
      <c r="CC323" s="75"/>
      <c r="CD323" s="75"/>
      <c r="CE323" s="75"/>
      <c r="CF323" s="81"/>
      <c r="CG323" s="74"/>
      <c r="CH323" s="75"/>
      <c r="CI323" s="75"/>
      <c r="CJ323" s="75"/>
      <c r="CK323" s="75"/>
      <c r="CL323" s="75"/>
      <c r="CM323" s="75"/>
      <c r="CN323" s="75"/>
      <c r="CO323" s="75"/>
      <c r="CP323" s="75"/>
      <c r="CQ323" s="75"/>
      <c r="CR323" s="81"/>
      <c r="CS323" s="74"/>
      <c r="CT323" s="75"/>
      <c r="CU323" s="75"/>
      <c r="CV323" s="75"/>
      <c r="CW323" s="75"/>
      <c r="CX323" s="75"/>
      <c r="CY323" s="75"/>
      <c r="CZ323" s="75"/>
      <c r="DA323" s="75"/>
      <c r="DB323" s="75"/>
      <c r="DC323" s="75"/>
      <c r="DD323" s="81"/>
      <c r="DE323" s="74"/>
      <c r="DF323" s="75"/>
      <c r="DG323" s="75"/>
      <c r="DH323" s="75"/>
      <c r="DI323" s="75"/>
      <c r="DJ323" s="75"/>
      <c r="DK323" s="75"/>
      <c r="DL323" s="75"/>
      <c r="DM323" s="75"/>
      <c r="DN323" s="75"/>
      <c r="DO323" s="75"/>
      <c r="DP323" s="81"/>
      <c r="DQ323" s="74"/>
      <c r="DR323" s="75"/>
      <c r="DS323" s="75"/>
      <c r="DT323" s="75"/>
      <c r="DU323" s="75"/>
      <c r="DV323" s="75"/>
      <c r="DW323" s="75"/>
      <c r="DX323" s="75"/>
      <c r="DY323" s="75"/>
      <c r="DZ323" s="75"/>
      <c r="EA323" s="75"/>
      <c r="EB323" s="81"/>
      <c r="EC323" s="74"/>
      <c r="ED323" s="75"/>
      <c r="EE323" s="75"/>
      <c r="EF323" s="75"/>
      <c r="EG323" s="75"/>
      <c r="EH323" s="75"/>
      <c r="EI323" s="75"/>
      <c r="EJ323" s="75"/>
      <c r="EK323" s="75"/>
      <c r="EL323" s="75"/>
      <c r="EM323" s="75"/>
      <c r="EN323" s="81"/>
      <c r="EO323" s="74"/>
      <c r="EP323" s="75"/>
      <c r="EQ323" s="75"/>
      <c r="ER323" s="75"/>
      <c r="ES323" s="75"/>
      <c r="ET323" s="75"/>
      <c r="EU323" s="75"/>
      <c r="EV323" s="75"/>
      <c r="EW323" s="75"/>
      <c r="EX323" s="75"/>
      <c r="EY323" s="75"/>
      <c r="EZ323" s="81"/>
      <c r="FA323" s="74"/>
      <c r="FB323" s="75"/>
      <c r="FC323" s="75"/>
      <c r="FD323" s="75"/>
      <c r="FE323" s="75"/>
      <c r="FF323" s="75"/>
      <c r="FG323" s="75"/>
      <c r="FH323" s="75"/>
      <c r="FI323" s="75"/>
      <c r="FJ323" s="75"/>
      <c r="FK323" s="75"/>
      <c r="FL323" s="81"/>
      <c r="FM323" s="74"/>
      <c r="FN323" s="75"/>
      <c r="FO323" s="75"/>
      <c r="FP323" s="75"/>
      <c r="FQ323" s="75"/>
      <c r="FR323" s="75"/>
      <c r="FS323" s="75"/>
      <c r="FT323" s="75"/>
      <c r="FU323" s="75"/>
      <c r="FV323" s="75"/>
      <c r="FW323" s="75"/>
      <c r="FX323" s="81"/>
      <c r="FY323" s="74"/>
      <c r="FZ323" s="75"/>
      <c r="GA323" s="75"/>
      <c r="GB323" s="75"/>
      <c r="GC323" s="75"/>
      <c r="GD323" s="75"/>
      <c r="GE323" s="75"/>
      <c r="GF323" s="75"/>
      <c r="GG323" s="75"/>
      <c r="GH323" s="75"/>
      <c r="GI323" s="75"/>
      <c r="GJ323" s="81"/>
      <c r="GK323" s="74"/>
      <c r="GL323" s="75"/>
      <c r="GM323" s="75"/>
      <c r="GN323" s="75"/>
      <c r="GO323" s="75"/>
      <c r="GP323" s="75"/>
      <c r="GQ323" s="75"/>
      <c r="GR323" s="75"/>
      <c r="GS323" s="75"/>
      <c r="GT323" s="75"/>
      <c r="GU323" s="75"/>
      <c r="GV323" s="81"/>
      <c r="GW323" s="74"/>
      <c r="GX323" s="75"/>
      <c r="GY323" s="75"/>
      <c r="GZ323" s="75"/>
      <c r="HA323" s="75"/>
      <c r="HB323" s="75"/>
      <c r="HC323" s="75"/>
      <c r="HD323" s="75"/>
      <c r="HE323" s="75"/>
      <c r="HF323" s="75"/>
      <c r="HG323" s="75"/>
      <c r="HH323" s="81"/>
      <c r="HI323" s="75"/>
    </row>
    <row r="324" ht="15.0" customHeight="1">
      <c r="A324" s="74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81"/>
      <c r="M324" s="74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81"/>
      <c r="Y324" s="74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81"/>
      <c r="AK324" s="74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81"/>
      <c r="AW324" s="74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81"/>
      <c r="BI324" s="74"/>
      <c r="BJ324" s="75"/>
      <c r="BK324" s="75"/>
      <c r="BL324" s="75"/>
      <c r="BM324" s="75"/>
      <c r="BN324" s="75"/>
      <c r="BO324" s="75"/>
      <c r="BP324" s="75"/>
      <c r="BQ324" s="75"/>
      <c r="BR324" s="75"/>
      <c r="BS324" s="75"/>
      <c r="BT324" s="81"/>
      <c r="BU324" s="74"/>
      <c r="BV324" s="75"/>
      <c r="BW324" s="75"/>
      <c r="BX324" s="75"/>
      <c r="BY324" s="75"/>
      <c r="BZ324" s="75"/>
      <c r="CA324" s="75"/>
      <c r="CB324" s="75"/>
      <c r="CC324" s="75"/>
      <c r="CD324" s="75"/>
      <c r="CE324" s="75"/>
      <c r="CF324" s="81"/>
      <c r="CG324" s="74"/>
      <c r="CH324" s="75"/>
      <c r="CI324" s="75"/>
      <c r="CJ324" s="75"/>
      <c r="CK324" s="75"/>
      <c r="CL324" s="75"/>
      <c r="CM324" s="75"/>
      <c r="CN324" s="75"/>
      <c r="CO324" s="75"/>
      <c r="CP324" s="75"/>
      <c r="CQ324" s="75"/>
      <c r="CR324" s="81"/>
      <c r="CS324" s="74"/>
      <c r="CT324" s="75"/>
      <c r="CU324" s="75"/>
      <c r="CV324" s="75"/>
      <c r="CW324" s="75"/>
      <c r="CX324" s="75"/>
      <c r="CY324" s="75"/>
      <c r="CZ324" s="75"/>
      <c r="DA324" s="75"/>
      <c r="DB324" s="75"/>
      <c r="DC324" s="75"/>
      <c r="DD324" s="81"/>
      <c r="DE324" s="74"/>
      <c r="DF324" s="75"/>
      <c r="DG324" s="75"/>
      <c r="DH324" s="75"/>
      <c r="DI324" s="75"/>
      <c r="DJ324" s="75"/>
      <c r="DK324" s="75"/>
      <c r="DL324" s="75"/>
      <c r="DM324" s="75"/>
      <c r="DN324" s="75"/>
      <c r="DO324" s="75"/>
      <c r="DP324" s="81"/>
      <c r="DQ324" s="74"/>
      <c r="DR324" s="75"/>
      <c r="DS324" s="75"/>
      <c r="DT324" s="75"/>
      <c r="DU324" s="75"/>
      <c r="DV324" s="75"/>
      <c r="DW324" s="75"/>
      <c r="DX324" s="75"/>
      <c r="DY324" s="75"/>
      <c r="DZ324" s="75"/>
      <c r="EA324" s="75"/>
      <c r="EB324" s="81"/>
      <c r="EC324" s="74"/>
      <c r="ED324" s="75"/>
      <c r="EE324" s="75"/>
      <c r="EF324" s="75"/>
      <c r="EG324" s="75"/>
      <c r="EH324" s="75"/>
      <c r="EI324" s="75"/>
      <c r="EJ324" s="75"/>
      <c r="EK324" s="75"/>
      <c r="EL324" s="75"/>
      <c r="EM324" s="75"/>
      <c r="EN324" s="81"/>
      <c r="EO324" s="74"/>
      <c r="EP324" s="75"/>
      <c r="EQ324" s="75"/>
      <c r="ER324" s="75"/>
      <c r="ES324" s="75"/>
      <c r="ET324" s="75"/>
      <c r="EU324" s="75"/>
      <c r="EV324" s="75"/>
      <c r="EW324" s="75"/>
      <c r="EX324" s="75"/>
      <c r="EY324" s="75"/>
      <c r="EZ324" s="81"/>
      <c r="FA324" s="74"/>
      <c r="FB324" s="75"/>
      <c r="FC324" s="75"/>
      <c r="FD324" s="75"/>
      <c r="FE324" s="75"/>
      <c r="FF324" s="75"/>
      <c r="FG324" s="75"/>
      <c r="FH324" s="75"/>
      <c r="FI324" s="75"/>
      <c r="FJ324" s="75"/>
      <c r="FK324" s="75"/>
      <c r="FL324" s="81"/>
      <c r="FM324" s="74"/>
      <c r="FN324" s="75"/>
      <c r="FO324" s="75"/>
      <c r="FP324" s="75"/>
      <c r="FQ324" s="75"/>
      <c r="FR324" s="75"/>
      <c r="FS324" s="75"/>
      <c r="FT324" s="75"/>
      <c r="FU324" s="75"/>
      <c r="FV324" s="75"/>
      <c r="FW324" s="75"/>
      <c r="FX324" s="81"/>
      <c r="FY324" s="74"/>
      <c r="FZ324" s="75"/>
      <c r="GA324" s="75"/>
      <c r="GB324" s="75"/>
      <c r="GC324" s="75"/>
      <c r="GD324" s="75"/>
      <c r="GE324" s="75"/>
      <c r="GF324" s="75"/>
      <c r="GG324" s="75"/>
      <c r="GH324" s="75"/>
      <c r="GI324" s="75"/>
      <c r="GJ324" s="81"/>
      <c r="GK324" s="74"/>
      <c r="GL324" s="75"/>
      <c r="GM324" s="75"/>
      <c r="GN324" s="75"/>
      <c r="GO324" s="75"/>
      <c r="GP324" s="75"/>
      <c r="GQ324" s="75"/>
      <c r="GR324" s="75"/>
      <c r="GS324" s="75"/>
      <c r="GT324" s="75"/>
      <c r="GU324" s="75"/>
      <c r="GV324" s="81"/>
      <c r="GW324" s="74"/>
      <c r="GX324" s="75"/>
      <c r="GY324" s="75"/>
      <c r="GZ324" s="75"/>
      <c r="HA324" s="75"/>
      <c r="HB324" s="75"/>
      <c r="HC324" s="75"/>
      <c r="HD324" s="75"/>
      <c r="HE324" s="75"/>
      <c r="HF324" s="75"/>
      <c r="HG324" s="75"/>
      <c r="HH324" s="81"/>
      <c r="HI324" s="75"/>
    </row>
  </sheetData>
  <mergeCells count="992">
    <mergeCell ref="F10:G10"/>
    <mergeCell ref="H10:H11"/>
    <mergeCell ref="O10:O11"/>
    <mergeCell ref="P10:P11"/>
    <mergeCell ref="Q10:Q11"/>
    <mergeCell ref="R10:S10"/>
    <mergeCell ref="W4:W5"/>
    <mergeCell ref="W6:W7"/>
    <mergeCell ref="A10:A11"/>
    <mergeCell ref="B10:B11"/>
    <mergeCell ref="C10:C11"/>
    <mergeCell ref="D10:D11"/>
    <mergeCell ref="E10:E11"/>
    <mergeCell ref="T10:T11"/>
    <mergeCell ref="FD10:FD11"/>
    <mergeCell ref="FE10:FE11"/>
    <mergeCell ref="ER10:ER11"/>
    <mergeCell ref="ES10:ES11"/>
    <mergeCell ref="ET10:EU10"/>
    <mergeCell ref="EV10:EV11"/>
    <mergeCell ref="FA10:FA11"/>
    <mergeCell ref="FB10:FB11"/>
    <mergeCell ref="FC10:FC11"/>
    <mergeCell ref="FR10:FS10"/>
    <mergeCell ref="FT10:FT11"/>
    <mergeCell ref="FF10:FG10"/>
    <mergeCell ref="FH10:FH11"/>
    <mergeCell ref="FM10:FM11"/>
    <mergeCell ref="FN10:FN11"/>
    <mergeCell ref="FO10:FO11"/>
    <mergeCell ref="FP10:FP11"/>
    <mergeCell ref="FQ10:FQ11"/>
    <mergeCell ref="GK10:GK11"/>
    <mergeCell ref="GL10:GL11"/>
    <mergeCell ref="FY10:FY11"/>
    <mergeCell ref="FZ10:FZ11"/>
    <mergeCell ref="GA10:GA11"/>
    <mergeCell ref="GB10:GB11"/>
    <mergeCell ref="GC10:GC11"/>
    <mergeCell ref="GD10:GE10"/>
    <mergeCell ref="GF10:GF11"/>
    <mergeCell ref="GY10:GY11"/>
    <mergeCell ref="GZ10:GZ11"/>
    <mergeCell ref="GM10:GM11"/>
    <mergeCell ref="GN10:GN11"/>
    <mergeCell ref="GO10:GO11"/>
    <mergeCell ref="GP10:GQ10"/>
    <mergeCell ref="GR10:GR11"/>
    <mergeCell ref="GW10:GW11"/>
    <mergeCell ref="GX10:GX11"/>
    <mergeCell ref="EY4:EY5"/>
    <mergeCell ref="FK4:FK5"/>
    <mergeCell ref="FW4:FW5"/>
    <mergeCell ref="GI4:GI5"/>
    <mergeCell ref="GU4:GU5"/>
    <mergeCell ref="HG4:HG5"/>
    <mergeCell ref="BS4:BS5"/>
    <mergeCell ref="CE4:CE5"/>
    <mergeCell ref="CQ4:CQ5"/>
    <mergeCell ref="DC4:DC5"/>
    <mergeCell ref="DO4:DO5"/>
    <mergeCell ref="EA4:EA5"/>
    <mergeCell ref="EM4:EM5"/>
    <mergeCell ref="A1:A2"/>
    <mergeCell ref="B1:B2"/>
    <mergeCell ref="K4:K5"/>
    <mergeCell ref="AI4:AI5"/>
    <mergeCell ref="BG4:BG5"/>
    <mergeCell ref="K6:K7"/>
    <mergeCell ref="AI6:AI7"/>
    <mergeCell ref="BG6:BG7"/>
    <mergeCell ref="BS6:BS7"/>
    <mergeCell ref="CE6:CE7"/>
    <mergeCell ref="CQ6:CQ7"/>
    <mergeCell ref="DC6:DC7"/>
    <mergeCell ref="DO6:DO7"/>
    <mergeCell ref="EA6:EA7"/>
    <mergeCell ref="AU4:AU5"/>
    <mergeCell ref="AU6:AU7"/>
    <mergeCell ref="AW10:AW11"/>
    <mergeCell ref="AX10:AX11"/>
    <mergeCell ref="AY10:AY11"/>
    <mergeCell ref="AZ10:AZ11"/>
    <mergeCell ref="BA10:BA11"/>
    <mergeCell ref="M10:M11"/>
    <mergeCell ref="N10:N11"/>
    <mergeCell ref="Y10:Y11"/>
    <mergeCell ref="Z10:Z11"/>
    <mergeCell ref="AA10:AA11"/>
    <mergeCell ref="AB10:AB11"/>
    <mergeCell ref="AC10:AC11"/>
    <mergeCell ref="HA10:HA11"/>
    <mergeCell ref="HB10:HC10"/>
    <mergeCell ref="HD10:HD11"/>
    <mergeCell ref="EM6:EM7"/>
    <mergeCell ref="EY6:EY7"/>
    <mergeCell ref="FK6:FK7"/>
    <mergeCell ref="FW6:FW7"/>
    <mergeCell ref="GI6:GI7"/>
    <mergeCell ref="GU6:GU7"/>
    <mergeCell ref="HG6:HG7"/>
    <mergeCell ref="BN10:BO10"/>
    <mergeCell ref="BP10:BP11"/>
    <mergeCell ref="BB10:BC10"/>
    <mergeCell ref="BD10:BD11"/>
    <mergeCell ref="BI10:BI11"/>
    <mergeCell ref="BJ10:BJ11"/>
    <mergeCell ref="BK10:BK11"/>
    <mergeCell ref="BL10:BL11"/>
    <mergeCell ref="BM10:BM11"/>
    <mergeCell ref="BU21:BV21"/>
    <mergeCell ref="BU25:BV25"/>
    <mergeCell ref="BS29:BS30"/>
    <mergeCell ref="BU10:BU11"/>
    <mergeCell ref="BV10:BV11"/>
    <mergeCell ref="BW10:BW11"/>
    <mergeCell ref="BX10:BX11"/>
    <mergeCell ref="BY10:BY11"/>
    <mergeCell ref="BZ10:CA10"/>
    <mergeCell ref="CB10:CB11"/>
    <mergeCell ref="CG10:CG11"/>
    <mergeCell ref="CH10:CH11"/>
    <mergeCell ref="CG21:CH21"/>
    <mergeCell ref="CG25:CH25"/>
    <mergeCell ref="CE29:CE30"/>
    <mergeCell ref="CQ29:CQ30"/>
    <mergeCell ref="DC29:DC30"/>
    <mergeCell ref="GU29:GU30"/>
    <mergeCell ref="HG29:HG30"/>
    <mergeCell ref="DO29:DO30"/>
    <mergeCell ref="EA29:EA30"/>
    <mergeCell ref="EM29:EM30"/>
    <mergeCell ref="EY29:EY30"/>
    <mergeCell ref="FK29:FK30"/>
    <mergeCell ref="FW29:FW30"/>
    <mergeCell ref="GI29:GI30"/>
    <mergeCell ref="CI10:CI11"/>
    <mergeCell ref="CJ10:CJ11"/>
    <mergeCell ref="CK10:CK11"/>
    <mergeCell ref="CL10:CM10"/>
    <mergeCell ref="CN10:CN11"/>
    <mergeCell ref="CS10:CS11"/>
    <mergeCell ref="CT10:CT11"/>
    <mergeCell ref="DQ21:DR21"/>
    <mergeCell ref="DQ25:DR25"/>
    <mergeCell ref="EO25:EP25"/>
    <mergeCell ref="FA25:FB25"/>
    <mergeCell ref="FM25:FN25"/>
    <mergeCell ref="FY25:FZ25"/>
    <mergeCell ref="GK25:GL25"/>
    <mergeCell ref="GW25:GX25"/>
    <mergeCell ref="CU10:CU11"/>
    <mergeCell ref="CV10:CV11"/>
    <mergeCell ref="CS21:CT21"/>
    <mergeCell ref="DE21:DF21"/>
    <mergeCell ref="EC21:ED21"/>
    <mergeCell ref="CS25:CT25"/>
    <mergeCell ref="DE25:DF25"/>
    <mergeCell ref="EC25:ED25"/>
    <mergeCell ref="DI10:DI11"/>
    <mergeCell ref="DJ10:DK10"/>
    <mergeCell ref="CW10:CW11"/>
    <mergeCell ref="CX10:CY10"/>
    <mergeCell ref="CZ10:CZ11"/>
    <mergeCell ref="DE10:DE11"/>
    <mergeCell ref="DF10:DF11"/>
    <mergeCell ref="DG10:DG11"/>
    <mergeCell ref="DH10:DH11"/>
    <mergeCell ref="DX10:DX11"/>
    <mergeCell ref="EC10:EC11"/>
    <mergeCell ref="DL10:DL11"/>
    <mergeCell ref="DQ10:DQ11"/>
    <mergeCell ref="DR10:DR11"/>
    <mergeCell ref="DS10:DS11"/>
    <mergeCell ref="DT10:DT11"/>
    <mergeCell ref="DU10:DU11"/>
    <mergeCell ref="DV10:DW10"/>
    <mergeCell ref="EP10:EP11"/>
    <mergeCell ref="EQ10:EQ11"/>
    <mergeCell ref="EO21:EP21"/>
    <mergeCell ref="FA21:FB21"/>
    <mergeCell ref="FM21:FN21"/>
    <mergeCell ref="FY21:FZ21"/>
    <mergeCell ref="GK21:GL21"/>
    <mergeCell ref="GW21:GX21"/>
    <mergeCell ref="ED10:ED11"/>
    <mergeCell ref="EE10:EE11"/>
    <mergeCell ref="EF10:EF11"/>
    <mergeCell ref="EG10:EG11"/>
    <mergeCell ref="EH10:EI10"/>
    <mergeCell ref="EJ10:EJ11"/>
    <mergeCell ref="EO10:EO11"/>
    <mergeCell ref="AP10:AQ10"/>
    <mergeCell ref="AR10:AR11"/>
    <mergeCell ref="AD10:AE10"/>
    <mergeCell ref="AF10:AF11"/>
    <mergeCell ref="AK10:AK11"/>
    <mergeCell ref="AL10:AL11"/>
    <mergeCell ref="AM10:AM11"/>
    <mergeCell ref="AN10:AN11"/>
    <mergeCell ref="AO10:AO11"/>
    <mergeCell ref="A21:B21"/>
    <mergeCell ref="M21:N21"/>
    <mergeCell ref="AK21:AL21"/>
    <mergeCell ref="BI21:BJ21"/>
    <mergeCell ref="A25:B25"/>
    <mergeCell ref="M25:N25"/>
    <mergeCell ref="AK25:AL25"/>
    <mergeCell ref="BI25:BJ25"/>
    <mergeCell ref="AW21:AX21"/>
    <mergeCell ref="AW25:AX25"/>
    <mergeCell ref="AU29:AU30"/>
    <mergeCell ref="BG29:BG30"/>
    <mergeCell ref="AU31:AU32"/>
    <mergeCell ref="BG31:BG32"/>
    <mergeCell ref="BS31:BS32"/>
    <mergeCell ref="FK31:FK32"/>
    <mergeCell ref="FW31:FW32"/>
    <mergeCell ref="GI31:GI32"/>
    <mergeCell ref="GU31:GU32"/>
    <mergeCell ref="HG31:HG32"/>
    <mergeCell ref="CE31:CE32"/>
    <mergeCell ref="CQ31:CQ32"/>
    <mergeCell ref="DC31:DC32"/>
    <mergeCell ref="DO31:DO32"/>
    <mergeCell ref="EA31:EA32"/>
    <mergeCell ref="EM31:EM32"/>
    <mergeCell ref="EY31:EY32"/>
    <mergeCell ref="Y21:Z21"/>
    <mergeCell ref="Y25:Z25"/>
    <mergeCell ref="K29:K30"/>
    <mergeCell ref="W29:W30"/>
    <mergeCell ref="AI29:AI30"/>
    <mergeCell ref="W31:W32"/>
    <mergeCell ref="AI31:AI32"/>
    <mergeCell ref="AK46:AL46"/>
    <mergeCell ref="AK50:AL50"/>
    <mergeCell ref="AI54:AI55"/>
    <mergeCell ref="AU54:AU55"/>
    <mergeCell ref="BI46:BJ46"/>
    <mergeCell ref="BI50:BJ50"/>
    <mergeCell ref="BG54:BG55"/>
    <mergeCell ref="BS54:BS55"/>
    <mergeCell ref="CE54:CE55"/>
    <mergeCell ref="CQ54:CQ55"/>
    <mergeCell ref="DC54:DC55"/>
    <mergeCell ref="A46:B46"/>
    <mergeCell ref="Y46:Z46"/>
    <mergeCell ref="AW46:AX46"/>
    <mergeCell ref="BU46:BV46"/>
    <mergeCell ref="A50:B50"/>
    <mergeCell ref="Y50:Z50"/>
    <mergeCell ref="AW50:AX50"/>
    <mergeCell ref="M46:N46"/>
    <mergeCell ref="M50:N50"/>
    <mergeCell ref="K54:K55"/>
    <mergeCell ref="W54:W55"/>
    <mergeCell ref="W56:W57"/>
    <mergeCell ref="AI56:AI57"/>
    <mergeCell ref="BS56:BS57"/>
    <mergeCell ref="H60:H61"/>
    <mergeCell ref="M60:M61"/>
    <mergeCell ref="N60:N61"/>
    <mergeCell ref="O60:O61"/>
    <mergeCell ref="P60:P61"/>
    <mergeCell ref="Q60:Q61"/>
    <mergeCell ref="R60:S60"/>
    <mergeCell ref="T60:T61"/>
    <mergeCell ref="Y60:Y61"/>
    <mergeCell ref="Z60:Z61"/>
    <mergeCell ref="AA60:AA61"/>
    <mergeCell ref="AB60:AB61"/>
    <mergeCell ref="AC60:AC61"/>
    <mergeCell ref="AD60:AE60"/>
    <mergeCell ref="AF60:AF61"/>
    <mergeCell ref="AK60:AK61"/>
    <mergeCell ref="AL60:AL61"/>
    <mergeCell ref="AM60:AM61"/>
    <mergeCell ref="AN60:AN61"/>
    <mergeCell ref="AO60:AO61"/>
    <mergeCell ref="AP60:AQ60"/>
    <mergeCell ref="AR60:AR61"/>
    <mergeCell ref="AW60:AW61"/>
    <mergeCell ref="AX60:AX61"/>
    <mergeCell ref="AY60:AY61"/>
    <mergeCell ref="AZ60:AZ61"/>
    <mergeCell ref="BA60:BA61"/>
    <mergeCell ref="BB60:BC60"/>
    <mergeCell ref="BV60:BV61"/>
    <mergeCell ref="K56:K57"/>
    <mergeCell ref="A60:A61"/>
    <mergeCell ref="B60:B61"/>
    <mergeCell ref="C60:C61"/>
    <mergeCell ref="D60:D61"/>
    <mergeCell ref="E60:E61"/>
    <mergeCell ref="F60:G60"/>
    <mergeCell ref="FH35:FH36"/>
    <mergeCell ref="FM35:FM36"/>
    <mergeCell ref="FN35:FN36"/>
    <mergeCell ref="FO35:FO36"/>
    <mergeCell ref="FP35:FP36"/>
    <mergeCell ref="FQ35:FQ36"/>
    <mergeCell ref="FR35:FS35"/>
    <mergeCell ref="FT35:FT36"/>
    <mergeCell ref="FY35:FY36"/>
    <mergeCell ref="FZ35:FZ36"/>
    <mergeCell ref="GA35:GA36"/>
    <mergeCell ref="GB35:GB36"/>
    <mergeCell ref="GC35:GC36"/>
    <mergeCell ref="GD35:GE35"/>
    <mergeCell ref="GR35:GR36"/>
    <mergeCell ref="GW35:GW36"/>
    <mergeCell ref="GX35:GX36"/>
    <mergeCell ref="GY35:GY36"/>
    <mergeCell ref="GZ35:GZ36"/>
    <mergeCell ref="HA35:HA36"/>
    <mergeCell ref="HB35:HC35"/>
    <mergeCell ref="HD35:HD36"/>
    <mergeCell ref="GF35:GF36"/>
    <mergeCell ref="GK35:GK36"/>
    <mergeCell ref="GL35:GL36"/>
    <mergeCell ref="GM35:GM36"/>
    <mergeCell ref="GN35:GN36"/>
    <mergeCell ref="GO35:GO36"/>
    <mergeCell ref="GP35:GQ35"/>
    <mergeCell ref="CB35:CB36"/>
    <mergeCell ref="CG35:CG36"/>
    <mergeCell ref="CH35:CH36"/>
    <mergeCell ref="CI35:CI36"/>
    <mergeCell ref="CJ35:CJ36"/>
    <mergeCell ref="CK35:CK36"/>
    <mergeCell ref="CL35:CM35"/>
    <mergeCell ref="CN35:CN36"/>
    <mergeCell ref="CS35:CS36"/>
    <mergeCell ref="CT35:CT36"/>
    <mergeCell ref="CU35:CU36"/>
    <mergeCell ref="CV35:CV36"/>
    <mergeCell ref="CW35:CW36"/>
    <mergeCell ref="CX35:CY35"/>
    <mergeCell ref="CZ35:CZ36"/>
    <mergeCell ref="DE35:DE36"/>
    <mergeCell ref="DF35:DF36"/>
    <mergeCell ref="DG35:DG36"/>
    <mergeCell ref="DH35:DH36"/>
    <mergeCell ref="DI35:DI36"/>
    <mergeCell ref="DJ35:DK35"/>
    <mergeCell ref="DL35:DL36"/>
    <mergeCell ref="DQ35:DQ36"/>
    <mergeCell ref="DR35:DR36"/>
    <mergeCell ref="DS35:DS36"/>
    <mergeCell ref="DT35:DT36"/>
    <mergeCell ref="DU35:DU36"/>
    <mergeCell ref="DV35:DW35"/>
    <mergeCell ref="DX35:DX36"/>
    <mergeCell ref="EC35:EC36"/>
    <mergeCell ref="ED35:ED36"/>
    <mergeCell ref="EE35:EE36"/>
    <mergeCell ref="EF35:EF36"/>
    <mergeCell ref="EG35:EG36"/>
    <mergeCell ref="EH35:EI35"/>
    <mergeCell ref="EJ35:EJ36"/>
    <mergeCell ref="EO35:EO36"/>
    <mergeCell ref="EP35:EP36"/>
    <mergeCell ref="EQ35:EQ36"/>
    <mergeCell ref="ER35:ER36"/>
    <mergeCell ref="ES35:ES36"/>
    <mergeCell ref="ET35:EU35"/>
    <mergeCell ref="EV35:EV36"/>
    <mergeCell ref="FA35:FA36"/>
    <mergeCell ref="FB35:FB36"/>
    <mergeCell ref="FC35:FC36"/>
    <mergeCell ref="FD35:FD36"/>
    <mergeCell ref="FE35:FE36"/>
    <mergeCell ref="FF35:FG35"/>
    <mergeCell ref="H35:H36"/>
    <mergeCell ref="M35:M36"/>
    <mergeCell ref="N35:N36"/>
    <mergeCell ref="O35:O36"/>
    <mergeCell ref="P35:P36"/>
    <mergeCell ref="Q35:Q36"/>
    <mergeCell ref="R35:S35"/>
    <mergeCell ref="T35:T36"/>
    <mergeCell ref="Y35:Y36"/>
    <mergeCell ref="Z35:Z36"/>
    <mergeCell ref="AA35:AA36"/>
    <mergeCell ref="AB35:AB36"/>
    <mergeCell ref="AC35:AC36"/>
    <mergeCell ref="AD35:AE35"/>
    <mergeCell ref="AF35:AF36"/>
    <mergeCell ref="AK35:AK36"/>
    <mergeCell ref="AL35:AL36"/>
    <mergeCell ref="AM35:AM36"/>
    <mergeCell ref="AN35:AN36"/>
    <mergeCell ref="AO35:AO36"/>
    <mergeCell ref="AP35:AQ35"/>
    <mergeCell ref="AR35:AR36"/>
    <mergeCell ref="AW35:AW36"/>
    <mergeCell ref="AX35:AX36"/>
    <mergeCell ref="AY35:AY36"/>
    <mergeCell ref="AZ35:AZ36"/>
    <mergeCell ref="BA35:BA36"/>
    <mergeCell ref="BB35:BC35"/>
    <mergeCell ref="BD35:BD36"/>
    <mergeCell ref="BI35:BI36"/>
    <mergeCell ref="BJ35:BJ36"/>
    <mergeCell ref="BK35:BK36"/>
    <mergeCell ref="BL35:BL36"/>
    <mergeCell ref="BM35:BM36"/>
    <mergeCell ref="BN35:BO35"/>
    <mergeCell ref="BP35:BP36"/>
    <mergeCell ref="BU35:BU36"/>
    <mergeCell ref="BV35:BV36"/>
    <mergeCell ref="BW35:BW36"/>
    <mergeCell ref="BX35:BX36"/>
    <mergeCell ref="BY35:BY36"/>
    <mergeCell ref="BZ35:CA35"/>
    <mergeCell ref="K31:K32"/>
    <mergeCell ref="A35:A36"/>
    <mergeCell ref="B35:B36"/>
    <mergeCell ref="C35:C36"/>
    <mergeCell ref="D35:D36"/>
    <mergeCell ref="E35:E36"/>
    <mergeCell ref="F35:G35"/>
    <mergeCell ref="FM46:FN46"/>
    <mergeCell ref="FY46:FZ46"/>
    <mergeCell ref="GK46:GL46"/>
    <mergeCell ref="GW46:GX46"/>
    <mergeCell ref="CG46:CH46"/>
    <mergeCell ref="CS46:CT46"/>
    <mergeCell ref="DE46:DF46"/>
    <mergeCell ref="DQ46:DR46"/>
    <mergeCell ref="EC46:ED46"/>
    <mergeCell ref="EO46:EP46"/>
    <mergeCell ref="FA46:FB46"/>
    <mergeCell ref="FA50:FB50"/>
    <mergeCell ref="FM50:FN50"/>
    <mergeCell ref="FY50:FZ50"/>
    <mergeCell ref="GK50:GL50"/>
    <mergeCell ref="GW50:GX50"/>
    <mergeCell ref="BU50:BV50"/>
    <mergeCell ref="CG50:CH50"/>
    <mergeCell ref="CS50:CT50"/>
    <mergeCell ref="DE50:DF50"/>
    <mergeCell ref="DQ50:DR50"/>
    <mergeCell ref="EC50:ED50"/>
    <mergeCell ref="EO50:EP50"/>
    <mergeCell ref="GU54:GU55"/>
    <mergeCell ref="HG54:HG55"/>
    <mergeCell ref="DO54:DO55"/>
    <mergeCell ref="EA54:EA55"/>
    <mergeCell ref="EM54:EM55"/>
    <mergeCell ref="EY54:EY55"/>
    <mergeCell ref="FK54:FK55"/>
    <mergeCell ref="FW54:FW55"/>
    <mergeCell ref="GI54:GI55"/>
    <mergeCell ref="EM56:EM57"/>
    <mergeCell ref="EY56:EY57"/>
    <mergeCell ref="FK56:FK57"/>
    <mergeCell ref="FW56:FW57"/>
    <mergeCell ref="GI56:GI57"/>
    <mergeCell ref="GU56:GU57"/>
    <mergeCell ref="HG56:HG57"/>
    <mergeCell ref="AU56:AU57"/>
    <mergeCell ref="BG56:BG57"/>
    <mergeCell ref="CE56:CE57"/>
    <mergeCell ref="CQ56:CQ57"/>
    <mergeCell ref="DC56:DC57"/>
    <mergeCell ref="DO56:DO57"/>
    <mergeCell ref="EA56:EA57"/>
    <mergeCell ref="EO60:EO61"/>
    <mergeCell ref="EP60:EP61"/>
    <mergeCell ref="EQ60:EQ61"/>
    <mergeCell ref="ER60:ER61"/>
    <mergeCell ref="ES60:ES61"/>
    <mergeCell ref="ET60:EU60"/>
    <mergeCell ref="EV60:EV61"/>
    <mergeCell ref="FA60:FA61"/>
    <mergeCell ref="FB60:FB61"/>
    <mergeCell ref="FC60:FC61"/>
    <mergeCell ref="FD60:FD61"/>
    <mergeCell ref="FE60:FE61"/>
    <mergeCell ref="FF60:FG60"/>
    <mergeCell ref="FH60:FH61"/>
    <mergeCell ref="FM60:FM61"/>
    <mergeCell ref="FN60:FN61"/>
    <mergeCell ref="FO60:FO61"/>
    <mergeCell ref="FP60:FP61"/>
    <mergeCell ref="FQ60:FQ61"/>
    <mergeCell ref="FR60:FS60"/>
    <mergeCell ref="FT60:FT61"/>
    <mergeCell ref="FY60:FY61"/>
    <mergeCell ref="FZ60:FZ61"/>
    <mergeCell ref="GA60:GA61"/>
    <mergeCell ref="GB60:GB61"/>
    <mergeCell ref="GC60:GC61"/>
    <mergeCell ref="GD60:GE60"/>
    <mergeCell ref="GF60:GF61"/>
    <mergeCell ref="GW60:GW61"/>
    <mergeCell ref="GX60:GX61"/>
    <mergeCell ref="GY60:GY61"/>
    <mergeCell ref="GZ60:GZ61"/>
    <mergeCell ref="HA60:HA61"/>
    <mergeCell ref="HB60:HC60"/>
    <mergeCell ref="HD60:HD61"/>
    <mergeCell ref="GK60:GK61"/>
    <mergeCell ref="GL60:GL61"/>
    <mergeCell ref="GM60:GM61"/>
    <mergeCell ref="GN60:GN61"/>
    <mergeCell ref="GO60:GO61"/>
    <mergeCell ref="GP60:GQ60"/>
    <mergeCell ref="GR60:GR61"/>
    <mergeCell ref="BD60:BD61"/>
    <mergeCell ref="BI60:BI61"/>
    <mergeCell ref="BJ60:BJ61"/>
    <mergeCell ref="BK60:BK61"/>
    <mergeCell ref="BL60:BL61"/>
    <mergeCell ref="BM60:BM61"/>
    <mergeCell ref="BN60:BO60"/>
    <mergeCell ref="BP60:BP61"/>
    <mergeCell ref="BU60:BU61"/>
    <mergeCell ref="BW60:BW61"/>
    <mergeCell ref="BX60:BX61"/>
    <mergeCell ref="BY60:BY61"/>
    <mergeCell ref="BZ60:CA60"/>
    <mergeCell ref="CB60:CB61"/>
    <mergeCell ref="CG60:CG61"/>
    <mergeCell ref="CH60:CH61"/>
    <mergeCell ref="CI60:CI61"/>
    <mergeCell ref="CJ60:CJ61"/>
    <mergeCell ref="CK60:CK61"/>
    <mergeCell ref="CL60:CM60"/>
    <mergeCell ref="CN60:CN61"/>
    <mergeCell ref="CS60:CS61"/>
    <mergeCell ref="CT60:CT61"/>
    <mergeCell ref="CU60:CU61"/>
    <mergeCell ref="CV60:CV61"/>
    <mergeCell ref="CW60:CW61"/>
    <mergeCell ref="CX60:CY60"/>
    <mergeCell ref="CZ60:CZ61"/>
    <mergeCell ref="DE60:DE61"/>
    <mergeCell ref="DF60:DF61"/>
    <mergeCell ref="DG60:DG61"/>
    <mergeCell ref="DH60:DH61"/>
    <mergeCell ref="DI60:DI61"/>
    <mergeCell ref="DJ60:DK60"/>
    <mergeCell ref="DL60:DL61"/>
    <mergeCell ref="DQ60:DQ61"/>
    <mergeCell ref="DR60:DR61"/>
    <mergeCell ref="DS60:DS61"/>
    <mergeCell ref="DT60:DT61"/>
    <mergeCell ref="DU60:DU61"/>
    <mergeCell ref="DV60:DW60"/>
    <mergeCell ref="DX60:DX61"/>
    <mergeCell ref="EC60:EC61"/>
    <mergeCell ref="ED60:ED61"/>
    <mergeCell ref="EE60:EE61"/>
    <mergeCell ref="EF60:EF61"/>
    <mergeCell ref="EG60:EG61"/>
    <mergeCell ref="EH60:EI60"/>
    <mergeCell ref="EJ60:EJ61"/>
    <mergeCell ref="T84:T85"/>
    <mergeCell ref="Y84:Y85"/>
    <mergeCell ref="Z84:Z85"/>
    <mergeCell ref="AA84:AA85"/>
    <mergeCell ref="AB84:AB85"/>
    <mergeCell ref="AC84:AC85"/>
    <mergeCell ref="AD84:AE84"/>
    <mergeCell ref="AF84:AF85"/>
    <mergeCell ref="AK84:AK85"/>
    <mergeCell ref="EV84:EV85"/>
    <mergeCell ref="FA84:FA85"/>
    <mergeCell ref="FB84:FB85"/>
    <mergeCell ref="FC84:FC85"/>
    <mergeCell ref="FD84:FD85"/>
    <mergeCell ref="FE84:FE85"/>
    <mergeCell ref="FF84:FG84"/>
    <mergeCell ref="FH84:FH85"/>
    <mergeCell ref="FM84:FM85"/>
    <mergeCell ref="FN84:FN85"/>
    <mergeCell ref="FO84:FO85"/>
    <mergeCell ref="FP84:FP85"/>
    <mergeCell ref="FQ84:FQ85"/>
    <mergeCell ref="FR84:FS84"/>
    <mergeCell ref="FT84:FT85"/>
    <mergeCell ref="FY84:FY85"/>
    <mergeCell ref="FZ84:FZ85"/>
    <mergeCell ref="GA84:GA85"/>
    <mergeCell ref="GB84:GB85"/>
    <mergeCell ref="GC84:GC85"/>
    <mergeCell ref="GD84:GE84"/>
    <mergeCell ref="GF84:GF85"/>
    <mergeCell ref="GK84:GK85"/>
    <mergeCell ref="GL84:GL85"/>
    <mergeCell ref="GM84:GM85"/>
    <mergeCell ref="GN84:GN85"/>
    <mergeCell ref="HA84:HA85"/>
    <mergeCell ref="HB84:HC84"/>
    <mergeCell ref="HD84:HD85"/>
    <mergeCell ref="GO84:GO85"/>
    <mergeCell ref="GP84:GQ84"/>
    <mergeCell ref="GR84:GR85"/>
    <mergeCell ref="GW84:GW85"/>
    <mergeCell ref="GX84:GX85"/>
    <mergeCell ref="GY84:GY85"/>
    <mergeCell ref="GZ84:GZ85"/>
    <mergeCell ref="FM71:FN71"/>
    <mergeCell ref="FY71:FZ71"/>
    <mergeCell ref="GK71:GL71"/>
    <mergeCell ref="GW71:GX71"/>
    <mergeCell ref="CG71:CH71"/>
    <mergeCell ref="CS71:CT71"/>
    <mergeCell ref="DE71:DF71"/>
    <mergeCell ref="DQ71:DR71"/>
    <mergeCell ref="EC71:ED71"/>
    <mergeCell ref="EO71:EP71"/>
    <mergeCell ref="FA71:FB71"/>
    <mergeCell ref="M71:N71"/>
    <mergeCell ref="M75:N75"/>
    <mergeCell ref="K78:K79"/>
    <mergeCell ref="W78:W79"/>
    <mergeCell ref="A71:B71"/>
    <mergeCell ref="Y71:Z71"/>
    <mergeCell ref="AW71:AX71"/>
    <mergeCell ref="BU71:BV71"/>
    <mergeCell ref="A75:B75"/>
    <mergeCell ref="Y75:Z75"/>
    <mergeCell ref="AW75:AX75"/>
    <mergeCell ref="FA75:FB75"/>
    <mergeCell ref="FM75:FN75"/>
    <mergeCell ref="FY75:FZ75"/>
    <mergeCell ref="GK75:GL75"/>
    <mergeCell ref="GW75:GX75"/>
    <mergeCell ref="BU75:BV75"/>
    <mergeCell ref="CG75:CH75"/>
    <mergeCell ref="CS75:CT75"/>
    <mergeCell ref="DE75:DF75"/>
    <mergeCell ref="DQ75:DR75"/>
    <mergeCell ref="EC75:ED75"/>
    <mergeCell ref="EO75:EP75"/>
    <mergeCell ref="GU78:GU79"/>
    <mergeCell ref="HG78:HG79"/>
    <mergeCell ref="DO78:DO79"/>
    <mergeCell ref="EA78:EA79"/>
    <mergeCell ref="EM78:EM79"/>
    <mergeCell ref="EY78:EY79"/>
    <mergeCell ref="FK78:FK79"/>
    <mergeCell ref="FW78:FW79"/>
    <mergeCell ref="GI78:GI79"/>
    <mergeCell ref="BI71:BJ71"/>
    <mergeCell ref="BI75:BJ75"/>
    <mergeCell ref="BG78:BG79"/>
    <mergeCell ref="CE78:CE79"/>
    <mergeCell ref="DC78:DC79"/>
    <mergeCell ref="BG80:BG81"/>
    <mergeCell ref="CE80:CE81"/>
    <mergeCell ref="DC80:DC81"/>
    <mergeCell ref="FW80:FW81"/>
    <mergeCell ref="GI80:GI81"/>
    <mergeCell ref="GU80:GU81"/>
    <mergeCell ref="HG80:HG81"/>
    <mergeCell ref="CQ78:CQ79"/>
    <mergeCell ref="CQ80:CQ81"/>
    <mergeCell ref="DO80:DO81"/>
    <mergeCell ref="EA80:EA81"/>
    <mergeCell ref="EM80:EM81"/>
    <mergeCell ref="EY80:EY81"/>
    <mergeCell ref="FK80:FK81"/>
    <mergeCell ref="AK71:AL71"/>
    <mergeCell ref="AK75:AL75"/>
    <mergeCell ref="AI78:AI79"/>
    <mergeCell ref="AU78:AU79"/>
    <mergeCell ref="W80:W81"/>
    <mergeCell ref="AI80:AI81"/>
    <mergeCell ref="AU80:AU81"/>
    <mergeCell ref="K80:K81"/>
    <mergeCell ref="A84:A85"/>
    <mergeCell ref="B84:B85"/>
    <mergeCell ref="C84:C85"/>
    <mergeCell ref="D84:D85"/>
    <mergeCell ref="E84:E85"/>
    <mergeCell ref="F84:G84"/>
    <mergeCell ref="BS78:BS79"/>
    <mergeCell ref="BS80:BS81"/>
    <mergeCell ref="BN84:BO84"/>
    <mergeCell ref="BP84:BP85"/>
    <mergeCell ref="BU84:BU85"/>
    <mergeCell ref="BV84:BV85"/>
    <mergeCell ref="BW84:BW85"/>
    <mergeCell ref="H84:H85"/>
    <mergeCell ref="M84:M85"/>
    <mergeCell ref="N84:N85"/>
    <mergeCell ref="O84:O85"/>
    <mergeCell ref="P84:P85"/>
    <mergeCell ref="Q84:Q85"/>
    <mergeCell ref="R84:S84"/>
    <mergeCell ref="AD109:AE109"/>
    <mergeCell ref="AF109:AF110"/>
    <mergeCell ref="AK109:AK110"/>
    <mergeCell ref="AL109:AL110"/>
    <mergeCell ref="AM109:AM110"/>
    <mergeCell ref="AN109:AN110"/>
    <mergeCell ref="AO109:AO110"/>
    <mergeCell ref="AP109:AQ109"/>
    <mergeCell ref="AR109:AR110"/>
    <mergeCell ref="AW109:AW110"/>
    <mergeCell ref="AX109:AX110"/>
    <mergeCell ref="AY109:AY110"/>
    <mergeCell ref="AZ109:AZ110"/>
    <mergeCell ref="BA109:BA110"/>
    <mergeCell ref="BB109:BC109"/>
    <mergeCell ref="BD109:BD110"/>
    <mergeCell ref="BI109:BI110"/>
    <mergeCell ref="BJ109:BJ110"/>
    <mergeCell ref="BK109:BK110"/>
    <mergeCell ref="BL109:BL110"/>
    <mergeCell ref="BM109:BM110"/>
    <mergeCell ref="BN109:BO109"/>
    <mergeCell ref="BP109:BP110"/>
    <mergeCell ref="BU109:BU110"/>
    <mergeCell ref="BV109:BV110"/>
    <mergeCell ref="BW109:BW110"/>
    <mergeCell ref="BX109:BX110"/>
    <mergeCell ref="BY109:BY110"/>
    <mergeCell ref="BZ109:CA109"/>
    <mergeCell ref="CB109:CB110"/>
    <mergeCell ref="CG109:CG110"/>
    <mergeCell ref="CH109:CH110"/>
    <mergeCell ref="CI109:CI110"/>
    <mergeCell ref="CJ109:CJ110"/>
    <mergeCell ref="CK109:CK110"/>
    <mergeCell ref="CL109:CM109"/>
    <mergeCell ref="CN109:CN110"/>
    <mergeCell ref="CS109:CS110"/>
    <mergeCell ref="CT109:CT110"/>
    <mergeCell ref="CU109:CU110"/>
    <mergeCell ref="CV109:CV110"/>
    <mergeCell ref="CW109:CW110"/>
    <mergeCell ref="CX109:CY109"/>
    <mergeCell ref="CZ109:CZ110"/>
    <mergeCell ref="DE109:DE110"/>
    <mergeCell ref="DF109:DF110"/>
    <mergeCell ref="DG109:DG110"/>
    <mergeCell ref="DH109:DH110"/>
    <mergeCell ref="DI109:DI110"/>
    <mergeCell ref="HB109:HC109"/>
    <mergeCell ref="HD109:HD110"/>
    <mergeCell ref="GP109:GQ109"/>
    <mergeCell ref="GR109:GR110"/>
    <mergeCell ref="GW109:GW110"/>
    <mergeCell ref="GX109:GX110"/>
    <mergeCell ref="GY109:GY110"/>
    <mergeCell ref="GZ109:GZ110"/>
    <mergeCell ref="HA109:HA110"/>
    <mergeCell ref="DJ109:DK109"/>
    <mergeCell ref="DL109:DL110"/>
    <mergeCell ref="DQ109:DQ110"/>
    <mergeCell ref="DR109:DR110"/>
    <mergeCell ref="DS109:DS110"/>
    <mergeCell ref="DT109:DT110"/>
    <mergeCell ref="DU109:DU110"/>
    <mergeCell ref="DV109:DW109"/>
    <mergeCell ref="DX109:DX110"/>
    <mergeCell ref="EC109:EC110"/>
    <mergeCell ref="ED109:ED110"/>
    <mergeCell ref="EE109:EE110"/>
    <mergeCell ref="EF109:EF110"/>
    <mergeCell ref="EG109:EG110"/>
    <mergeCell ref="EH109:EI109"/>
    <mergeCell ref="EJ109:EJ110"/>
    <mergeCell ref="EO109:EO110"/>
    <mergeCell ref="EP109:EP110"/>
    <mergeCell ref="EQ109:EQ110"/>
    <mergeCell ref="ER109:ER110"/>
    <mergeCell ref="ES109:ES110"/>
    <mergeCell ref="ET109:EU109"/>
    <mergeCell ref="EV109:EV110"/>
    <mergeCell ref="FA109:FA110"/>
    <mergeCell ref="FB109:FB110"/>
    <mergeCell ref="FC109:FC110"/>
    <mergeCell ref="FD109:FD110"/>
    <mergeCell ref="FE109:FE110"/>
    <mergeCell ref="FF109:FG109"/>
    <mergeCell ref="FH109:FH110"/>
    <mergeCell ref="FM109:FM110"/>
    <mergeCell ref="FN109:FN110"/>
    <mergeCell ref="FO109:FO110"/>
    <mergeCell ref="FP109:FP110"/>
    <mergeCell ref="FQ109:FQ110"/>
    <mergeCell ref="FR109:FS109"/>
    <mergeCell ref="FT109:FT110"/>
    <mergeCell ref="FY109:FY110"/>
    <mergeCell ref="FZ109:FZ110"/>
    <mergeCell ref="GA109:GA110"/>
    <mergeCell ref="GB109:GB110"/>
    <mergeCell ref="GC109:GC110"/>
    <mergeCell ref="GD109:GE109"/>
    <mergeCell ref="GF109:GF110"/>
    <mergeCell ref="GK109:GK110"/>
    <mergeCell ref="GL109:GL110"/>
    <mergeCell ref="GM109:GM110"/>
    <mergeCell ref="GN109:GN110"/>
    <mergeCell ref="GO109:GO110"/>
    <mergeCell ref="Y120:Z120"/>
    <mergeCell ref="AK120:AL120"/>
    <mergeCell ref="AW120:AX120"/>
    <mergeCell ref="BI120:BJ120"/>
    <mergeCell ref="BU120:BV120"/>
    <mergeCell ref="CG120:CH120"/>
    <mergeCell ref="CS120:CT120"/>
    <mergeCell ref="GK120:GL120"/>
    <mergeCell ref="GW120:GX120"/>
    <mergeCell ref="DE120:DF120"/>
    <mergeCell ref="DQ120:DR120"/>
    <mergeCell ref="EC120:ED120"/>
    <mergeCell ref="EO120:EP120"/>
    <mergeCell ref="FA120:FB120"/>
    <mergeCell ref="FM120:FN120"/>
    <mergeCell ref="FY120:FZ120"/>
    <mergeCell ref="Y124:Z124"/>
    <mergeCell ref="AK124:AL124"/>
    <mergeCell ref="AW124:AX124"/>
    <mergeCell ref="BI124:BJ124"/>
    <mergeCell ref="BU124:BV124"/>
    <mergeCell ref="CG124:CH124"/>
    <mergeCell ref="CS124:CT124"/>
    <mergeCell ref="GK124:GL124"/>
    <mergeCell ref="GW124:GX124"/>
    <mergeCell ref="DE124:DF124"/>
    <mergeCell ref="DQ124:DR124"/>
    <mergeCell ref="EC124:ED124"/>
    <mergeCell ref="EO124:EP124"/>
    <mergeCell ref="FA124:FB124"/>
    <mergeCell ref="FM124:FN124"/>
    <mergeCell ref="FY124:FZ124"/>
    <mergeCell ref="B109:B110"/>
    <mergeCell ref="C109:C110"/>
    <mergeCell ref="A120:B120"/>
    <mergeCell ref="A124:B124"/>
    <mergeCell ref="D109:D110"/>
    <mergeCell ref="E109:E110"/>
    <mergeCell ref="F109:G109"/>
    <mergeCell ref="H109:H110"/>
    <mergeCell ref="M109:M110"/>
    <mergeCell ref="N109:N110"/>
    <mergeCell ref="M120:N120"/>
    <mergeCell ref="M124:N124"/>
    <mergeCell ref="O109:O110"/>
    <mergeCell ref="P109:P110"/>
    <mergeCell ref="M95:N95"/>
    <mergeCell ref="M99:N99"/>
    <mergeCell ref="K103:K104"/>
    <mergeCell ref="W103:W104"/>
    <mergeCell ref="K105:K106"/>
    <mergeCell ref="W105:W106"/>
    <mergeCell ref="A109:A110"/>
    <mergeCell ref="T109:T110"/>
    <mergeCell ref="Q109:Q110"/>
    <mergeCell ref="R109:S109"/>
    <mergeCell ref="Y109:Y110"/>
    <mergeCell ref="Z109:Z110"/>
    <mergeCell ref="AA109:AA110"/>
    <mergeCell ref="AB109:AB110"/>
    <mergeCell ref="AC109:AC110"/>
    <mergeCell ref="BL84:BL85"/>
    <mergeCell ref="BM84:BM85"/>
    <mergeCell ref="AZ84:AZ85"/>
    <mergeCell ref="BA84:BA85"/>
    <mergeCell ref="BB84:BC84"/>
    <mergeCell ref="BD84:BD85"/>
    <mergeCell ref="BI84:BI85"/>
    <mergeCell ref="BJ84:BJ85"/>
    <mergeCell ref="BK84:BK85"/>
    <mergeCell ref="BX84:BX85"/>
    <mergeCell ref="BY84:BY85"/>
    <mergeCell ref="BZ84:CA84"/>
    <mergeCell ref="CB84:CB85"/>
    <mergeCell ref="CG84:CG85"/>
    <mergeCell ref="CH84:CH85"/>
    <mergeCell ref="CI84:CI85"/>
    <mergeCell ref="CJ84:CJ85"/>
    <mergeCell ref="CK84:CK85"/>
    <mergeCell ref="CG95:CH95"/>
    <mergeCell ref="CS95:CT95"/>
    <mergeCell ref="CG99:CH99"/>
    <mergeCell ref="CS99:CT99"/>
    <mergeCell ref="CE103:CE104"/>
    <mergeCell ref="FW103:FW104"/>
    <mergeCell ref="GI103:GI104"/>
    <mergeCell ref="GU103:GU104"/>
    <mergeCell ref="HG103:HG104"/>
    <mergeCell ref="CQ103:CQ104"/>
    <mergeCell ref="DC103:DC104"/>
    <mergeCell ref="DO103:DO104"/>
    <mergeCell ref="EA103:EA104"/>
    <mergeCell ref="EM103:EM104"/>
    <mergeCell ref="EY103:EY104"/>
    <mergeCell ref="FK103:FK104"/>
    <mergeCell ref="CX84:CY84"/>
    <mergeCell ref="CZ84:CZ85"/>
    <mergeCell ref="CL84:CM84"/>
    <mergeCell ref="CN84:CN85"/>
    <mergeCell ref="CS84:CS85"/>
    <mergeCell ref="CT84:CT85"/>
    <mergeCell ref="CU84:CU85"/>
    <mergeCell ref="CV84:CV85"/>
    <mergeCell ref="CW84:CW85"/>
    <mergeCell ref="DQ84:DQ85"/>
    <mergeCell ref="DR84:DR85"/>
    <mergeCell ref="DQ95:DR95"/>
    <mergeCell ref="DQ99:DR99"/>
    <mergeCell ref="DE84:DE85"/>
    <mergeCell ref="DF84:DF85"/>
    <mergeCell ref="DG84:DG85"/>
    <mergeCell ref="DH84:DH85"/>
    <mergeCell ref="DI84:DI85"/>
    <mergeCell ref="DJ84:DK84"/>
    <mergeCell ref="DL84:DL85"/>
    <mergeCell ref="GK99:GL99"/>
    <mergeCell ref="GW99:GX99"/>
    <mergeCell ref="DE95:DF95"/>
    <mergeCell ref="DE99:DF99"/>
    <mergeCell ref="EC99:ED99"/>
    <mergeCell ref="EO99:EP99"/>
    <mergeCell ref="FA99:FB99"/>
    <mergeCell ref="FM99:FN99"/>
    <mergeCell ref="FY99:FZ99"/>
    <mergeCell ref="DS84:DS85"/>
    <mergeCell ref="DT84:DT85"/>
    <mergeCell ref="DU84:DU85"/>
    <mergeCell ref="DV84:DW84"/>
    <mergeCell ref="DX84:DX85"/>
    <mergeCell ref="EC84:EC85"/>
    <mergeCell ref="ED84:ED85"/>
    <mergeCell ref="GK95:GL95"/>
    <mergeCell ref="GW95:GX95"/>
    <mergeCell ref="EE84:EE85"/>
    <mergeCell ref="EF84:EF85"/>
    <mergeCell ref="EC95:ED95"/>
    <mergeCell ref="EO95:EP95"/>
    <mergeCell ref="FA95:FB95"/>
    <mergeCell ref="FM95:FN95"/>
    <mergeCell ref="FY95:FZ95"/>
    <mergeCell ref="ES84:ES85"/>
    <mergeCell ref="ET84:EU84"/>
    <mergeCell ref="EG84:EG85"/>
    <mergeCell ref="EH84:EI84"/>
    <mergeCell ref="EJ84:EJ85"/>
    <mergeCell ref="EO84:EO85"/>
    <mergeCell ref="EP84:EP85"/>
    <mergeCell ref="EQ84:EQ85"/>
    <mergeCell ref="ER84:ER85"/>
    <mergeCell ref="AX84:AX85"/>
    <mergeCell ref="AY84:AY85"/>
    <mergeCell ref="AL84:AL85"/>
    <mergeCell ref="AM84:AM85"/>
    <mergeCell ref="AN84:AN85"/>
    <mergeCell ref="AO84:AO85"/>
    <mergeCell ref="AP84:AQ84"/>
    <mergeCell ref="AR84:AR85"/>
    <mergeCell ref="AW84:AW85"/>
    <mergeCell ref="AK95:AL95"/>
    <mergeCell ref="AK99:AL99"/>
    <mergeCell ref="AI103:AI104"/>
    <mergeCell ref="AU103:AU104"/>
    <mergeCell ref="AI105:AI106"/>
    <mergeCell ref="AU105:AU106"/>
    <mergeCell ref="A95:B95"/>
    <mergeCell ref="Y95:Z95"/>
    <mergeCell ref="AW95:AX95"/>
    <mergeCell ref="BU95:BV95"/>
    <mergeCell ref="A99:B99"/>
    <mergeCell ref="Y99:Z99"/>
    <mergeCell ref="AW99:AX99"/>
    <mergeCell ref="BU99:BV99"/>
    <mergeCell ref="BI95:BJ95"/>
    <mergeCell ref="BI99:BJ99"/>
    <mergeCell ref="BG103:BG104"/>
    <mergeCell ref="BS103:BS104"/>
    <mergeCell ref="BG105:BG106"/>
    <mergeCell ref="BS105:BS106"/>
    <mergeCell ref="CE105:CE106"/>
    <mergeCell ref="FW105:FW106"/>
    <mergeCell ref="GI105:GI106"/>
    <mergeCell ref="GU105:GU106"/>
    <mergeCell ref="HG105:HG106"/>
    <mergeCell ref="CQ105:CQ106"/>
    <mergeCell ref="DC105:DC106"/>
    <mergeCell ref="DO105:DO106"/>
    <mergeCell ref="EA105:EA106"/>
    <mergeCell ref="EM105:EM106"/>
    <mergeCell ref="EY105:EY106"/>
    <mergeCell ref="FK105:FK106"/>
  </mergeCells>
  <conditionalFormatting sqref="C48">
    <cfRule type="cellIs" dxfId="0" priority="1" operator="equal">
      <formula>0</formula>
    </cfRule>
  </conditionalFormatting>
  <conditionalFormatting sqref="C73">
    <cfRule type="cellIs" dxfId="0" priority="2" operator="equal">
      <formula>0</formula>
    </cfRule>
  </conditionalFormatting>
  <conditionalFormatting sqref="C97">
    <cfRule type="cellIs" dxfId="0" priority="3" operator="equal">
      <formula>0</formula>
    </cfRule>
  </conditionalFormatting>
  <conditionalFormatting sqref="C122">
    <cfRule type="cellIs" dxfId="0" priority="4" operator="equal">
      <formula>0</formula>
    </cfRule>
  </conditionalFormatting>
  <conditionalFormatting sqref="O48">
    <cfRule type="cellIs" dxfId="0" priority="5" operator="equal">
      <formula>0</formula>
    </cfRule>
  </conditionalFormatting>
  <conditionalFormatting sqref="O73">
    <cfRule type="cellIs" dxfId="0" priority="6" operator="equal">
      <formula>0</formula>
    </cfRule>
  </conditionalFormatting>
  <conditionalFormatting sqref="O97">
    <cfRule type="cellIs" dxfId="0" priority="7" operator="equal">
      <formula>0</formula>
    </cfRule>
  </conditionalFormatting>
  <conditionalFormatting sqref="O122">
    <cfRule type="cellIs" dxfId="0" priority="8" operator="equal">
      <formula>0</formula>
    </cfRule>
  </conditionalFormatting>
  <conditionalFormatting sqref="AA48">
    <cfRule type="cellIs" dxfId="0" priority="9" operator="equal">
      <formula>0</formula>
    </cfRule>
  </conditionalFormatting>
  <conditionalFormatting sqref="AA73">
    <cfRule type="cellIs" dxfId="0" priority="10" operator="equal">
      <formula>0</formula>
    </cfRule>
  </conditionalFormatting>
  <conditionalFormatting sqref="AA97">
    <cfRule type="cellIs" dxfId="0" priority="11" operator="equal">
      <formula>0</formula>
    </cfRule>
  </conditionalFormatting>
  <conditionalFormatting sqref="AA122">
    <cfRule type="cellIs" dxfId="0" priority="12" operator="equal">
      <formula>0</formula>
    </cfRule>
  </conditionalFormatting>
  <conditionalFormatting sqref="AM48">
    <cfRule type="cellIs" dxfId="0" priority="13" operator="equal">
      <formula>0</formula>
    </cfRule>
  </conditionalFormatting>
  <conditionalFormatting sqref="AM73">
    <cfRule type="cellIs" dxfId="0" priority="14" operator="equal">
      <formula>0</formula>
    </cfRule>
  </conditionalFormatting>
  <conditionalFormatting sqref="AM97">
    <cfRule type="cellIs" dxfId="0" priority="15" operator="equal">
      <formula>0</formula>
    </cfRule>
  </conditionalFormatting>
  <conditionalFormatting sqref="AM122">
    <cfRule type="cellIs" dxfId="0" priority="16" operator="equal">
      <formula>0</formula>
    </cfRule>
  </conditionalFormatting>
  <conditionalFormatting sqref="AY48">
    <cfRule type="cellIs" dxfId="0" priority="17" operator="equal">
      <formula>0</formula>
    </cfRule>
  </conditionalFormatting>
  <conditionalFormatting sqref="AY73">
    <cfRule type="cellIs" dxfId="0" priority="18" operator="equal">
      <formula>0</formula>
    </cfRule>
  </conditionalFormatting>
  <conditionalFormatting sqref="AY97">
    <cfRule type="cellIs" dxfId="0" priority="19" operator="equal">
      <formula>0</formula>
    </cfRule>
  </conditionalFormatting>
  <conditionalFormatting sqref="AY122">
    <cfRule type="cellIs" dxfId="0" priority="20" operator="equal">
      <formula>0</formula>
    </cfRule>
  </conditionalFormatting>
  <conditionalFormatting sqref="BK48">
    <cfRule type="cellIs" dxfId="0" priority="21" operator="equal">
      <formula>0</formula>
    </cfRule>
  </conditionalFormatting>
  <conditionalFormatting sqref="BK73">
    <cfRule type="cellIs" dxfId="0" priority="22" operator="equal">
      <formula>0</formula>
    </cfRule>
  </conditionalFormatting>
  <conditionalFormatting sqref="BK97">
    <cfRule type="cellIs" dxfId="0" priority="23" operator="equal">
      <formula>0</formula>
    </cfRule>
  </conditionalFormatting>
  <conditionalFormatting sqref="BK122">
    <cfRule type="cellIs" dxfId="0" priority="24" operator="equal">
      <formula>0</formula>
    </cfRule>
  </conditionalFormatting>
  <conditionalFormatting sqref="BW48">
    <cfRule type="cellIs" dxfId="0" priority="25" operator="equal">
      <formula>0</formula>
    </cfRule>
  </conditionalFormatting>
  <conditionalFormatting sqref="BW73">
    <cfRule type="cellIs" dxfId="0" priority="26" operator="equal">
      <formula>0</formula>
    </cfRule>
  </conditionalFormatting>
  <conditionalFormatting sqref="BW97">
    <cfRule type="cellIs" dxfId="0" priority="27" operator="equal">
      <formula>0</formula>
    </cfRule>
  </conditionalFormatting>
  <conditionalFormatting sqref="BW122">
    <cfRule type="cellIs" dxfId="0" priority="28" operator="equal">
      <formula>0</formula>
    </cfRule>
  </conditionalFormatting>
  <conditionalFormatting sqref="CI48">
    <cfRule type="cellIs" dxfId="0" priority="29" operator="equal">
      <formula>0</formula>
    </cfRule>
  </conditionalFormatting>
  <conditionalFormatting sqref="CI73">
    <cfRule type="cellIs" dxfId="0" priority="30" operator="equal">
      <formula>0</formula>
    </cfRule>
  </conditionalFormatting>
  <conditionalFormatting sqref="CI97">
    <cfRule type="cellIs" dxfId="0" priority="31" operator="equal">
      <formula>0</formula>
    </cfRule>
  </conditionalFormatting>
  <conditionalFormatting sqref="CI122">
    <cfRule type="cellIs" dxfId="0" priority="32" operator="equal">
      <formula>0</formula>
    </cfRule>
  </conditionalFormatting>
  <conditionalFormatting sqref="CU48">
    <cfRule type="cellIs" dxfId="0" priority="33" operator="equal">
      <formula>0</formula>
    </cfRule>
  </conditionalFormatting>
  <conditionalFormatting sqref="CU73">
    <cfRule type="cellIs" dxfId="0" priority="34" operator="equal">
      <formula>0</formula>
    </cfRule>
  </conditionalFormatting>
  <conditionalFormatting sqref="CU97">
    <cfRule type="cellIs" dxfId="0" priority="35" operator="equal">
      <formula>0</formula>
    </cfRule>
  </conditionalFormatting>
  <conditionalFormatting sqref="CU122">
    <cfRule type="cellIs" dxfId="0" priority="36" operator="equal">
      <formula>0</formula>
    </cfRule>
  </conditionalFormatting>
  <conditionalFormatting sqref="DG48">
    <cfRule type="cellIs" dxfId="0" priority="37" operator="equal">
      <formula>0</formula>
    </cfRule>
  </conditionalFormatting>
  <conditionalFormatting sqref="DG73">
    <cfRule type="cellIs" dxfId="0" priority="38" operator="equal">
      <formula>0</formula>
    </cfRule>
  </conditionalFormatting>
  <conditionalFormatting sqref="DG97">
    <cfRule type="cellIs" dxfId="0" priority="39" operator="equal">
      <formula>0</formula>
    </cfRule>
  </conditionalFormatting>
  <conditionalFormatting sqref="DG122">
    <cfRule type="cellIs" dxfId="0" priority="40" operator="equal">
      <formula>0</formula>
    </cfRule>
  </conditionalFormatting>
  <conditionalFormatting sqref="DS48">
    <cfRule type="cellIs" dxfId="0" priority="41" operator="equal">
      <formula>0</formula>
    </cfRule>
  </conditionalFormatting>
  <conditionalFormatting sqref="DS73">
    <cfRule type="cellIs" dxfId="0" priority="42" operator="equal">
      <formula>0</formula>
    </cfRule>
  </conditionalFormatting>
  <conditionalFormatting sqref="DS97">
    <cfRule type="cellIs" dxfId="0" priority="43" operator="equal">
      <formula>0</formula>
    </cfRule>
  </conditionalFormatting>
  <conditionalFormatting sqref="DS122">
    <cfRule type="cellIs" dxfId="0" priority="44" operator="equal">
      <formula>0</formula>
    </cfRule>
  </conditionalFormatting>
  <conditionalFormatting sqref="EE48">
    <cfRule type="cellIs" dxfId="0" priority="45" operator="equal">
      <formula>0</formula>
    </cfRule>
  </conditionalFormatting>
  <conditionalFormatting sqref="EE73">
    <cfRule type="cellIs" dxfId="0" priority="46" operator="equal">
      <formula>0</formula>
    </cfRule>
  </conditionalFormatting>
  <conditionalFormatting sqref="EE97">
    <cfRule type="cellIs" dxfId="0" priority="47" operator="equal">
      <formula>0</formula>
    </cfRule>
  </conditionalFormatting>
  <conditionalFormatting sqref="EE122">
    <cfRule type="cellIs" dxfId="0" priority="48" operator="equal">
      <formula>0</formula>
    </cfRule>
  </conditionalFormatting>
  <conditionalFormatting sqref="EQ48">
    <cfRule type="cellIs" dxfId="0" priority="49" operator="equal">
      <formula>0</formula>
    </cfRule>
  </conditionalFormatting>
  <conditionalFormatting sqref="EQ73">
    <cfRule type="cellIs" dxfId="0" priority="50" operator="equal">
      <formula>0</formula>
    </cfRule>
  </conditionalFormatting>
  <conditionalFormatting sqref="EQ97">
    <cfRule type="cellIs" dxfId="0" priority="51" operator="equal">
      <formula>0</formula>
    </cfRule>
  </conditionalFormatting>
  <conditionalFormatting sqref="EQ122">
    <cfRule type="cellIs" dxfId="0" priority="52" operator="equal">
      <formula>0</formula>
    </cfRule>
  </conditionalFormatting>
  <conditionalFormatting sqref="FC48">
    <cfRule type="cellIs" dxfId="0" priority="53" operator="equal">
      <formula>0</formula>
    </cfRule>
  </conditionalFormatting>
  <conditionalFormatting sqref="FC73">
    <cfRule type="cellIs" dxfId="0" priority="54" operator="equal">
      <formula>0</formula>
    </cfRule>
  </conditionalFormatting>
  <conditionalFormatting sqref="FC97">
    <cfRule type="cellIs" dxfId="0" priority="55" operator="equal">
      <formula>0</formula>
    </cfRule>
  </conditionalFormatting>
  <conditionalFormatting sqref="FC122">
    <cfRule type="cellIs" dxfId="0" priority="56" operator="equal">
      <formula>0</formula>
    </cfRule>
  </conditionalFormatting>
  <conditionalFormatting sqref="FO48">
    <cfRule type="cellIs" dxfId="0" priority="57" operator="equal">
      <formula>0</formula>
    </cfRule>
  </conditionalFormatting>
  <conditionalFormatting sqref="FO73">
    <cfRule type="cellIs" dxfId="0" priority="58" operator="equal">
      <formula>0</formula>
    </cfRule>
  </conditionalFormatting>
  <conditionalFormatting sqref="FO97">
    <cfRule type="cellIs" dxfId="0" priority="59" operator="equal">
      <formula>0</formula>
    </cfRule>
  </conditionalFormatting>
  <conditionalFormatting sqref="FO122">
    <cfRule type="cellIs" dxfId="0" priority="60" operator="equal">
      <formula>0</formula>
    </cfRule>
  </conditionalFormatting>
  <conditionalFormatting sqref="GA48 GM48 GY48">
    <cfRule type="cellIs" dxfId="0" priority="61" operator="equal">
      <formula>0</formula>
    </cfRule>
  </conditionalFormatting>
  <conditionalFormatting sqref="GA73 GM73 GY73">
    <cfRule type="cellIs" dxfId="0" priority="62" operator="equal">
      <formula>0</formula>
    </cfRule>
  </conditionalFormatting>
  <conditionalFormatting sqref="GA97 GM97 GY97">
    <cfRule type="cellIs" dxfId="0" priority="63" operator="equal">
      <formula>0</formula>
    </cfRule>
  </conditionalFormatting>
  <conditionalFormatting sqref="GA122 GM122 GY122">
    <cfRule type="cellIs" dxfId="0" priority="64" operator="equal">
      <formula>0</formula>
    </cfRule>
  </conditionalFormatting>
  <hyperlinks>
    <hyperlink display="Home" location="Home!A1" ref="A1"/>
    <hyperlink display="2010" location="ADHB!A3:K100" ref="C1"/>
    <hyperlink display="2012" location="ADHB!AA3:AI100" ref="D1"/>
    <hyperlink display="2014" location="ADHB!AY3:BG100" ref="E1"/>
    <hyperlink display="2016" location="ADHB!BW3:CE100" ref="F1"/>
    <hyperlink display="2018" location="ADHB!CU3:DC100" ref="G1"/>
    <hyperlink display="2020" location="ADHB!DS3:EA100" ref="H1"/>
    <hyperlink display="2022" location="ADHB!EQ3:EY100" ref="I1"/>
    <hyperlink display="2024" location="ADHB!FO3:FW100" ref="J1"/>
    <hyperlink display="2010" location="ADHB!A3:K100" ref="O1"/>
    <hyperlink display="2012" location="ADHB!AA3:AI100" ref="P1"/>
    <hyperlink display="2014" location="ADHB!AY3:BG100" ref="Q1"/>
    <hyperlink display="2016" location="ADHB!BW3:CE100" ref="R1"/>
    <hyperlink display="2018" location="ADHB!CU3:DC100" ref="S1"/>
    <hyperlink display="2020" location="ADHB!DS3:EA100" ref="T1"/>
    <hyperlink display="2022" location="ADHB!EQ3:EY100" ref="U1"/>
    <hyperlink display="2024" location="ADHB!FO3:FW100" ref="V1"/>
    <hyperlink display="2010" location="ADHB!A3:K100" ref="AA1"/>
    <hyperlink display="2012" location="ADHB!AA3:AI100" ref="AB1"/>
    <hyperlink display="2014" location="ADHB!AY3:BG100" ref="AC1"/>
    <hyperlink display="2016" location="ADHB!BW3:CE100" ref="AD1"/>
    <hyperlink display="2018" location="ADHB!CU3:DC100" ref="AE1"/>
    <hyperlink display="2020" location="ADHB!DS3:EA100" ref="AF1"/>
    <hyperlink display="2022" location="ADHB!EQ3:EY100" ref="AG1"/>
    <hyperlink display="2024" location="ADHB!FO3:FW100" ref="AH1"/>
    <hyperlink display="2010" location="ADHB!A3:K100" ref="AM1"/>
    <hyperlink display="2012" location="ADHB!AA3:AI100" ref="AN1"/>
    <hyperlink display="2014" location="ADHB!AY3:BG100" ref="AO1"/>
    <hyperlink display="2016" location="ADHB!BW3:CE100" ref="AP1"/>
    <hyperlink display="2018" location="ADHB!CU3:DC100" ref="AQ1"/>
    <hyperlink display="2020" location="ADHB!DS3:EA100" ref="AR1"/>
    <hyperlink display="2022" location="ADHB!EQ3:EY100" ref="AS1"/>
    <hyperlink display="2024" location="ADHB!FO3:FW100" ref="AT1"/>
    <hyperlink display="2010" location="ADHB!A3:K100" ref="AY1"/>
    <hyperlink display="2012" location="ADHB!AA3:AI100" ref="AZ1"/>
    <hyperlink display="2014" location="ADHB!AY3:BG100" ref="BA1"/>
    <hyperlink display="2016" location="ADHB!BW3:CE100" ref="BB1"/>
    <hyperlink display="2018" location="ADHB!CU3:DC100" ref="BC1"/>
    <hyperlink display="2020" location="ADHB!DS3:EA100" ref="BD1"/>
    <hyperlink display="2022" location="ADHB!EQ3:EY100" ref="BE1"/>
    <hyperlink display="2024" location="ADHB!FO3:FW100" ref="BF1"/>
    <hyperlink display="2010" location="ADHB!A3:K100" ref="BK1"/>
    <hyperlink display="2012" location="ADHB!AA3:AI100" ref="BL1"/>
    <hyperlink display="2014" location="ADHB!AY3:BG100" ref="BM1"/>
    <hyperlink display="2016" location="ADHB!BW3:CE100" ref="BN1"/>
    <hyperlink display="2018" location="ADHB!CU3:DC100" ref="BO1"/>
    <hyperlink display="2020" location="ADHB!DS3:EA100" ref="BP1"/>
    <hyperlink display="2022" location="ADHB!EQ3:EY100" ref="BQ1"/>
    <hyperlink display="2024" location="ADHB!FO3:FW100" ref="BR1"/>
    <hyperlink display="2010" location="ADHB!A3:K100" ref="BW1"/>
    <hyperlink display="2012" location="ADHB!AA3:AI100" ref="BX1"/>
    <hyperlink display="2014" location="ADHB!AY3:BG100" ref="BY1"/>
    <hyperlink display="2016" location="ADHB!BW3:CE100" ref="BZ1"/>
    <hyperlink display="2018" location="ADHB!CU3:DC100" ref="CA1"/>
    <hyperlink display="2020" location="ADHB!DS3:EA100" ref="CB1"/>
    <hyperlink display="2022" location="ADHB!EQ3:EY100" ref="CC1"/>
    <hyperlink display="2024" location="ADHB!FO3:FW100" ref="CD1"/>
    <hyperlink display="2010" location="ADHB!A3:K100" ref="CI1"/>
    <hyperlink display="2012" location="ADHB!AA3:AI100" ref="CJ1"/>
    <hyperlink display="2014" location="ADHB!AY3:BG100" ref="CK1"/>
    <hyperlink display="2016" location="ADHB!BW3:CE100" ref="CL1"/>
    <hyperlink display="2018" location="ADHB!CU3:DC100" ref="CM1"/>
    <hyperlink display="2020" location="ADHB!DS3:EA100" ref="CN1"/>
    <hyperlink display="2022" location="ADHB!EQ3:EY100" ref="CO1"/>
    <hyperlink display="2024" location="ADHB!FO3:FW100" ref="CP1"/>
    <hyperlink display="2010" location="ADHB!A3:K100" ref="CU1"/>
    <hyperlink display="2012" location="ADHB!AA3:AI100" ref="CV1"/>
    <hyperlink display="2014" location="ADHB!AY3:BG100" ref="CW1"/>
    <hyperlink display="2016" location="ADHB!BW3:CE100" ref="CX1"/>
    <hyperlink display="2018" location="ADHB!CU3:DC100" ref="CY1"/>
    <hyperlink display="2020" location="ADHB!DS3:EA100" ref="CZ1"/>
    <hyperlink display="2022" location="ADHB!EQ3:EY100" ref="DA1"/>
    <hyperlink display="2024" location="ADHB!FO3:FW100" ref="DB1"/>
    <hyperlink display="2010" location="ADHB!A3:K100" ref="DG1"/>
    <hyperlink display="2012" location="ADHB!AA3:AI100" ref="DH1"/>
    <hyperlink display="2014" location="ADHB!AY3:BG100" ref="DI1"/>
    <hyperlink display="2016" location="ADHB!BW3:CE100" ref="DJ1"/>
    <hyperlink display="2018" location="ADHB!CU3:DC100" ref="DK1"/>
    <hyperlink display="2020" location="ADHB!DS3:EA100" ref="DL1"/>
    <hyperlink display="2022" location="ADHB!EQ3:EY100" ref="DM1"/>
    <hyperlink display="2024" location="ADHB!FO3:FW100" ref="DN1"/>
    <hyperlink display="2010" location="ADHB!A3:K100" ref="DS1"/>
    <hyperlink display="2012" location="ADHB!AA3:AI100" ref="DT1"/>
    <hyperlink display="2014" location="ADHB!AY3:BG100" ref="DU1"/>
    <hyperlink display="2016" location="ADHB!BW3:CE100" ref="DV1"/>
    <hyperlink display="2018" location="ADHB!CU3:DC100" ref="DW1"/>
    <hyperlink display="2020" location="ADHB!DS3:EA100" ref="DX1"/>
    <hyperlink display="2022" location="ADHB!EQ3:EY100" ref="DY1"/>
    <hyperlink display="2024" location="ADHB!FO3:FW100" ref="DZ1"/>
    <hyperlink display="2010" location="ADHB!A3:K100" ref="EE1"/>
    <hyperlink display="2012" location="ADHB!AA3:AI100" ref="EF1"/>
    <hyperlink display="2014" location="ADHB!AY3:BG100" ref="EG1"/>
    <hyperlink display="2016" location="ADHB!BW3:CE100" ref="EH1"/>
    <hyperlink display="2018" location="ADHB!CU3:DC100" ref="EI1"/>
    <hyperlink display="2020" location="ADHB!DS3:EA100" ref="EJ1"/>
    <hyperlink display="2022" location="ADHB!EQ3:EY100" ref="EK1"/>
    <hyperlink display="2024" location="ADHB!FO3:FW100" ref="EL1"/>
    <hyperlink display="2010" location="ADHB!A3:K100" ref="EQ1"/>
    <hyperlink display="2012" location="ADHB!AA3:AI100" ref="ER1"/>
    <hyperlink display="2014" location="ADHB!AY3:BG100" ref="ES1"/>
    <hyperlink display="2016" location="ADHB!BW3:CE100" ref="ET1"/>
    <hyperlink display="2018" location="ADHB!CU3:DC100" ref="EU1"/>
    <hyperlink display="2020" location="ADHB!DS3:EA100" ref="EV1"/>
    <hyperlink display="2022" location="ADHB!EQ3:EY100" ref="EW1"/>
    <hyperlink display="2024" location="ADHB!FO3:FW100" ref="EX1"/>
    <hyperlink display="2010" location="ADHB!A3:K100" ref="FC1"/>
    <hyperlink display="2012" location="ADHB!AA3:AI100" ref="FD1"/>
    <hyperlink display="2014" location="ADHB!AY3:BG100" ref="FE1"/>
    <hyperlink display="2016" location="ADHB!BW3:CE100" ref="FF1"/>
    <hyperlink display="2018" location="ADHB!CU3:DC100" ref="FG1"/>
    <hyperlink display="2020" location="ADHB!DS3:EA100" ref="FH1"/>
    <hyperlink display="2022" location="ADHB!EQ3:EY100" ref="FI1"/>
    <hyperlink display="2024" location="ADHB!FO3:FW100" ref="FJ1"/>
    <hyperlink display="2010" location="ADHB!A3:K100" ref="FO1"/>
    <hyperlink display="2012" location="ADHB!AA3:AI100" ref="FP1"/>
    <hyperlink display="2014" location="ADHB!AY3:BG100" ref="FQ1"/>
    <hyperlink display="2016" location="ADHB!BW3:CE100" ref="FR1"/>
    <hyperlink display="2018" location="ADHB!CU3:DC100" ref="FS1"/>
    <hyperlink display="2020" location="ADHB!DS3:EA100" ref="FT1"/>
    <hyperlink display="2022" location="ADHB!EQ3:EY100" ref="FU1"/>
    <hyperlink display="2024" location="ADHB!FO3:FW100" ref="FV1"/>
    <hyperlink display="2010" location="ADHB!A3:K100" ref="GA1"/>
    <hyperlink display="2012" location="ADHB!AA3:AI100" ref="GB1"/>
    <hyperlink display="2014" location="ADHB!AY3:BG100" ref="GC1"/>
    <hyperlink display="2016" location="ADHB!BW3:CE100" ref="GD1"/>
    <hyperlink display="2018" location="ADHB!CU3:DC100" ref="GE1"/>
    <hyperlink display="2020" location="ADHB!DS3:EA100" ref="GF1"/>
    <hyperlink display="2022" location="ADHB!EQ3:EY100" ref="GG1"/>
    <hyperlink display="2024" location="ADHB!FO3:FW100" ref="GH1"/>
    <hyperlink display="2010" location="ADHB!A3:K100" ref="GM1"/>
    <hyperlink display="2012" location="ADHB!AA3:AI100" ref="GN1"/>
    <hyperlink display="2014" location="ADHB!AY3:BG100" ref="GO1"/>
    <hyperlink display="2016" location="ADHB!BW3:CE100" ref="GP1"/>
    <hyperlink display="2018" location="ADHB!CU3:DC100" ref="GQ1"/>
    <hyperlink display="2020" location="ADHB!DS3:EA100" ref="GR1"/>
    <hyperlink display="2022" location="ADHB!EQ3:EY100" ref="GS1"/>
    <hyperlink display="2024" location="ADHB!FO3:FW100" ref="GT1"/>
    <hyperlink display="2010" location="ADHB!A3:K100" ref="GY1"/>
    <hyperlink display="2012" location="ADHB!AA3:AI100" ref="GZ1"/>
    <hyperlink display="2014" location="ADHB!AY3:BG100" ref="HA1"/>
    <hyperlink display="2016" location="ADHB!BW3:CE100" ref="HB1"/>
    <hyperlink display="2018" location="ADHB!CU3:DC100" ref="HC1"/>
    <hyperlink display="2020" location="ADHB!DS3:EA100" ref="HD1"/>
    <hyperlink display="2022" location="ADHB!EQ3:EY100" ref="HE1"/>
    <hyperlink display="2024" location="ADHB!FO3:FW100" ref="HF1"/>
    <hyperlink display="2011" location="ADHB!O3:W100" ref="C2"/>
    <hyperlink display="2013" location="ADHB!AM3:AU100" ref="D2"/>
    <hyperlink display="2015" location="ADHB!BK3:BS100" ref="E2"/>
    <hyperlink display="2017" location="ADHB!CI3:CQ100" ref="F2"/>
    <hyperlink display="2019" location="ADHB!DG3:DO100" ref="G2"/>
    <hyperlink display="2021" location="ADHB!EE3:EM100" ref="H2"/>
    <hyperlink display="2023" location="ADHB!FC3:FK100" ref="I2"/>
    <hyperlink display="2025" location="ADHB!GA3:GI100" ref="J2"/>
    <hyperlink display="2011" location="ADHB!O3:W100" ref="O2"/>
    <hyperlink display="2013" location="ADHB!AM3:AU100" ref="P2"/>
    <hyperlink display="2015" location="ADHB!BK3:BS100" ref="Q2"/>
    <hyperlink display="2017" location="ADHB!CI3:CQ100" ref="R2"/>
    <hyperlink display="2019" location="ADHB!DG3:DO100" ref="S2"/>
    <hyperlink display="2021" location="ADHB!EE3:EM100" ref="T2"/>
    <hyperlink display="2023" location="ADHB!FC3:FK100" ref="U2"/>
    <hyperlink display="2025" location="ADHB!GA3:GI100" ref="V2"/>
    <hyperlink display="2011" location="ADHB!O3:W100" ref="AA2"/>
    <hyperlink display="2013" location="ADHB!AM3:AU100" ref="AB2"/>
    <hyperlink display="2015" location="ADHB!BK3:BS100" ref="AC2"/>
    <hyperlink display="2017" location="ADHB!CI3:CQ100" ref="AD2"/>
    <hyperlink display="2019" location="ADHB!DG3:DO100" ref="AE2"/>
    <hyperlink display="2021" location="ADHB!EE3:EM100" ref="AF2"/>
    <hyperlink display="2023" location="ADHB!FC3:FK100" ref="AG2"/>
    <hyperlink display="2025" location="ADHB!GA3:GI100" ref="AH2"/>
    <hyperlink display="2011" location="ADHB!O3:W100" ref="AM2"/>
    <hyperlink display="2013" location="ADHB!AM3:AU100" ref="AN2"/>
    <hyperlink display="2015" location="ADHB!BK3:BS100" ref="AO2"/>
    <hyperlink display="2017" location="ADHB!CI3:CQ100" ref="AP2"/>
    <hyperlink display="2019" location="ADHB!DG3:DO100" ref="AQ2"/>
    <hyperlink display="2021" location="ADHB!EE3:EM100" ref="AR2"/>
    <hyperlink display="2023" location="ADHB!FC3:FK100" ref="AS2"/>
    <hyperlink display="2025" location="ADHB!GA3:GI100" ref="AT2"/>
    <hyperlink display="2011" location="ADHB!O3:W100" ref="AY2"/>
    <hyperlink display="2013" location="ADHB!AM3:AU100" ref="AZ2"/>
    <hyperlink display="2015" location="ADHB!BK3:BS100" ref="BA2"/>
    <hyperlink display="2017" location="ADHB!CI3:CQ100" ref="BB2"/>
    <hyperlink display="2019" location="ADHB!DG3:DO100" ref="BC2"/>
    <hyperlink display="2021" location="ADHB!EE3:EM100" ref="BD2"/>
    <hyperlink display="2023" location="ADHB!FC3:FK100" ref="BE2"/>
    <hyperlink display="2025" location="ADHB!GA3:GI100" ref="BF2"/>
    <hyperlink display="2011" location="ADHB!O3:W100" ref="BK2"/>
    <hyperlink display="2013" location="ADHB!AM3:AU100" ref="BL2"/>
    <hyperlink display="2015" location="ADHB!BK3:BS100" ref="BM2"/>
    <hyperlink display="2017" location="ADHB!CI3:CQ100" ref="BN2"/>
    <hyperlink display="2019" location="ADHB!DG3:DO100" ref="BO2"/>
    <hyperlink display="2021" location="ADHB!EE3:EM100" ref="BP2"/>
    <hyperlink display="2023" location="ADHB!FC3:FK100" ref="BQ2"/>
    <hyperlink display="2025" location="ADHB!GA3:GI100" ref="BR2"/>
    <hyperlink display="2011" location="ADHB!O3:W100" ref="BW2"/>
    <hyperlink display="2013" location="ADHB!AM3:AU100" ref="BX2"/>
    <hyperlink display="2015" location="ADHB!BK3:BS100" ref="BY2"/>
    <hyperlink display="2017" location="ADHB!CI3:CQ100" ref="BZ2"/>
    <hyperlink display="2019" location="ADHB!DG3:DO100" ref="CA2"/>
    <hyperlink display="2021" location="ADHB!EE3:EM100" ref="CB2"/>
    <hyperlink display="2023" location="ADHB!FC3:FK100" ref="CC2"/>
    <hyperlink display="2025" location="ADHB!GA3:GI100" ref="CD2"/>
    <hyperlink display="2011" location="ADHB!O3:W100" ref="CI2"/>
    <hyperlink display="2013" location="ADHB!AM3:AU100" ref="CJ2"/>
    <hyperlink display="2015" location="ADHB!BK3:BS100" ref="CK2"/>
    <hyperlink display="2017" location="ADHB!CI3:CQ100" ref="CL2"/>
    <hyperlink display="2019" location="ADHB!DG3:DO100" ref="CM2"/>
    <hyperlink display="2021" location="ADHB!EE3:EM100" ref="CN2"/>
    <hyperlink display="2023" location="ADHB!FC3:FK100" ref="CO2"/>
    <hyperlink display="2025" location="ADHB!GA3:GI100" ref="CP2"/>
    <hyperlink display="2011" location="ADHB!O3:W100" ref="CU2"/>
    <hyperlink display="2013" location="ADHB!AM3:AU100" ref="CV2"/>
    <hyperlink display="2015" location="ADHB!BK3:BS100" ref="CW2"/>
    <hyperlink display="2017" location="ADHB!CI3:CQ100" ref="CX2"/>
    <hyperlink display="2019" location="ADHB!DG3:DO100" ref="CY2"/>
    <hyperlink display="2021" location="ADHB!EE3:EM100" ref="CZ2"/>
    <hyperlink display="2023" location="ADHB!FC3:FK100" ref="DA2"/>
    <hyperlink display="2025" location="ADHB!GA3:GI100" ref="DB2"/>
    <hyperlink display="2011" location="ADHB!O3:W100" ref="DG2"/>
    <hyperlink display="2013" location="ADHB!AM3:AU100" ref="DH2"/>
    <hyperlink display="2015" location="ADHB!BK3:BS100" ref="DI2"/>
    <hyperlink display="2017" location="ADHB!CI3:CQ100" ref="DJ2"/>
    <hyperlink display="2019" location="ADHB!DG3:DO100" ref="DK2"/>
    <hyperlink display="2021" location="ADHB!EE3:EM100" ref="DL2"/>
    <hyperlink display="2023" location="ADHB!FC3:FK100" ref="DM2"/>
    <hyperlink display="2025" location="ADHB!GA3:GI100" ref="DN2"/>
    <hyperlink display="2011" location="ADHB!O3:W100" ref="DS2"/>
    <hyperlink display="2013" location="ADHB!AM3:AU100" ref="DT2"/>
    <hyperlink display="2015" location="ADHB!BK3:BS100" ref="DU2"/>
    <hyperlink display="2017" location="ADHB!CI3:CQ100" ref="DV2"/>
    <hyperlink display="2019" location="ADHB!DG3:DO100" ref="DW2"/>
    <hyperlink display="2021" location="ADHB!EE3:EM100" ref="DX2"/>
    <hyperlink display="2023" location="ADHB!FC3:FK100" ref="DY2"/>
    <hyperlink display="2025" location="ADHB!GA3:GI100" ref="DZ2"/>
    <hyperlink display="2011" location="ADHB!O3:W100" ref="EE2"/>
    <hyperlink display="2013" location="ADHB!AM3:AU100" ref="EF2"/>
    <hyperlink display="2015" location="ADHB!BK3:BS100" ref="EG2"/>
    <hyperlink display="2017" location="ADHB!CI3:CQ100" ref="EH2"/>
    <hyperlink display="2019" location="ADHB!DG3:DO100" ref="EI2"/>
    <hyperlink display="2021" location="ADHB!EE3:EM100" ref="EJ2"/>
    <hyperlink display="2023" location="ADHB!FC3:FK100" ref="EK2"/>
    <hyperlink display="2025" location="ADHB!GA3:GI100" ref="EL2"/>
    <hyperlink display="2011" location="ADHB!O3:W100" ref="EQ2"/>
    <hyperlink display="2013" location="ADHB!AM3:AU100" ref="ER2"/>
    <hyperlink display="2015" location="ADHB!BK3:BS100" ref="ES2"/>
    <hyperlink display="2017" location="ADHB!CI3:CQ100" ref="ET2"/>
    <hyperlink display="2019" location="ADHB!DG3:DO100" ref="EU2"/>
    <hyperlink display="2021" location="ADHB!EE3:EM100" ref="EV2"/>
    <hyperlink display="2023" location="ADHB!FC3:FK100" ref="EW2"/>
    <hyperlink display="2025" location="ADHB!GA3:GI100" ref="EX2"/>
    <hyperlink display="2011" location="ADHB!O3:W100" ref="FC2"/>
    <hyperlink display="2013" location="ADHB!AM3:AU100" ref="FD2"/>
    <hyperlink display="2015" location="ADHB!BK3:BS100" ref="FE2"/>
    <hyperlink display="2017" location="ADHB!CI3:CQ100" ref="FF2"/>
    <hyperlink display="2019" location="ADHB!DG3:DO100" ref="FG2"/>
    <hyperlink display="2021" location="ADHB!EE3:EM100" ref="FH2"/>
    <hyperlink display="2023" location="ADHB!FC3:FK100" ref="FI2"/>
    <hyperlink display="2025" location="ADHB!GA3:GI100" ref="FJ2"/>
    <hyperlink display="2011" location="ADHB!O3:W100" ref="FO2"/>
    <hyperlink display="2013" location="ADHB!AM3:AU100" ref="FP2"/>
    <hyperlink display="2015" location="ADHB!BK3:BS100" ref="FQ2"/>
    <hyperlink display="2017" location="ADHB!CI3:CQ100" ref="FR2"/>
    <hyperlink display="2019" location="ADHB!DG3:DO100" ref="FS2"/>
    <hyperlink display="2021" location="ADHB!EE3:EM100" ref="FT2"/>
    <hyperlink display="2023" location="ADHB!FC3:FK100" ref="FU2"/>
    <hyperlink display="2025" location="ADHB!GA3:GI100" ref="FV2"/>
    <hyperlink display="2011" location="ADHB!O3:W100" ref="GA2"/>
    <hyperlink display="2013" location="ADHB!AM3:AU100" ref="GB2"/>
    <hyperlink display="2015" location="ADHB!BK3:BS100" ref="GC2"/>
    <hyperlink display="2017" location="ADHB!CI3:CQ100" ref="GD2"/>
    <hyperlink display="2019" location="ADHB!DG3:DO100" ref="GE2"/>
    <hyperlink display="2021" location="ADHB!EE3:EM100" ref="GF2"/>
    <hyperlink display="2023" location="ADHB!FC3:FK100" ref="GG2"/>
    <hyperlink display="2025" location="ADHB!GA3:GI100" ref="GH2"/>
    <hyperlink display="2011" location="ADHB!O3:W100" ref="GM2"/>
    <hyperlink display="2013" location="ADHB!AM3:AU100" ref="GN2"/>
    <hyperlink display="2015" location="ADHB!BK3:BS100" ref="GO2"/>
    <hyperlink display="2017" location="ADHB!CI3:CQ100" ref="GP2"/>
    <hyperlink display="2019" location="ADHB!DG3:DO100" ref="GQ2"/>
    <hyperlink display="2021" location="ADHB!EE3:EM100" ref="GR2"/>
    <hyperlink display="2023" location="ADHB!FC3:FK100" ref="GS2"/>
    <hyperlink display="2025" location="ADHB!GA3:GI100" ref="GT2"/>
    <hyperlink display="2011" location="ADHB!O3:W100" ref="GY2"/>
    <hyperlink display="2013" location="ADHB!AM3:AU100" ref="GZ2"/>
    <hyperlink display="2015" location="ADHB!BK3:BS100" ref="HA2"/>
    <hyperlink display="2017" location="ADHB!CI3:CQ100" ref="HB2"/>
    <hyperlink display="2019" location="ADHB!DG3:DO100" ref="HC2"/>
    <hyperlink display="2021" location="ADHB!EE3:EM100" ref="HD2"/>
    <hyperlink display="2023" location="ADHB!FC3:FK100" ref="HE2"/>
    <hyperlink display="2025" location="ADHB!GA3:GI100" ref="HF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86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68" t="s">
        <v>47</v>
      </c>
      <c r="B1" s="404" t="str">
        <f>"Rekap NTB   "&amp;ADHK!C7</f>
        <v>Rekap NTB   : Jasa Pertanian, dan Perburuan  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>
        <f>BA5/AL5*100-100</f>
        <v>24.63921027</v>
      </c>
      <c r="BB1" s="87">
        <f>BA6/AL6*100-100</f>
        <v>11.02898837</v>
      </c>
      <c r="BC1" s="87"/>
      <c r="BD1" s="87"/>
      <c r="BE1" s="87"/>
      <c r="BF1" s="87"/>
      <c r="BG1" s="87"/>
      <c r="BH1" s="87"/>
      <c r="BI1" s="87"/>
      <c r="BJ1" s="87"/>
      <c r="BK1" s="87"/>
      <c r="BL1" s="405"/>
      <c r="BM1" s="87"/>
      <c r="BN1" s="87"/>
      <c r="BO1" s="87"/>
      <c r="BP1" s="87"/>
      <c r="BQ1" s="87"/>
      <c r="BR1" s="87"/>
      <c r="BS1" s="406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</row>
    <row r="2" ht="6.75" customHeight="1"/>
    <row r="3" ht="28.5" customHeight="1">
      <c r="B3" s="407" t="s">
        <v>87</v>
      </c>
      <c r="C3" s="408"/>
      <c r="D3" s="409">
        <v>2010.0</v>
      </c>
      <c r="E3" s="410"/>
      <c r="F3" s="410"/>
      <c r="G3" s="410"/>
      <c r="H3" s="411"/>
      <c r="I3" s="412">
        <f>D3+1</f>
        <v>2011</v>
      </c>
      <c r="J3" s="410"/>
      <c r="K3" s="410"/>
      <c r="L3" s="410"/>
      <c r="M3" s="411"/>
      <c r="N3" s="412">
        <f>I3+1</f>
        <v>2012</v>
      </c>
      <c r="O3" s="410"/>
      <c r="P3" s="410"/>
      <c r="Q3" s="410"/>
      <c r="R3" s="411"/>
      <c r="S3" s="412">
        <f>N3+1</f>
        <v>2013</v>
      </c>
      <c r="T3" s="410"/>
      <c r="U3" s="410"/>
      <c r="V3" s="410"/>
      <c r="W3" s="411"/>
      <c r="X3" s="412">
        <f>S3+1</f>
        <v>2014</v>
      </c>
      <c r="Y3" s="410"/>
      <c r="Z3" s="410"/>
      <c r="AA3" s="410"/>
      <c r="AB3" s="411"/>
      <c r="AC3" s="412">
        <f>X3+1</f>
        <v>2015</v>
      </c>
      <c r="AD3" s="410"/>
      <c r="AE3" s="410"/>
      <c r="AF3" s="410"/>
      <c r="AG3" s="411"/>
      <c r="AH3" s="412">
        <f>AC3+1</f>
        <v>2016</v>
      </c>
      <c r="AI3" s="410"/>
      <c r="AJ3" s="410"/>
      <c r="AK3" s="410"/>
      <c r="AL3" s="411"/>
      <c r="AM3" s="412">
        <f>AH3+1</f>
        <v>2017</v>
      </c>
      <c r="AN3" s="410"/>
      <c r="AO3" s="410"/>
      <c r="AP3" s="410"/>
      <c r="AQ3" s="411"/>
      <c r="AR3" s="412">
        <f>AM3+1</f>
        <v>2018</v>
      </c>
      <c r="AS3" s="410"/>
      <c r="AT3" s="410"/>
      <c r="AU3" s="410"/>
      <c r="AV3" s="411"/>
      <c r="AW3" s="412">
        <f>AR3+1</f>
        <v>2019</v>
      </c>
      <c r="AX3" s="410"/>
      <c r="AY3" s="410"/>
      <c r="AZ3" s="410"/>
      <c r="BA3" s="411"/>
      <c r="BB3" s="412">
        <f>AW3+1</f>
        <v>2020</v>
      </c>
      <c r="BC3" s="410"/>
      <c r="BD3" s="410"/>
      <c r="BE3" s="410"/>
      <c r="BF3" s="411"/>
      <c r="BG3" s="412">
        <f>BB3+1</f>
        <v>2021</v>
      </c>
      <c r="BH3" s="410"/>
      <c r="BI3" s="410"/>
      <c r="BJ3" s="410"/>
      <c r="BK3" s="411"/>
      <c r="BL3" s="412">
        <f>BG3+1</f>
        <v>2022</v>
      </c>
      <c r="BM3" s="410"/>
      <c r="BN3" s="410"/>
      <c r="BO3" s="410"/>
      <c r="BP3" s="411"/>
      <c r="BQ3" s="412">
        <f>BL3+1</f>
        <v>2023</v>
      </c>
      <c r="BR3" s="410"/>
      <c r="BS3" s="410"/>
      <c r="BT3" s="410"/>
      <c r="BU3" s="411"/>
      <c r="BV3" s="412">
        <f>BQ3+1</f>
        <v>2024</v>
      </c>
      <c r="BW3" s="410"/>
      <c r="BX3" s="410"/>
      <c r="BY3" s="410"/>
      <c r="BZ3" s="411"/>
      <c r="CA3" s="412">
        <f>BV3+1</f>
        <v>2025</v>
      </c>
      <c r="CB3" s="410"/>
      <c r="CC3" s="410"/>
      <c r="CD3" s="410"/>
      <c r="CE3" s="411"/>
      <c r="CF3" s="412">
        <f>CA3+1</f>
        <v>2026</v>
      </c>
      <c r="CG3" s="410"/>
      <c r="CH3" s="410"/>
      <c r="CI3" s="410"/>
      <c r="CJ3" s="411"/>
      <c r="CK3" s="412">
        <f>CF3+1</f>
        <v>2027</v>
      </c>
      <c r="CL3" s="410"/>
      <c r="CM3" s="410"/>
      <c r="CN3" s="410"/>
      <c r="CO3" s="411"/>
    </row>
    <row r="4" ht="27.0" customHeight="1">
      <c r="A4" s="106"/>
      <c r="B4" s="413"/>
      <c r="C4" s="414"/>
      <c r="D4" s="415" t="s">
        <v>88</v>
      </c>
      <c r="E4" s="416" t="s">
        <v>89</v>
      </c>
      <c r="F4" s="416" t="s">
        <v>90</v>
      </c>
      <c r="G4" s="416" t="s">
        <v>91</v>
      </c>
      <c r="H4" s="416">
        <v>2010.0</v>
      </c>
      <c r="I4" s="416" t="s">
        <v>88</v>
      </c>
      <c r="J4" s="416" t="s">
        <v>89</v>
      </c>
      <c r="K4" s="416" t="s">
        <v>90</v>
      </c>
      <c r="L4" s="416" t="s">
        <v>91</v>
      </c>
      <c r="M4" s="416">
        <v>2011.0</v>
      </c>
      <c r="N4" s="416" t="s">
        <v>88</v>
      </c>
      <c r="O4" s="416" t="s">
        <v>89</v>
      </c>
      <c r="P4" s="416" t="s">
        <v>90</v>
      </c>
      <c r="Q4" s="416" t="s">
        <v>91</v>
      </c>
      <c r="R4" s="416">
        <v>2012.0</v>
      </c>
      <c r="S4" s="416" t="s">
        <v>88</v>
      </c>
      <c r="T4" s="416" t="s">
        <v>89</v>
      </c>
      <c r="U4" s="416" t="s">
        <v>90</v>
      </c>
      <c r="V4" s="416" t="s">
        <v>91</v>
      </c>
      <c r="W4" s="416">
        <v>2013.0</v>
      </c>
      <c r="X4" s="416" t="s">
        <v>88</v>
      </c>
      <c r="Y4" s="416" t="s">
        <v>89</v>
      </c>
      <c r="Z4" s="416" t="s">
        <v>90</v>
      </c>
      <c r="AA4" s="416" t="s">
        <v>91</v>
      </c>
      <c r="AB4" s="416">
        <v>2014.0</v>
      </c>
      <c r="AC4" s="416" t="s">
        <v>88</v>
      </c>
      <c r="AD4" s="416" t="s">
        <v>89</v>
      </c>
      <c r="AE4" s="416" t="s">
        <v>90</v>
      </c>
      <c r="AF4" s="416" t="s">
        <v>91</v>
      </c>
      <c r="AG4" s="416">
        <v>2015.0</v>
      </c>
      <c r="AH4" s="416" t="s">
        <v>88</v>
      </c>
      <c r="AI4" s="416" t="s">
        <v>89</v>
      </c>
      <c r="AJ4" s="416" t="s">
        <v>90</v>
      </c>
      <c r="AK4" s="416" t="s">
        <v>91</v>
      </c>
      <c r="AL4" s="416">
        <v>2016.0</v>
      </c>
      <c r="AM4" s="416" t="s">
        <v>88</v>
      </c>
      <c r="AN4" s="416" t="s">
        <v>89</v>
      </c>
      <c r="AO4" s="416" t="s">
        <v>90</v>
      </c>
      <c r="AP4" s="416" t="s">
        <v>91</v>
      </c>
      <c r="AQ4" s="416">
        <v>2017.0</v>
      </c>
      <c r="AR4" s="416" t="s">
        <v>88</v>
      </c>
      <c r="AS4" s="416" t="s">
        <v>89</v>
      </c>
      <c r="AT4" s="416" t="s">
        <v>90</v>
      </c>
      <c r="AU4" s="416" t="s">
        <v>91</v>
      </c>
      <c r="AV4" s="416">
        <v>2018.0</v>
      </c>
      <c r="AW4" s="416" t="s">
        <v>88</v>
      </c>
      <c r="AX4" s="416" t="s">
        <v>89</v>
      </c>
      <c r="AY4" s="416" t="s">
        <v>90</v>
      </c>
      <c r="AZ4" s="416" t="s">
        <v>91</v>
      </c>
      <c r="BA4" s="416">
        <v>2019.0</v>
      </c>
      <c r="BB4" s="416" t="s">
        <v>88</v>
      </c>
      <c r="BC4" s="416" t="s">
        <v>89</v>
      </c>
      <c r="BD4" s="416" t="s">
        <v>90</v>
      </c>
      <c r="BE4" s="416" t="s">
        <v>91</v>
      </c>
      <c r="BF4" s="416">
        <f>BA4+1</f>
        <v>2020</v>
      </c>
      <c r="BG4" s="416" t="s">
        <v>88</v>
      </c>
      <c r="BH4" s="416" t="s">
        <v>89</v>
      </c>
      <c r="BI4" s="416" t="s">
        <v>90</v>
      </c>
      <c r="BJ4" s="416" t="s">
        <v>91</v>
      </c>
      <c r="BK4" s="416">
        <f>BF4+1</f>
        <v>2021</v>
      </c>
      <c r="BL4" s="416" t="s">
        <v>88</v>
      </c>
      <c r="BM4" s="416" t="s">
        <v>89</v>
      </c>
      <c r="BN4" s="416" t="s">
        <v>90</v>
      </c>
      <c r="BO4" s="416" t="s">
        <v>91</v>
      </c>
      <c r="BP4" s="416">
        <f>BK4+1</f>
        <v>2022</v>
      </c>
      <c r="BQ4" s="416" t="s">
        <v>88</v>
      </c>
      <c r="BR4" s="416" t="s">
        <v>89</v>
      </c>
      <c r="BS4" s="416" t="s">
        <v>90</v>
      </c>
      <c r="BT4" s="416" t="s">
        <v>91</v>
      </c>
      <c r="BU4" s="416">
        <f>BP4+1</f>
        <v>2023</v>
      </c>
      <c r="BV4" s="416" t="s">
        <v>88</v>
      </c>
      <c r="BW4" s="416" t="s">
        <v>89</v>
      </c>
      <c r="BX4" s="416" t="s">
        <v>90</v>
      </c>
      <c r="BY4" s="416" t="s">
        <v>91</v>
      </c>
      <c r="BZ4" s="416">
        <f>BU4+1</f>
        <v>2024</v>
      </c>
      <c r="CA4" s="416" t="s">
        <v>88</v>
      </c>
      <c r="CB4" s="416" t="s">
        <v>89</v>
      </c>
      <c r="CC4" s="416" t="s">
        <v>90</v>
      </c>
      <c r="CD4" s="416" t="s">
        <v>91</v>
      </c>
      <c r="CE4" s="416">
        <f>BZ4+1</f>
        <v>2025</v>
      </c>
      <c r="CF4" s="416" t="s">
        <v>88</v>
      </c>
      <c r="CG4" s="416" t="s">
        <v>89</v>
      </c>
      <c r="CH4" s="416" t="s">
        <v>90</v>
      </c>
      <c r="CI4" s="416" t="s">
        <v>91</v>
      </c>
      <c r="CJ4" s="416">
        <f>CE4+1</f>
        <v>2026</v>
      </c>
      <c r="CK4" s="416" t="s">
        <v>88</v>
      </c>
      <c r="CL4" s="416" t="s">
        <v>89</v>
      </c>
      <c r="CM4" s="416" t="s">
        <v>90</v>
      </c>
      <c r="CN4" s="416" t="s">
        <v>91</v>
      </c>
      <c r="CO4" s="416">
        <f>CJ4+1</f>
        <v>2027</v>
      </c>
      <c r="CP4" s="106"/>
      <c r="CQ4" s="106"/>
      <c r="CR4" s="106"/>
      <c r="CS4" s="106"/>
      <c r="CT4" s="106"/>
      <c r="CU4" s="106"/>
      <c r="CV4" s="106"/>
      <c r="CW4" s="106"/>
      <c r="CX4" s="106"/>
      <c r="CY4" s="106"/>
    </row>
    <row r="5" ht="24.75" customHeight="1">
      <c r="A5" s="417">
        <v>2010.0</v>
      </c>
      <c r="B5" s="418" t="s">
        <v>92</v>
      </c>
      <c r="C5" s="419" t="s">
        <v>83</v>
      </c>
      <c r="D5" s="420">
        <f>IFERROR(__xludf.DUMMYFUNCTION("IMPORTRANGE(""https://docs.google.com/spreadsheets/d/1rDjUxjWxKmNwjaQ2sjBtNn1ISDTAboAwWubYPRN_nM8/edit#gid=521781631"",""Prod!N17:Co17"")"),26527.28630645008)</f>
        <v>26527.28631</v>
      </c>
      <c r="E5" s="421">
        <f>IFERROR(__xludf.DUMMYFUNCTION("""COMPUTED_VALUE"""),29302.570892279076)</f>
        <v>29302.57089</v>
      </c>
      <c r="F5" s="421">
        <f>IFERROR(__xludf.DUMMYFUNCTION("""COMPUTED_VALUE"""),31450.834798693035)</f>
        <v>31450.8348</v>
      </c>
      <c r="G5" s="421">
        <f>IFERROR(__xludf.DUMMYFUNCTION("""COMPUTED_VALUE"""),26845.92717257773)</f>
        <v>26845.92717</v>
      </c>
      <c r="H5" s="421">
        <f>IFERROR(__xludf.DUMMYFUNCTION("""COMPUTED_VALUE"""),114126.61916999993)</f>
        <v>114126.6192</v>
      </c>
      <c r="I5" s="421">
        <f>IFERROR(__xludf.DUMMYFUNCTION("""COMPUTED_VALUE"""),29181.829614935534)</f>
        <v>29181.82961</v>
      </c>
      <c r="J5" s="421">
        <f>IFERROR(__xludf.DUMMYFUNCTION("""COMPUTED_VALUE"""),30680.222767625477)</f>
        <v>30680.22277</v>
      </c>
      <c r="K5" s="421">
        <f>IFERROR(__xludf.DUMMYFUNCTION("""COMPUTED_VALUE"""),32730.83424212085)</f>
        <v>32730.83424</v>
      </c>
      <c r="L5" s="421">
        <f>IFERROR(__xludf.DUMMYFUNCTION("""COMPUTED_VALUE"""),34054.48319335259)</f>
        <v>34054.48319</v>
      </c>
      <c r="M5" s="421">
        <f>IFERROR(__xludf.DUMMYFUNCTION("""COMPUTED_VALUE"""),126647.36981803447)</f>
        <v>126647.3698</v>
      </c>
      <c r="N5" s="421">
        <f>IFERROR(__xludf.DUMMYFUNCTION("""COMPUTED_VALUE"""),35728.73246340321)</f>
        <v>35728.73246</v>
      </c>
      <c r="O5" s="421">
        <f>IFERROR(__xludf.DUMMYFUNCTION("""COMPUTED_VALUE"""),36764.33585516534)</f>
        <v>36764.33586</v>
      </c>
      <c r="P5" s="421">
        <f>IFERROR(__xludf.DUMMYFUNCTION("""COMPUTED_VALUE"""),36850.21931514578)</f>
        <v>36850.21932</v>
      </c>
      <c r="Q5" s="421">
        <f>IFERROR(__xludf.DUMMYFUNCTION("""COMPUTED_VALUE"""),34428.57546293387)</f>
        <v>34428.57546</v>
      </c>
      <c r="R5" s="421">
        <f>IFERROR(__xludf.DUMMYFUNCTION("""COMPUTED_VALUE"""),143771.8630966482)</f>
        <v>143771.8631</v>
      </c>
      <c r="S5" s="421">
        <f>IFERROR(__xludf.DUMMYFUNCTION("""COMPUTED_VALUE"""),34761.615420634895)</f>
        <v>34761.61542</v>
      </c>
      <c r="T5" s="421">
        <f>IFERROR(__xludf.DUMMYFUNCTION("""COMPUTED_VALUE"""),37791.29207235553)</f>
        <v>37791.29207</v>
      </c>
      <c r="U5" s="421">
        <f>IFERROR(__xludf.DUMMYFUNCTION("""COMPUTED_VALUE"""),39264.55798912237)</f>
        <v>39264.55799</v>
      </c>
      <c r="V5" s="421">
        <f>IFERROR(__xludf.DUMMYFUNCTION("""COMPUTED_VALUE"""),38023.689913582195)</f>
        <v>38023.68991</v>
      </c>
      <c r="W5" s="421">
        <f>IFERROR(__xludf.DUMMYFUNCTION("""COMPUTED_VALUE"""),149841.155395695)</f>
        <v>149841.1554</v>
      </c>
      <c r="X5" s="421">
        <f>IFERROR(__xludf.DUMMYFUNCTION("""COMPUTED_VALUE"""),39964.400734934796)</f>
        <v>39964.40073</v>
      </c>
      <c r="Y5" s="421">
        <f>IFERROR(__xludf.DUMMYFUNCTION("""COMPUTED_VALUE"""),39393.346628131105)</f>
        <v>39393.34663</v>
      </c>
      <c r="Z5" s="421">
        <f>IFERROR(__xludf.DUMMYFUNCTION("""COMPUTED_VALUE"""),42749.68696938329)</f>
        <v>42749.68697</v>
      </c>
      <c r="AA5" s="421">
        <f>IFERROR(__xludf.DUMMYFUNCTION("""COMPUTED_VALUE"""),35289.260534780304)</f>
        <v>35289.26053</v>
      </c>
      <c r="AB5" s="421">
        <f>IFERROR(__xludf.DUMMYFUNCTION("""COMPUTED_VALUE"""),157396.6948672295)</f>
        <v>157396.6949</v>
      </c>
      <c r="AC5" s="421">
        <f>IFERROR(__xludf.DUMMYFUNCTION("""COMPUTED_VALUE"""),36906.488672164276)</f>
        <v>36906.48867</v>
      </c>
      <c r="AD5" s="421">
        <f>IFERROR(__xludf.DUMMYFUNCTION("""COMPUTED_VALUE"""),38011.32121683126)</f>
        <v>38011.32122</v>
      </c>
      <c r="AE5" s="421">
        <f>IFERROR(__xludf.DUMMYFUNCTION("""COMPUTED_VALUE"""),40335.814839687126)</f>
        <v>40335.81484</v>
      </c>
      <c r="AF5" s="421">
        <f>IFERROR(__xludf.DUMMYFUNCTION("""COMPUTED_VALUE"""),40853.89577881269)</f>
        <v>40853.89578</v>
      </c>
      <c r="AG5" s="421">
        <f>IFERROR(__xludf.DUMMYFUNCTION("""COMPUTED_VALUE"""),156107.52050749536)</f>
        <v>156107.5205</v>
      </c>
      <c r="AH5" s="421">
        <f>IFERROR(__xludf.DUMMYFUNCTION("""COMPUTED_VALUE"""),40763.23456822609)</f>
        <v>40763.23457</v>
      </c>
      <c r="AI5" s="421">
        <f>IFERROR(__xludf.DUMMYFUNCTION("""COMPUTED_VALUE"""),42800.83141469396)</f>
        <v>42800.83141</v>
      </c>
      <c r="AJ5" s="421">
        <f>IFERROR(__xludf.DUMMYFUNCTION("""COMPUTED_VALUE"""),43419.00666152709)</f>
        <v>43419.00666</v>
      </c>
      <c r="AK5" s="421">
        <f>IFERROR(__xludf.DUMMYFUNCTION("""COMPUTED_VALUE"""),43728.00353642333)</f>
        <v>43728.00354</v>
      </c>
      <c r="AL5" s="421">
        <f>IFERROR(__xludf.DUMMYFUNCTION("""COMPUTED_VALUE"""),170711.07618087047)</f>
        <v>170711.0762</v>
      </c>
      <c r="AM5" s="421">
        <f>IFERROR(__xludf.DUMMYFUNCTION("""COMPUTED_VALUE"""),43853.16711585)</f>
        <v>43853.16712</v>
      </c>
      <c r="AN5" s="421">
        <f>IFERROR(__xludf.DUMMYFUNCTION("""COMPUTED_VALUE"""),45432.51652100743)</f>
        <v>45432.51652</v>
      </c>
      <c r="AO5" s="421">
        <f>IFERROR(__xludf.DUMMYFUNCTION("""COMPUTED_VALUE"""),44154.42668491989)</f>
        <v>44154.42668</v>
      </c>
      <c r="AP5" s="421">
        <f>IFERROR(__xludf.DUMMYFUNCTION("""COMPUTED_VALUE"""),44384.22884014581)</f>
        <v>44384.22884</v>
      </c>
      <c r="AQ5" s="421">
        <f>IFERROR(__xludf.DUMMYFUNCTION("""COMPUTED_VALUE"""),177824.33916192313)</f>
        <v>177824.3392</v>
      </c>
      <c r="AR5" s="421">
        <f>IFERROR(__xludf.DUMMYFUNCTION("""COMPUTED_VALUE"""),47683.619195382154)</f>
        <v>47683.6192</v>
      </c>
      <c r="AS5" s="421">
        <f>IFERROR(__xludf.DUMMYFUNCTION("""COMPUTED_VALUE"""),51097.6368181585)</f>
        <v>51097.63682</v>
      </c>
      <c r="AT5" s="421">
        <f>IFERROR(__xludf.DUMMYFUNCTION("""COMPUTED_VALUE"""),49148.06916821865)</f>
        <v>49148.06917</v>
      </c>
      <c r="AU5" s="421">
        <f>IFERROR(__xludf.DUMMYFUNCTION("""COMPUTED_VALUE"""),51942.871073041315)</f>
        <v>51942.87107</v>
      </c>
      <c r="AV5" s="421">
        <f>IFERROR(__xludf.DUMMYFUNCTION("""COMPUTED_VALUE"""),199872.19625480063)</f>
        <v>199872.1963</v>
      </c>
      <c r="AW5" s="421">
        <f>IFERROR(__xludf.DUMMYFUNCTION("""COMPUTED_VALUE"""),49634.0597169139)</f>
        <v>49634.05972</v>
      </c>
      <c r="AX5" s="421">
        <f>IFERROR(__xludf.DUMMYFUNCTION("""COMPUTED_VALUE"""),54072.6194698608)</f>
        <v>54072.61947</v>
      </c>
      <c r="AY5" s="421">
        <f>IFERROR(__xludf.DUMMYFUNCTION("""COMPUTED_VALUE"""),52983.3758784192)</f>
        <v>52983.37588</v>
      </c>
      <c r="AZ5" s="421">
        <f>IFERROR(__xludf.DUMMYFUNCTION("""COMPUTED_VALUE"""),56082.8821370926)</f>
        <v>56082.88214</v>
      </c>
      <c r="BA5" s="421">
        <f>IFERROR(__xludf.DUMMYFUNCTION("""COMPUTED_VALUE"""),212772.9372022865)</f>
        <v>212772.9372</v>
      </c>
      <c r="BB5" s="421">
        <f>IFERROR(__xludf.DUMMYFUNCTION("""COMPUTED_VALUE"""),54249.6269768386)</f>
        <v>54249.62698</v>
      </c>
      <c r="BC5" s="421">
        <f>IFERROR(__xludf.DUMMYFUNCTION("""COMPUTED_VALUE"""),55737.8081032451)</f>
        <v>55737.8081</v>
      </c>
      <c r="BD5" s="421">
        <f>IFERROR(__xludf.DUMMYFUNCTION("""COMPUTED_VALUE"""),54434.5489819128)</f>
        <v>54434.54898</v>
      </c>
      <c r="BE5" s="421">
        <f>IFERROR(__xludf.DUMMYFUNCTION("""COMPUTED_VALUE"""),58818.010180582)</f>
        <v>58818.01018</v>
      </c>
      <c r="BF5" s="421">
        <f>IFERROR(__xludf.DUMMYFUNCTION("""COMPUTED_VALUE"""),223239.9942425785)</f>
        <v>223239.9942</v>
      </c>
      <c r="BG5" s="421">
        <f>IFERROR(__xludf.DUMMYFUNCTION("""COMPUTED_VALUE"""),52754.1939323261)</f>
        <v>52754.19393</v>
      </c>
      <c r="BH5" s="421">
        <f>IFERROR(__xludf.DUMMYFUNCTION("""COMPUTED_VALUE"""),57519.0642380577)</f>
        <v>57519.06424</v>
      </c>
      <c r="BI5" s="421">
        <f>IFERROR(__xludf.DUMMYFUNCTION("""COMPUTED_VALUE"""),56808.0073306113)</f>
        <v>56808.00733</v>
      </c>
      <c r="BJ5" s="421">
        <f>IFERROR(__xludf.DUMMYFUNCTION("""COMPUTED_VALUE"""),59120.7586499026)</f>
        <v>59120.75865</v>
      </c>
      <c r="BK5" s="421">
        <f>IFERROR(__xludf.DUMMYFUNCTION("""COMPUTED_VALUE"""),226202.0241508977)</f>
        <v>226202.0242</v>
      </c>
      <c r="BL5" s="421">
        <f>IFERROR(__xludf.DUMMYFUNCTION("""COMPUTED_VALUE"""),58843.2044695947)</f>
        <v>58843.20447</v>
      </c>
      <c r="BM5" s="421">
        <f>IFERROR(__xludf.DUMMYFUNCTION("""COMPUTED_VALUE"""),61531.6206279335)</f>
        <v>61531.62063</v>
      </c>
      <c r="BN5" s="421">
        <f>IFERROR(__xludf.DUMMYFUNCTION("""COMPUTED_VALUE"""),59805.6991532987)</f>
        <v>59805.69915</v>
      </c>
      <c r="BO5" s="421">
        <f>IFERROR(__xludf.DUMMYFUNCTION("""COMPUTED_VALUE"""),62239.7999596447)</f>
        <v>62239.79996</v>
      </c>
      <c r="BP5" s="421">
        <f>IFERROR(__xludf.DUMMYFUNCTION("""COMPUTED_VALUE"""),242420.32421047162)</f>
        <v>242420.3242</v>
      </c>
      <c r="BQ5" s="422">
        <f>IFERROR(__xludf.DUMMYFUNCTION("""COMPUTED_VALUE"""),62465.068110463)</f>
        <v>62465.06811</v>
      </c>
      <c r="BR5" s="421">
        <f>IFERROR(__xludf.DUMMYFUNCTION("""COMPUTED_VALUE"""),64397.2219656952)</f>
        <v>64397.22197</v>
      </c>
      <c r="BS5" s="421">
        <f>IFERROR(__xludf.DUMMYFUNCTION("""COMPUTED_VALUE"""),64292.4635920514)</f>
        <v>64292.46359</v>
      </c>
      <c r="BT5" s="421">
        <f>IFERROR(__xludf.DUMMYFUNCTION("""COMPUTED_VALUE"""),66619.960651565)</f>
        <v>66619.96065</v>
      </c>
      <c r="BU5" s="421">
        <f>IFERROR(__xludf.DUMMYFUNCTION("""COMPUTED_VALUE"""),257774.7143197746)</f>
        <v>257774.7143</v>
      </c>
      <c r="BV5" s="421">
        <f>IFERROR(__xludf.DUMMYFUNCTION("""COMPUTED_VALUE"""),68834.079536751)</f>
        <v>68834.07954</v>
      </c>
      <c r="BW5" s="421">
        <f>IFERROR(__xludf.DUMMYFUNCTION("""COMPUTED_VALUE"""),77129.9019308249)</f>
        <v>77129.90193</v>
      </c>
      <c r="BX5" s="421">
        <f>IFERROR(__xludf.DUMMYFUNCTION("""COMPUTED_VALUE"""),75467.5409232374)</f>
        <v>75467.54092</v>
      </c>
      <c r="BY5" s="421">
        <f>IFERROR(__xludf.DUMMYFUNCTION("""COMPUTED_VALUE"""),77508.7939531669)</f>
        <v>77508.79395</v>
      </c>
      <c r="BZ5" s="421">
        <f>IFERROR(__xludf.DUMMYFUNCTION("""COMPUTED_VALUE"""),298940.31634398014)</f>
        <v>298940.3163</v>
      </c>
      <c r="CA5" s="421">
        <f>IFERROR(__xludf.DUMMYFUNCTION("""COMPUTED_VALUE"""),77431.3376393136)</f>
        <v>77431.33764</v>
      </c>
      <c r="CB5" s="421">
        <f>IFERROR(__xludf.DUMMYFUNCTION("""COMPUTED_VALUE"""),88678.85401031)</f>
        <v>88678.85401</v>
      </c>
      <c r="CC5" s="421">
        <f>IFERROR(__xludf.DUMMYFUNCTION("""COMPUTED_VALUE"""),86685.5761611683)</f>
        <v>86685.57616</v>
      </c>
      <c r="CD5" s="421">
        <f>IFERROR(__xludf.DUMMYFUNCTION("""COMPUTED_VALUE"""),86945.1642043319)</f>
        <v>86945.1642</v>
      </c>
      <c r="CE5" s="421">
        <f>IFERROR(__xludf.DUMMYFUNCTION("""COMPUTED_VALUE"""),339740.9320151238)</f>
        <v>339740.932</v>
      </c>
      <c r="CF5" s="421">
        <f t="shared" ref="CF5:CI5" si="1">CF11</f>
        <v>83182.22881</v>
      </c>
      <c r="CG5" s="421">
        <f t="shared" si="1"/>
        <v>0</v>
      </c>
      <c r="CH5" s="421">
        <f t="shared" si="1"/>
        <v>0</v>
      </c>
      <c r="CI5" s="421">
        <f t="shared" si="1"/>
        <v>0</v>
      </c>
      <c r="CJ5" s="421">
        <f t="shared" ref="CJ5:CJ6" si="4">CF5+CG5+CH5+CI5</f>
        <v>83182.22881</v>
      </c>
      <c r="CK5" s="421">
        <f t="shared" ref="CK5:CN5" si="2">CK11</f>
        <v>0</v>
      </c>
      <c r="CL5" s="421">
        <f t="shared" si="2"/>
        <v>0</v>
      </c>
      <c r="CM5" s="421">
        <f t="shared" si="2"/>
        <v>0</v>
      </c>
      <c r="CN5" s="421">
        <f t="shared" si="2"/>
        <v>0</v>
      </c>
      <c r="CO5" s="421">
        <f t="shared" ref="CO5:CO6" si="6">CK5+CL5+CM5+CN5</f>
        <v>0</v>
      </c>
      <c r="CP5" s="423"/>
      <c r="CQ5" s="423"/>
      <c r="CR5" s="423"/>
      <c r="CS5" s="423"/>
      <c r="CT5" s="423"/>
      <c r="CU5" s="423"/>
      <c r="CV5" s="423"/>
      <c r="CW5" s="423"/>
      <c r="CX5" s="423"/>
      <c r="CY5" s="423"/>
    </row>
    <row r="6" ht="24.75" customHeight="1">
      <c r="A6" s="417">
        <v>2011.0</v>
      </c>
      <c r="B6" s="424"/>
      <c r="C6" s="425" t="s">
        <v>52</v>
      </c>
      <c r="D6" s="420">
        <f>IFERROR(__xludf.DUMMYFUNCTION("IMPORTRANGE(""https://docs.google.com/spreadsheets/d/1rDjUxjWxKmNwjaQ2sjBtNn1ISDTAboAwWubYPRN_nM8/edit#gid=521781631"",""Prod!N93:Co93"")"),26813.634911850077)</f>
        <v>26813.63491</v>
      </c>
      <c r="E6" s="426">
        <f>IFERROR(__xludf.DUMMYFUNCTION("""COMPUTED_VALUE"""),29188.82424127754)</f>
        <v>29188.82424</v>
      </c>
      <c r="F6" s="426">
        <f>IFERROR(__xludf.DUMMYFUNCTION("""COMPUTED_VALUE"""),31238.476682960303)</f>
        <v>31238.47668</v>
      </c>
      <c r="G6" s="426">
        <f>IFERROR(__xludf.DUMMYFUNCTION("""COMPUTED_VALUE"""),26885.68330128956)</f>
        <v>26885.6833</v>
      </c>
      <c r="H6" s="426">
        <f>IFERROR(__xludf.DUMMYFUNCTION("""COMPUTED_VALUE"""),114126.61913737748)</f>
        <v>114126.6191</v>
      </c>
      <c r="I6" s="426">
        <f>IFERROR(__xludf.DUMMYFUNCTION("""COMPUTED_VALUE"""),28453.682104599055)</f>
        <v>28453.6821</v>
      </c>
      <c r="J6" s="426">
        <f>IFERROR(__xludf.DUMMYFUNCTION("""COMPUTED_VALUE"""),30080.707423348613)</f>
        <v>30080.70742</v>
      </c>
      <c r="K6" s="426">
        <f>IFERROR(__xludf.DUMMYFUNCTION("""COMPUTED_VALUE"""),31901.71235305549)</f>
        <v>31901.71235</v>
      </c>
      <c r="L6" s="426">
        <f>IFERROR(__xludf.DUMMYFUNCTION("""COMPUTED_VALUE"""),33050.01897315922)</f>
        <v>33050.01897</v>
      </c>
      <c r="M6" s="426">
        <f>IFERROR(__xludf.DUMMYFUNCTION("""COMPUTED_VALUE"""),123486.12085416238)</f>
        <v>123486.1209</v>
      </c>
      <c r="N6" s="426">
        <f>IFERROR(__xludf.DUMMYFUNCTION("""COMPUTED_VALUE"""),34006.788599093125)</f>
        <v>34006.7886</v>
      </c>
      <c r="O6" s="426">
        <f>IFERROR(__xludf.DUMMYFUNCTION("""COMPUTED_VALUE"""),34658.742306388114)</f>
        <v>34658.74231</v>
      </c>
      <c r="P6" s="426">
        <f>IFERROR(__xludf.DUMMYFUNCTION("""COMPUTED_VALUE"""),33841.28909879855)</f>
        <v>33841.2891</v>
      </c>
      <c r="Q6" s="426">
        <f>IFERROR(__xludf.DUMMYFUNCTION("""COMPUTED_VALUE"""),33011.9534249748)</f>
        <v>33011.95342</v>
      </c>
      <c r="R6" s="426">
        <f>IFERROR(__xludf.DUMMYFUNCTION("""COMPUTED_VALUE"""),135518.7734292546)</f>
        <v>135518.7734</v>
      </c>
      <c r="S6" s="426">
        <f>IFERROR(__xludf.DUMMYFUNCTION("""COMPUTED_VALUE"""),32141.42496375081)</f>
        <v>32141.42496</v>
      </c>
      <c r="T6" s="426">
        <f>IFERROR(__xludf.DUMMYFUNCTION("""COMPUTED_VALUE"""),34570.05863000043)</f>
        <v>34570.05863</v>
      </c>
      <c r="U6" s="426">
        <f>IFERROR(__xludf.DUMMYFUNCTION("""COMPUTED_VALUE"""),35749.09165004951)</f>
        <v>35749.09165</v>
      </c>
      <c r="V6" s="426">
        <f>IFERROR(__xludf.DUMMYFUNCTION("""COMPUTED_VALUE"""),34605.9809995498)</f>
        <v>34605.981</v>
      </c>
      <c r="W6" s="426">
        <f>IFERROR(__xludf.DUMMYFUNCTION("""COMPUTED_VALUE"""),137066.55624335055)</f>
        <v>137066.5562</v>
      </c>
      <c r="X6" s="426">
        <f>IFERROR(__xludf.DUMMYFUNCTION("""COMPUTED_VALUE"""),34636.73985574287)</f>
        <v>34636.73986</v>
      </c>
      <c r="Y6" s="426">
        <f>IFERROR(__xludf.DUMMYFUNCTION("""COMPUTED_VALUE"""),35498.37920898737)</f>
        <v>35498.37921</v>
      </c>
      <c r="Z6" s="426">
        <f>IFERROR(__xludf.DUMMYFUNCTION("""COMPUTED_VALUE"""),38398.23613243687)</f>
        <v>38398.23613</v>
      </c>
      <c r="AA6" s="426">
        <f>IFERROR(__xludf.DUMMYFUNCTION("""COMPUTED_VALUE"""),33154.13456435862)</f>
        <v>33154.13456</v>
      </c>
      <c r="AB6" s="426">
        <f>IFERROR(__xludf.DUMMYFUNCTION("""COMPUTED_VALUE"""),141687.48976152574)</f>
        <v>141687.4898</v>
      </c>
      <c r="AC6" s="426">
        <f>IFERROR(__xludf.DUMMYFUNCTION("""COMPUTED_VALUE"""),33977.61800051949)</f>
        <v>33977.618</v>
      </c>
      <c r="AD6" s="426">
        <f>IFERROR(__xludf.DUMMYFUNCTION("""COMPUTED_VALUE"""),35101.41399651977)</f>
        <v>35101.414</v>
      </c>
      <c r="AE6" s="426">
        <f>IFERROR(__xludf.DUMMYFUNCTION("""COMPUTED_VALUE"""),36407.45088878701)</f>
        <v>36407.45089</v>
      </c>
      <c r="AF6" s="426">
        <f>IFERROR(__xludf.DUMMYFUNCTION("""COMPUTED_VALUE"""),36683.03473001049)</f>
        <v>36683.03473</v>
      </c>
      <c r="AG6" s="426">
        <f>IFERROR(__xludf.DUMMYFUNCTION("""COMPUTED_VALUE"""),142169.51761583675)</f>
        <v>142169.5176</v>
      </c>
      <c r="AH6" s="426">
        <f>IFERROR(__xludf.DUMMYFUNCTION("""COMPUTED_VALUE"""),36268.2821600127)</f>
        <v>36268.28216</v>
      </c>
      <c r="AI6" s="426">
        <f>IFERROR(__xludf.DUMMYFUNCTION("""COMPUTED_VALUE"""),37707.795040630706)</f>
        <v>37707.79504</v>
      </c>
      <c r="AJ6" s="426">
        <f>IFERROR(__xludf.DUMMYFUNCTION("""COMPUTED_VALUE"""),37965.30463269793)</f>
        <v>37965.30463</v>
      </c>
      <c r="AK6" s="426">
        <f>IFERROR(__xludf.DUMMYFUNCTION("""COMPUTED_VALUE"""),38013.58898653873)</f>
        <v>38013.58899</v>
      </c>
      <c r="AL6" s="426">
        <f>IFERROR(__xludf.DUMMYFUNCTION("""COMPUTED_VALUE"""),149954.97081988005)</f>
        <v>149954.9708</v>
      </c>
      <c r="AM6" s="426">
        <f>IFERROR(__xludf.DUMMYFUNCTION("""COMPUTED_VALUE"""),37449.00392427903)</f>
        <v>37449.00392</v>
      </c>
      <c r="AN6" s="426">
        <f>IFERROR(__xludf.DUMMYFUNCTION("""COMPUTED_VALUE"""),38766.48620347094)</f>
        <v>38766.4862</v>
      </c>
      <c r="AO6" s="426">
        <f>IFERROR(__xludf.DUMMYFUNCTION("""COMPUTED_VALUE"""),37522.08199633952)</f>
        <v>37522.082</v>
      </c>
      <c r="AP6" s="426">
        <f>IFERROR(__xludf.DUMMYFUNCTION("""COMPUTED_VALUE"""),37563.35628653548)</f>
        <v>37563.35629</v>
      </c>
      <c r="AQ6" s="426">
        <f>IFERROR(__xludf.DUMMYFUNCTION("""COMPUTED_VALUE"""),151300.92841062497)</f>
        <v>151300.9284</v>
      </c>
      <c r="AR6" s="426">
        <f>IFERROR(__xludf.DUMMYFUNCTION("""COMPUTED_VALUE"""),39629.4264939884)</f>
        <v>39629.42649</v>
      </c>
      <c r="AS6" s="426">
        <f>IFERROR(__xludf.DUMMYFUNCTION("""COMPUTED_VALUE"""),42312.98996671509)</f>
        <v>42312.98997</v>
      </c>
      <c r="AT6" s="426">
        <f>IFERROR(__xludf.DUMMYFUNCTION("""COMPUTED_VALUE"""),40291.253338078415)</f>
        <v>40291.25334</v>
      </c>
      <c r="AU6" s="426">
        <f>IFERROR(__xludf.DUMMYFUNCTION("""COMPUTED_VALUE"""),41116.83706292706)</f>
        <v>41116.83706</v>
      </c>
      <c r="AV6" s="426">
        <f>IFERROR(__xludf.DUMMYFUNCTION("""COMPUTED_VALUE"""),163350.50686170897)</f>
        <v>163350.5069</v>
      </c>
      <c r="AW6" s="426">
        <f>IFERROR(__xludf.DUMMYFUNCTION("""COMPUTED_VALUE"""),39134.8732422226)</f>
        <v>39134.87324</v>
      </c>
      <c r="AX6" s="426">
        <f>IFERROR(__xludf.DUMMYFUNCTION("""COMPUTED_VALUE"""),42467.0336345402)</f>
        <v>42467.03363</v>
      </c>
      <c r="AY6" s="426">
        <f>IFERROR(__xludf.DUMMYFUNCTION("""COMPUTED_VALUE"""),41539.3095532031)</f>
        <v>41539.30955</v>
      </c>
      <c r="AZ6" s="426">
        <f>IFERROR(__xludf.DUMMYFUNCTION("""COMPUTED_VALUE"""),43352.2706798318)</f>
        <v>43352.27068</v>
      </c>
      <c r="BA6" s="426">
        <f>IFERROR(__xludf.DUMMYFUNCTION("""COMPUTED_VALUE"""),166493.48710979772)</f>
        <v>166493.4871</v>
      </c>
      <c r="BB6" s="426">
        <f>IFERROR(__xludf.DUMMYFUNCTION("""COMPUTED_VALUE"""),41298.2184447187)</f>
        <v>41298.21844</v>
      </c>
      <c r="BC6" s="426">
        <f>IFERROR(__xludf.DUMMYFUNCTION("""COMPUTED_VALUE"""),43062.8174253582)</f>
        <v>43062.81743</v>
      </c>
      <c r="BD6" s="426">
        <f>IFERROR(__xludf.DUMMYFUNCTION("""COMPUTED_VALUE"""),41910.5212482106)</f>
        <v>41910.52125</v>
      </c>
      <c r="BE6" s="426">
        <f>IFERROR(__xludf.DUMMYFUNCTION("""COMPUTED_VALUE"""),44374.8769981578)</f>
        <v>44374.877</v>
      </c>
      <c r="BF6" s="426">
        <f>IFERROR(__xludf.DUMMYFUNCTION("""COMPUTED_VALUE"""),170646.4341164453)</f>
        <v>170646.4341</v>
      </c>
      <c r="BG6" s="426">
        <f>IFERROR(__xludf.DUMMYFUNCTION("""COMPUTED_VALUE"""),39751.644111061)</f>
        <v>39751.64411</v>
      </c>
      <c r="BH6" s="426">
        <f>IFERROR(__xludf.DUMMYFUNCTION("""COMPUTED_VALUE"""),43257.7367761861)</f>
        <v>43257.73678</v>
      </c>
      <c r="BI6" s="426">
        <f>IFERROR(__xludf.DUMMYFUNCTION("""COMPUTED_VALUE"""),42738.4783514123)</f>
        <v>42738.47835</v>
      </c>
      <c r="BJ6" s="426">
        <f>IFERROR(__xludf.DUMMYFUNCTION("""COMPUTED_VALUE"""),44236.3744010296)</f>
        <v>44236.3744</v>
      </c>
      <c r="BK6" s="426">
        <f>IFERROR(__xludf.DUMMYFUNCTION("""COMPUTED_VALUE"""),169984.233639689)</f>
        <v>169984.2336</v>
      </c>
      <c r="BL6" s="426">
        <f>IFERROR(__xludf.DUMMYFUNCTION("""COMPUTED_VALUE"""),42983.6765864774)</f>
        <v>42983.67659</v>
      </c>
      <c r="BM6" s="426">
        <f>IFERROR(__xludf.DUMMYFUNCTION("""COMPUTED_VALUE"""),44979.5907398241)</f>
        <v>44979.59074</v>
      </c>
      <c r="BN6" s="426">
        <f>IFERROR(__xludf.DUMMYFUNCTION("""COMPUTED_VALUE"""),43532.0682658775)</f>
        <v>43532.06827</v>
      </c>
      <c r="BO6" s="426">
        <f>IFERROR(__xludf.DUMMYFUNCTION("""COMPUTED_VALUE"""),44841.5209740193)</f>
        <v>44841.52097</v>
      </c>
      <c r="BP6" s="426">
        <f>IFERROR(__xludf.DUMMYFUNCTION("""COMPUTED_VALUE"""),176336.85656619832)</f>
        <v>176336.8566</v>
      </c>
      <c r="BQ6" s="422">
        <f>IFERROR(__xludf.DUMMYFUNCTION("""COMPUTED_VALUE"""),44447.7191698787)</f>
        <v>44447.71917</v>
      </c>
      <c r="BR6" s="421">
        <f>IFERROR(__xludf.DUMMYFUNCTION("""COMPUTED_VALUE"""),45719.592246858)</f>
        <v>45719.59225</v>
      </c>
      <c r="BS6" s="421">
        <f>IFERROR(__xludf.DUMMYFUNCTION("""COMPUTED_VALUE"""),45079.7865877351)</f>
        <v>45079.78659</v>
      </c>
      <c r="BT6" s="421">
        <f>IFERROR(__xludf.DUMMYFUNCTION("""COMPUTED_VALUE"""),44976.3367467113)</f>
        <v>44976.33675</v>
      </c>
      <c r="BU6" s="426">
        <f>IFERROR(__xludf.DUMMYFUNCTION("""COMPUTED_VALUE"""),180223.4347511831)</f>
        <v>180223.4348</v>
      </c>
      <c r="BV6" s="421">
        <f>IFERROR(__xludf.DUMMYFUNCTION("""COMPUTED_VALUE"""),45121.3819510538)</f>
        <v>45121.38195</v>
      </c>
      <c r="BW6" s="421">
        <f>IFERROR(__xludf.DUMMYFUNCTION("""COMPUTED_VALUE"""),49021.6585234928)</f>
        <v>49021.65852</v>
      </c>
      <c r="BX6" s="421">
        <f>IFERROR(__xludf.DUMMYFUNCTION("""COMPUTED_VALUE"""),47620.8217898673)</f>
        <v>47620.82179</v>
      </c>
      <c r="BY6" s="421">
        <f>IFERROR(__xludf.DUMMYFUNCTION("""COMPUTED_VALUE"""),48185.1829632031)</f>
        <v>48185.18296</v>
      </c>
      <c r="BZ6" s="426">
        <f>IFERROR(__xludf.DUMMYFUNCTION("""COMPUTED_VALUE"""),189949.04522761703)</f>
        <v>189949.0452</v>
      </c>
      <c r="CA6" s="421">
        <f>IFERROR(__xludf.DUMMYFUNCTION("""COMPUTED_VALUE"""),46727.5019212463)</f>
        <v>46727.50192</v>
      </c>
      <c r="CB6" s="421">
        <f>IFERROR(__xludf.DUMMYFUNCTION("""COMPUTED_VALUE"""),52554.494799293)</f>
        <v>52554.4948</v>
      </c>
      <c r="CC6" s="421">
        <f>IFERROR(__xludf.DUMMYFUNCTION("""COMPUTED_VALUE"""),51001.0735861482)</f>
        <v>51001.07359</v>
      </c>
      <c r="CD6" s="421">
        <f>IFERROR(__xludf.DUMMYFUNCTION("""COMPUTED_VALUE"""),51293.8919095791)</f>
        <v>51293.89191</v>
      </c>
      <c r="CE6" s="426">
        <f>IFERROR(__xludf.DUMMYFUNCTION("""COMPUTED_VALUE"""),201576.9622162666)</f>
        <v>201576.9622</v>
      </c>
      <c r="CF6" s="421">
        <f t="shared" ref="CF6:CI6" si="3">CF12</f>
        <v>48554.87083</v>
      </c>
      <c r="CG6" s="421">
        <f t="shared" si="3"/>
        <v>0</v>
      </c>
      <c r="CH6" s="421">
        <f t="shared" si="3"/>
        <v>0</v>
      </c>
      <c r="CI6" s="421">
        <f t="shared" si="3"/>
        <v>0</v>
      </c>
      <c r="CJ6" s="426">
        <f t="shared" si="4"/>
        <v>48554.87083</v>
      </c>
      <c r="CK6" s="421">
        <f t="shared" ref="CK6:CN6" si="5">CK12</f>
        <v>0</v>
      </c>
      <c r="CL6" s="421">
        <f t="shared" si="5"/>
        <v>0</v>
      </c>
      <c r="CM6" s="421">
        <f t="shared" si="5"/>
        <v>0</v>
      </c>
      <c r="CN6" s="421">
        <f t="shared" si="5"/>
        <v>0</v>
      </c>
      <c r="CO6" s="426">
        <f t="shared" si="6"/>
        <v>0</v>
      </c>
      <c r="CP6" s="423"/>
      <c r="CQ6" s="423"/>
      <c r="CR6" s="423"/>
      <c r="CS6" s="423"/>
      <c r="CT6" s="423"/>
      <c r="CU6" s="423"/>
      <c r="CV6" s="423"/>
      <c r="CW6" s="423"/>
      <c r="CX6" s="423"/>
      <c r="CY6" s="423"/>
    </row>
    <row r="7" ht="24.75" customHeight="1">
      <c r="A7" s="427">
        <v>2012.0</v>
      </c>
      <c r="B7" s="428" t="s">
        <v>93</v>
      </c>
      <c r="C7" s="429" t="s">
        <v>83</v>
      </c>
      <c r="D7" s="430">
        <f>VLOOKUP("Jumlah",ADHB!$A$50:$LQ$50,D$33,false)</f>
        <v>0</v>
      </c>
      <c r="E7" s="430">
        <f>VLOOKUP("Jumlah",ADHB!$A$75:$LQ$75,E$33,false)</f>
        <v>0</v>
      </c>
      <c r="F7" s="430">
        <f>VLOOKUP("Jumlah",ADHB!$A$99:$LQ$99,F$33,false)</f>
        <v>0</v>
      </c>
      <c r="G7" s="430">
        <f>VLOOKUP("Jumlah",ADHB!$A$124:$LQ$124,G$33,false)</f>
        <v>0</v>
      </c>
      <c r="H7" s="431">
        <f t="shared" ref="H7:H8" si="7">SUM(D7:G7)</f>
        <v>0</v>
      </c>
      <c r="I7" s="430">
        <f>VLOOKUP("Jumlah",ADHB!$A$50:$LQ$50,I$33,false)</f>
        <v>0</v>
      </c>
      <c r="J7" s="430">
        <f>VLOOKUP("Jumlah",ADHB!$A$75:$LQ$75,J$33,false)</f>
        <v>0</v>
      </c>
      <c r="K7" s="430">
        <f>VLOOKUP("Jumlah",ADHB!$A$99:$LQ$99,K$33,false)</f>
        <v>0</v>
      </c>
      <c r="L7" s="430">
        <f>VLOOKUP("Jumlah",ADHB!$A$124:$LQ$124,L$33,false)</f>
        <v>0</v>
      </c>
      <c r="M7" s="431">
        <f t="shared" ref="M7:M8" si="8">SUM(I7:L7)</f>
        <v>0</v>
      </c>
      <c r="N7" s="430">
        <f>VLOOKUP("Jumlah",ADHB!$A$50:$LQ$50,N$33,false)</f>
        <v>0</v>
      </c>
      <c r="O7" s="430">
        <f>VLOOKUP("Jumlah",ADHB!$A$75:$LQ$75,O$33,false)</f>
        <v>0</v>
      </c>
      <c r="P7" s="430">
        <f>VLOOKUP("Jumlah",ADHB!$A$99:$LQ$99,P$33,false)</f>
        <v>0</v>
      </c>
      <c r="Q7" s="430">
        <f>VLOOKUP("Jumlah",ADHB!$A$124:$LQ$124,Q$33,false)</f>
        <v>0</v>
      </c>
      <c r="R7" s="431">
        <f t="shared" ref="R7:R8" si="9">SUM(N7:Q7)</f>
        <v>0</v>
      </c>
      <c r="S7" s="430">
        <f>VLOOKUP("Jumlah",ADHB!$A$50:$LQ$50,S$33,false)</f>
        <v>0</v>
      </c>
      <c r="T7" s="430">
        <f>VLOOKUP("Jumlah",ADHB!$A$75:$LQ$75,T$33,false)</f>
        <v>0</v>
      </c>
      <c r="U7" s="430">
        <f>VLOOKUP("Jumlah",ADHB!$A$99:$LQ$99,U$33,false)</f>
        <v>0</v>
      </c>
      <c r="V7" s="430">
        <f>VLOOKUP("Jumlah",ADHB!$A$124:$LQ$124,V$33,false)</f>
        <v>0</v>
      </c>
      <c r="W7" s="431">
        <f t="shared" ref="W7:W8" si="10">SUM(S7:V7)</f>
        <v>0</v>
      </c>
      <c r="X7" s="430">
        <f>VLOOKUP("Jumlah",ADHB!$A$50:$LQ$50,X$33,false)</f>
        <v>0</v>
      </c>
      <c r="Y7" s="430">
        <f>VLOOKUP("Jumlah",ADHB!$A$75:$LQ$75,Y$33,false)</f>
        <v>0</v>
      </c>
      <c r="Z7" s="430">
        <f>VLOOKUP("Jumlah",ADHB!$A$99:$LQ$99,Z$33,false)</f>
        <v>0</v>
      </c>
      <c r="AA7" s="430">
        <f>VLOOKUP("Jumlah",ADHB!$A$124:$LQ$124,AA$33,false)</f>
        <v>0</v>
      </c>
      <c r="AB7" s="431">
        <f t="shared" ref="AB7:AB8" si="11">SUM(X7:AA7)</f>
        <v>0</v>
      </c>
      <c r="AC7" s="430">
        <f>VLOOKUP("Jumlah",ADHB!$A$50:$LQ$50,AC$33,false)</f>
        <v>0</v>
      </c>
      <c r="AD7" s="430">
        <f>VLOOKUP("Jumlah",ADHB!$A$75:$LQ$75,AD$33,false)</f>
        <v>0</v>
      </c>
      <c r="AE7" s="430">
        <f>VLOOKUP("Jumlah",ADHB!$A$99:$LQ$99,AE$33,false)</f>
        <v>0</v>
      </c>
      <c r="AF7" s="430">
        <f>VLOOKUP("Jumlah",ADHB!$A$124:$LQ$124,AF$33,false)</f>
        <v>0</v>
      </c>
      <c r="AG7" s="431">
        <f t="shared" ref="AG7:AG8" si="12">SUM(AC7:AF7)</f>
        <v>0</v>
      </c>
      <c r="AH7" s="430">
        <f>VLOOKUP("Jumlah",ADHB!$A$50:$LQ$50,AH$33,false)</f>
        <v>0</v>
      </c>
      <c r="AI7" s="430">
        <f>VLOOKUP("Jumlah",ADHB!$A$75:$LQ$75,AI$33,false)</f>
        <v>0</v>
      </c>
      <c r="AJ7" s="430">
        <f>VLOOKUP("Jumlah",ADHB!$A$99:$LQ$99,AJ$33,false)</f>
        <v>0</v>
      </c>
      <c r="AK7" s="430">
        <f>VLOOKUP("Jumlah",ADHB!$A$124:$LQ$124,AK$33,false)</f>
        <v>0</v>
      </c>
      <c r="AL7" s="431">
        <f t="shared" ref="AL7:AL8" si="13">SUM(AH7:AK7)</f>
        <v>0</v>
      </c>
      <c r="AM7" s="430">
        <f>VLOOKUP("Jumlah",ADHB!$A$50:$LQ$50,AM$33,false)</f>
        <v>0</v>
      </c>
      <c r="AN7" s="430">
        <f>VLOOKUP("Jumlah",ADHB!$A$75:$LQ$75,AN$33,false)</f>
        <v>0</v>
      </c>
      <c r="AO7" s="430">
        <f>VLOOKUP("Jumlah",ADHB!$A$99:$LQ$99,AO$33,false)</f>
        <v>0</v>
      </c>
      <c r="AP7" s="430">
        <f>VLOOKUP("Jumlah",ADHB!$A$124:$LQ$124,AP$33,false)</f>
        <v>0</v>
      </c>
      <c r="AQ7" s="431">
        <f t="shared" ref="AQ7:AQ8" si="14">SUM(AM7:AP7)</f>
        <v>0</v>
      </c>
      <c r="AR7" s="430">
        <f>VLOOKUP("Jumlah",ADHB!$A$50:$LQ$50,AR$33,false)</f>
        <v>0</v>
      </c>
      <c r="AS7" s="430">
        <f>VLOOKUP("Jumlah",ADHB!$A$75:$LQ$75,AS$33,false)</f>
        <v>0</v>
      </c>
      <c r="AT7" s="430">
        <f>VLOOKUP("Jumlah",ADHB!$A$99:$LQ$99,AT$33,false)</f>
        <v>0</v>
      </c>
      <c r="AU7" s="430">
        <f>VLOOKUP("Jumlah",ADHB!$A$124:$LQ$124,AU$33,false)</f>
        <v>0</v>
      </c>
      <c r="AV7" s="431">
        <f t="shared" ref="AV7:AV8" si="15">SUM(AR7:AU7)</f>
        <v>0</v>
      </c>
      <c r="AW7" s="430">
        <f>VLOOKUP("Jumlah",ADHB!$A$50:$LQ$50,AW$33,false)</f>
        <v>41194.7433</v>
      </c>
      <c r="AX7" s="430">
        <f>VLOOKUP("Jumlah",ADHB!$A$75:$LQ$75,AX$33,false)</f>
        <v>46557.96535</v>
      </c>
      <c r="AY7" s="430">
        <f>VLOOKUP("Jumlah",ADHB!$A$99:$LQ$99,AY$33,false)</f>
        <v>45353.46742</v>
      </c>
      <c r="AZ7" s="430">
        <f>VLOOKUP("Jumlah",ADHB!$A$124:$LQ$124,AZ$33,false)</f>
        <v>47242.58121</v>
      </c>
      <c r="BA7" s="431">
        <f t="shared" ref="BA7:BA8" si="16">SUM(AW7:AZ7)</f>
        <v>180348.7573</v>
      </c>
      <c r="BB7" s="430">
        <f>VLOOKUP("Jumlah",ADHB!$A$50:$LQ$50,BB$33,false)</f>
        <v>44826.39147</v>
      </c>
      <c r="BC7" s="430">
        <f>VLOOKUP("Jumlah",ADHB!$A$75:$LQ$75,BC$33,false)</f>
        <v>46320.28625</v>
      </c>
      <c r="BD7" s="430">
        <f>VLOOKUP("Jumlah",ADHB!$A$99:$LQ$99,BD$33,false)</f>
        <v>45385.10879</v>
      </c>
      <c r="BE7" s="430">
        <f>VLOOKUP("Jumlah",ADHB!$A$124:$LQ$124,BE$33,false)</f>
        <v>46301.40606</v>
      </c>
      <c r="BF7" s="431">
        <f t="shared" ref="BF7:BF8" si="17">SUM(BB7:BE7)</f>
        <v>182833.1926</v>
      </c>
      <c r="BG7" s="430">
        <f>VLOOKUP("Jumlah",ADHB!$A$50:$LQ$50,BG$33,false)</f>
        <v>45710.19459</v>
      </c>
      <c r="BH7" s="430">
        <f>VLOOKUP("Jumlah",ADHB!$A$75:$LQ$75,BH$33,false)</f>
        <v>49334.38521</v>
      </c>
      <c r="BI7" s="430">
        <f>VLOOKUP("Jumlah",ADHB!$A$99:$LQ$99,BI$33,false)</f>
        <v>47260.79956</v>
      </c>
      <c r="BJ7" s="430">
        <f>VLOOKUP("Jumlah",ADHB!$A$124:$LQ$124,BJ$33,false)</f>
        <v>48691.38522</v>
      </c>
      <c r="BK7" s="431">
        <f t="shared" ref="BK7:BK8" si="18">SUM(BG7:BJ7)</f>
        <v>190996.7646</v>
      </c>
      <c r="BL7" s="430">
        <f>VLOOKUP("Jumlah",ADHB!$A$50:$LQ$50,BL$33,false)</f>
        <v>51049.4588</v>
      </c>
      <c r="BM7" s="430">
        <f>VLOOKUP("Jumlah",ADHB!$A$75:$LQ$75,BM$33,false)</f>
        <v>53417.44797</v>
      </c>
      <c r="BN7" s="430">
        <f>VLOOKUP("Jumlah",ADHB!$A$99:$LQ$99,BN$33,false)</f>
        <v>50295.17471</v>
      </c>
      <c r="BO7" s="430">
        <f>VLOOKUP("Jumlah",ADHB!$A$124:$LQ$124,BO$33,false)</f>
        <v>52168.44672</v>
      </c>
      <c r="BP7" s="431">
        <f t="shared" ref="BP7:BP8" si="19">SUM(BL7:BO7)</f>
        <v>206930.5282</v>
      </c>
      <c r="BQ7" s="430">
        <f>VLOOKUP("Jumlah",ADHB!$A$50:$LQ$50,BQ$33,false)</f>
        <v>53893.14191</v>
      </c>
      <c r="BR7" s="430">
        <f>VLOOKUP("Jumlah",ADHB!$A$75:$LQ$75,BR$33,false)</f>
        <v>57901.92633</v>
      </c>
      <c r="BS7" s="430">
        <f>VLOOKUP("Jumlah",ADHB!$A$99:$LQ$99,BS$33,false)</f>
        <v>57245.92614</v>
      </c>
      <c r="BT7" s="430">
        <f>VLOOKUP("Jumlah",ADHB!$A$124:$LQ$124,BT$33,false)</f>
        <v>59459.44968</v>
      </c>
      <c r="BU7" s="431">
        <f t="shared" ref="BU7:BU8" si="20">SUM(BQ7:BT7)</f>
        <v>228500.4441</v>
      </c>
      <c r="BV7" s="430">
        <f>VLOOKUP("Jumlah",ADHB!$A$50:$LQ$50,BV$33,false)</f>
        <v>62277.82329</v>
      </c>
      <c r="BW7" s="430">
        <f>VLOOKUP("Jumlah",ADHB!$A$75:$LQ$75,BW$33,false)</f>
        <v>70579.90193</v>
      </c>
      <c r="BX7" s="430">
        <f>VLOOKUP("Jumlah",ADHB!$A$99:$LQ$99,BX$33,false)</f>
        <v>68774.91148</v>
      </c>
      <c r="BY7" s="430">
        <f>VLOOKUP("Jumlah",ADHB!$A$124:$LQ$124,BY$33,false)</f>
        <v>70940.76085</v>
      </c>
      <c r="BZ7" s="431">
        <f t="shared" ref="BZ7:BZ8" si="21">SUM(BV7:BY7)</f>
        <v>272573.3975</v>
      </c>
      <c r="CA7" s="430">
        <f>VLOOKUP("Jumlah",ADHB!$A$50:$LQ$50,CA$33,false)</f>
        <v>71131.33764</v>
      </c>
      <c r="CB7" s="430">
        <f>VLOOKUP("Jumlah",ADHB!$A$75:$LQ$75,CB$33,false)</f>
        <v>80768.85401</v>
      </c>
      <c r="CC7" s="430">
        <f>VLOOKUP("Jumlah",ADHB!$A$99:$LQ$99,CC$33,false)</f>
        <v>79155.57616</v>
      </c>
      <c r="CD7" s="430">
        <f>VLOOKUP("Jumlah",ADHB!$A$124:$LQ$124,CD$33,false)</f>
        <v>80033.1642</v>
      </c>
      <c r="CE7" s="431">
        <f t="shared" ref="CE7:CE8" si="22">SUM(CA7:CD7)</f>
        <v>311088.932</v>
      </c>
      <c r="CF7" s="430">
        <f>VLOOKUP("Jumlah",ADHB!$A$50:$LQ$50,CF$33,false)</f>
        <v>75607.22881</v>
      </c>
      <c r="CG7" s="430">
        <f>VLOOKUP("Jumlah",ADHB!$A$75:$LQ$75,CG$33,false)</f>
        <v>0</v>
      </c>
      <c r="CH7" s="430">
        <f>VLOOKUP("Jumlah",ADHB!$A$99:$LQ$99,CH$33,false)</f>
        <v>0</v>
      </c>
      <c r="CI7" s="430">
        <f>VLOOKUP("Jumlah",ADHB!$A$124:$LQ$124,CI$33,false)</f>
        <v>0</v>
      </c>
      <c r="CJ7" s="431">
        <f t="shared" ref="CJ7:CJ8" si="23">SUM(CF7:CI7)</f>
        <v>75607.22881</v>
      </c>
      <c r="CK7" s="430">
        <f>VLOOKUP("Jumlah",ADHB!$A$50:$LQ$50,CK$33,false)</f>
        <v>0</v>
      </c>
      <c r="CL7" s="430">
        <f>VLOOKUP("Jumlah",ADHB!$A$75:$LQ$75,CL$33,false)</f>
        <v>0</v>
      </c>
      <c r="CM7" s="430">
        <f>VLOOKUP("Jumlah",ADHB!$A$99:$LQ$99,CM$33,false)</f>
        <v>0</v>
      </c>
      <c r="CN7" s="430">
        <f>VLOOKUP("Jumlah",ADHB!$A$124:$LQ$124,CN$33,false)</f>
        <v>0</v>
      </c>
      <c r="CO7" s="431">
        <f t="shared" ref="CO7:CO8" si="24">SUM(CK7:CN7)</f>
        <v>0</v>
      </c>
    </row>
    <row r="8" ht="24.75" customHeight="1">
      <c r="A8" s="427">
        <v>2013.0</v>
      </c>
      <c r="B8" s="424"/>
      <c r="C8" s="429" t="s">
        <v>52</v>
      </c>
      <c r="D8" s="430">
        <f>VLOOKUP("Jumlah",ADHK!$A$50:$LQ$50,D$33,false)</f>
        <v>0</v>
      </c>
      <c r="E8" s="430">
        <f>VLOOKUP("Jumlah",ADHK!$A$75:$LQ$75,E$33,false)</f>
        <v>0</v>
      </c>
      <c r="F8" s="430">
        <f>VLOOKUP("Jumlah",ADHK!$A$99:$LQ$99,F$33,false)</f>
        <v>0</v>
      </c>
      <c r="G8" s="430">
        <f>VLOOKUP("Jumlah",ADHK!$A$124:$LQ$124,G$33,false)</f>
        <v>0</v>
      </c>
      <c r="H8" s="431">
        <f t="shared" si="7"/>
        <v>0</v>
      </c>
      <c r="I8" s="430">
        <f>VLOOKUP("Jumlah",ADHK!$A$50:$LQ$50,I$33,false)</f>
        <v>0</v>
      </c>
      <c r="J8" s="430">
        <f>VLOOKUP("Jumlah",ADHK!$A$75:$LQ$75,J$33,false)</f>
        <v>0</v>
      </c>
      <c r="K8" s="430">
        <f>VLOOKUP("Jumlah",ADHK!$A$99:$LQ$99,K$33,false)</f>
        <v>0</v>
      </c>
      <c r="L8" s="430">
        <f>VLOOKUP("Jumlah",ADHK!$A$124:$LQ$124,L$33,false)</f>
        <v>0</v>
      </c>
      <c r="M8" s="431">
        <f t="shared" si="8"/>
        <v>0</v>
      </c>
      <c r="N8" s="430">
        <f>VLOOKUP("Jumlah",ADHK!$A$50:$LQ$50,N$33,false)</f>
        <v>0</v>
      </c>
      <c r="O8" s="430">
        <f>VLOOKUP("Jumlah",ADHK!$A$75:$LQ$75,O$33,false)</f>
        <v>0</v>
      </c>
      <c r="P8" s="430">
        <f>VLOOKUP("Jumlah",ADHK!$A$99:$LQ$99,P$33,false)</f>
        <v>0</v>
      </c>
      <c r="Q8" s="430">
        <f>VLOOKUP("Jumlah",ADHK!$A$124:$LQ$124,Q$33,false)</f>
        <v>0</v>
      </c>
      <c r="R8" s="431">
        <f t="shared" si="9"/>
        <v>0</v>
      </c>
      <c r="S8" s="430">
        <f>VLOOKUP("Jumlah",ADHK!$A$50:$LQ$50,S$33,false)</f>
        <v>0</v>
      </c>
      <c r="T8" s="430">
        <f>VLOOKUP("Jumlah",ADHK!$A$75:$LQ$75,T$33,false)</f>
        <v>0</v>
      </c>
      <c r="U8" s="430">
        <f>VLOOKUP("Jumlah",ADHK!$A$99:$LQ$99,U$33,false)</f>
        <v>0</v>
      </c>
      <c r="V8" s="430">
        <f>VLOOKUP("Jumlah",ADHK!$A$124:$LQ$124,V$33,false)</f>
        <v>0</v>
      </c>
      <c r="W8" s="431">
        <f t="shared" si="10"/>
        <v>0</v>
      </c>
      <c r="X8" s="430">
        <f>VLOOKUP("Jumlah",ADHK!$A$50:$LQ$50,X$33,false)</f>
        <v>0</v>
      </c>
      <c r="Y8" s="430">
        <f>VLOOKUP("Jumlah",ADHK!$A$75:$LQ$75,Y$33,false)</f>
        <v>0</v>
      </c>
      <c r="Z8" s="430">
        <f>VLOOKUP("Jumlah",ADHK!$A$99:$LQ$99,Z$33,false)</f>
        <v>0</v>
      </c>
      <c r="AA8" s="430">
        <f>VLOOKUP("Jumlah",ADHK!$A$124:$LQ$124,AA$33,false)</f>
        <v>0</v>
      </c>
      <c r="AB8" s="431">
        <f t="shared" si="11"/>
        <v>0</v>
      </c>
      <c r="AC8" s="430">
        <f>VLOOKUP("Jumlah",ADHK!$A$50:$LQ$50,AC$33,false)</f>
        <v>0</v>
      </c>
      <c r="AD8" s="430">
        <f>VLOOKUP("Jumlah",ADHK!$A$75:$LQ$75,AD$33,false)</f>
        <v>0</v>
      </c>
      <c r="AE8" s="430">
        <f>VLOOKUP("Jumlah",ADHK!$A$99:$LQ$99,AE$33,false)</f>
        <v>0</v>
      </c>
      <c r="AF8" s="430">
        <f>VLOOKUP("Jumlah",ADHK!$A$124:$LQ$124,AF$33,false)</f>
        <v>0</v>
      </c>
      <c r="AG8" s="431">
        <f t="shared" si="12"/>
        <v>0</v>
      </c>
      <c r="AH8" s="430">
        <f>VLOOKUP("Jumlah",ADHK!$A$50:$LQ$50,AH$33,false)</f>
        <v>0</v>
      </c>
      <c r="AI8" s="430">
        <f>VLOOKUP("Jumlah",ADHK!$A$75:$LQ$75,AI$33,false)</f>
        <v>0</v>
      </c>
      <c r="AJ8" s="430">
        <f>VLOOKUP("Jumlah",ADHK!$A$99:$LQ$99,AJ$33,false)</f>
        <v>0</v>
      </c>
      <c r="AK8" s="430">
        <f>VLOOKUP("Jumlah",ADHK!$A$124:$LQ$124,AK$33,false)</f>
        <v>0</v>
      </c>
      <c r="AL8" s="431">
        <f t="shared" si="13"/>
        <v>0</v>
      </c>
      <c r="AM8" s="430">
        <f>VLOOKUP("Jumlah",ADHK!$A$50:$LQ$50,AM$33,false)</f>
        <v>0</v>
      </c>
      <c r="AN8" s="430">
        <f>VLOOKUP("Jumlah",ADHK!$A$75:$LQ$75,AN$33,false)</f>
        <v>0</v>
      </c>
      <c r="AO8" s="430">
        <f>VLOOKUP("Jumlah",ADHK!$A$99:$LQ$99,AO$33,false)</f>
        <v>0</v>
      </c>
      <c r="AP8" s="430">
        <f>VLOOKUP("Jumlah",ADHK!$A$124:$LQ$124,AP$33,false)</f>
        <v>0</v>
      </c>
      <c r="AQ8" s="431">
        <f t="shared" si="14"/>
        <v>0</v>
      </c>
      <c r="AR8" s="430">
        <f>VLOOKUP("Jumlah",ADHK!$A$50:$LQ$50,AR$33,false)</f>
        <v>0</v>
      </c>
      <c r="AS8" s="430">
        <f>VLOOKUP("Jumlah",ADHK!$A$75:$LQ$75,AS$33,false)</f>
        <v>0</v>
      </c>
      <c r="AT8" s="430">
        <f>VLOOKUP("Jumlah",ADHK!$A$99:$LQ$99,AT$33,false)</f>
        <v>0</v>
      </c>
      <c r="AU8" s="430">
        <f>VLOOKUP("Jumlah",ADHK!$A$124:$LQ$124,AU$33,false)</f>
        <v>0</v>
      </c>
      <c r="AV8" s="431">
        <f t="shared" si="15"/>
        <v>0</v>
      </c>
      <c r="AW8" s="430">
        <f>VLOOKUP("Jumlah",ADHK!$A$50:$LQ$50,AW$33,false)</f>
        <v>31486.41309</v>
      </c>
      <c r="AX8" s="430">
        <f>VLOOKUP("Jumlah",ADHK!$A$75:$LQ$75,AX$33,false)</f>
        <v>35161.14697</v>
      </c>
      <c r="AY8" s="430">
        <f>VLOOKUP("Jumlah",ADHK!$A$99:$LQ$99,AY$33,false)</f>
        <v>34411.7832</v>
      </c>
      <c r="AZ8" s="430">
        <f>VLOOKUP("Jumlah",ADHK!$A$124:$LQ$124,AZ$33,false)</f>
        <v>34973.44652</v>
      </c>
      <c r="BA8" s="431">
        <f t="shared" si="16"/>
        <v>136032.7898</v>
      </c>
      <c r="BB8" s="430">
        <f>VLOOKUP("Jumlah",ADHK!$A$50:$LQ$50,BB$33,false)</f>
        <v>32668.69755</v>
      </c>
      <c r="BC8" s="430">
        <f>VLOOKUP("Jumlah",ADHK!$A$75:$LQ$75,BC$33,false)</f>
        <v>33804.1849</v>
      </c>
      <c r="BD8" s="430">
        <f>VLOOKUP("Jumlah",ADHK!$A$99:$LQ$99,BD$33,false)</f>
        <v>33023.67287</v>
      </c>
      <c r="BE8" s="430">
        <f>VLOOKUP("Jumlah",ADHK!$A$124:$LQ$124,BE$33,false)</f>
        <v>33383.76853</v>
      </c>
      <c r="BF8" s="431">
        <f t="shared" si="17"/>
        <v>132880.3238</v>
      </c>
      <c r="BG8" s="430">
        <f>VLOOKUP("Jumlah",ADHK!$A$50:$LQ$50,BG$33,false)</f>
        <v>33193.69568</v>
      </c>
      <c r="BH8" s="430">
        <f>VLOOKUP("Jumlah",ADHK!$A$75:$LQ$75,BH$33,false)</f>
        <v>35280.74598</v>
      </c>
      <c r="BI8" s="430">
        <f>VLOOKUP("Jumlah",ADHK!$A$99:$LQ$99,BI$33,false)</f>
        <v>33322.45246</v>
      </c>
      <c r="BJ8" s="430">
        <f>VLOOKUP("Jumlah",ADHK!$A$124:$LQ$124,BJ$33,false)</f>
        <v>34231.53426</v>
      </c>
      <c r="BK8" s="431">
        <f t="shared" si="18"/>
        <v>136028.4284</v>
      </c>
      <c r="BL8" s="430">
        <f>VLOOKUP("Jumlah",ADHK!$A$50:$LQ$50,BL$33,false)</f>
        <v>34883.68043</v>
      </c>
      <c r="BM8" s="430">
        <f>VLOOKUP("Jumlah",ADHK!$A$75:$LQ$75,BM$33,false)</f>
        <v>36626.18882</v>
      </c>
      <c r="BN8" s="430">
        <f>VLOOKUP("Jumlah",ADHK!$A$99:$LQ$99,BN$33,false)</f>
        <v>34941.16481</v>
      </c>
      <c r="BO8" s="430">
        <f>VLOOKUP("Jumlah",ADHK!$A$124:$LQ$124,BO$33,false)</f>
        <v>35787.56763</v>
      </c>
      <c r="BP8" s="431">
        <f t="shared" si="19"/>
        <v>142238.6017</v>
      </c>
      <c r="BQ8" s="430">
        <f>VLOOKUP("Jumlah",ADHK!$A$50:$LQ$50,BQ$33,false)</f>
        <v>36175.76406</v>
      </c>
      <c r="BR8" s="430">
        <f>VLOOKUP("Jumlah",ADHK!$A$75:$LQ$75,BR$33,false)</f>
        <v>37819.46851</v>
      </c>
      <c r="BS8" s="430">
        <f>VLOOKUP("Jumlah",ADHK!$A$99:$LQ$99,BS$33,false)</f>
        <v>36463.85709</v>
      </c>
      <c r="BT8" s="430">
        <f>VLOOKUP("Jumlah",ADHK!$A$124:$LQ$124,BT$33,false)</f>
        <v>36323.13826</v>
      </c>
      <c r="BU8" s="431">
        <f t="shared" si="20"/>
        <v>146782.2279</v>
      </c>
      <c r="BV8" s="430">
        <f>VLOOKUP("Jumlah",ADHK!$A$50:$LQ$50,BV$33,false)</f>
        <v>36755.03275</v>
      </c>
      <c r="BW8" s="430">
        <f>VLOOKUP("Jumlah",ADHK!$A$75:$LQ$75,BW$33,false)</f>
        <v>40311.65852</v>
      </c>
      <c r="BX8" s="430">
        <f>VLOOKUP("Jumlah",ADHK!$A$99:$LQ$99,BX$33,false)</f>
        <v>39073.31137</v>
      </c>
      <c r="BY8" s="430">
        <f>VLOOKUP("Jumlah",ADHK!$A$124:$LQ$124,BY$33,false)</f>
        <v>40185.18296</v>
      </c>
      <c r="BZ8" s="431">
        <f t="shared" si="21"/>
        <v>156325.1856</v>
      </c>
      <c r="CA8" s="430">
        <f>VLOOKUP("Jumlah",ADHK!$A$50:$LQ$50,CA$33,false)</f>
        <v>38558.60582</v>
      </c>
      <c r="CB8" s="430">
        <f>VLOOKUP("Jumlah",ADHK!$A$75:$LQ$75,CB$33,false)</f>
        <v>43554.4948</v>
      </c>
      <c r="CC8" s="430">
        <f>VLOOKUP("Jumlah",ADHK!$A$99:$LQ$99,CC$33,false)</f>
        <v>42001.07359</v>
      </c>
      <c r="CD8" s="430">
        <f>VLOOKUP("Jumlah",ADHK!$A$124:$LQ$124,CD$33,false)</f>
        <v>42593.89191</v>
      </c>
      <c r="CE8" s="431">
        <f t="shared" si="22"/>
        <v>166708.0661</v>
      </c>
      <c r="CF8" s="430">
        <f>VLOOKUP("Jumlah",ADHK!$A$50:$LQ$50,CF$33,false)</f>
        <v>40054.87083</v>
      </c>
      <c r="CG8" s="430">
        <f>VLOOKUP("Jumlah",ADHK!$A$75:$LQ$75,CG$33,false)</f>
        <v>0</v>
      </c>
      <c r="CH8" s="430">
        <f>VLOOKUP("Jumlah",ADHK!$A$99:$LQ$99,CH$33,false)</f>
        <v>0</v>
      </c>
      <c r="CI8" s="430">
        <f>VLOOKUP("Jumlah",ADHK!$A$124:$LQ$124,CI$33,false)</f>
        <v>0</v>
      </c>
      <c r="CJ8" s="431">
        <f t="shared" si="23"/>
        <v>40054.87083</v>
      </c>
      <c r="CK8" s="430">
        <f>VLOOKUP("Jumlah",ADHK!$A$50:$LQ$50,CK$33,false)</f>
        <v>0</v>
      </c>
      <c r="CL8" s="430">
        <f>VLOOKUP("Jumlah",ADHK!$A$75:$LQ$75,CL$33,false)</f>
        <v>0</v>
      </c>
      <c r="CM8" s="430">
        <f>VLOOKUP("Jumlah",ADHK!$A$99:$LQ$99,CM$33,false)</f>
        <v>0</v>
      </c>
      <c r="CN8" s="430">
        <f>VLOOKUP("Jumlah",ADHK!$A$124:$LQ$124,CN$33,false)</f>
        <v>0</v>
      </c>
      <c r="CO8" s="431">
        <f t="shared" si="24"/>
        <v>0</v>
      </c>
    </row>
    <row r="9" ht="24.75" customHeight="1">
      <c r="A9" s="432">
        <v>2014.0</v>
      </c>
      <c r="B9" s="433" t="s">
        <v>94</v>
      </c>
      <c r="C9" s="434" t="s">
        <v>83</v>
      </c>
      <c r="D9" s="435"/>
      <c r="E9" s="436"/>
      <c r="F9" s="436"/>
      <c r="G9" s="436"/>
      <c r="H9" s="436"/>
      <c r="I9" s="436"/>
      <c r="J9" s="436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  <c r="AB9" s="436"/>
      <c r="AC9" s="436"/>
      <c r="AD9" s="436"/>
      <c r="AE9" s="436"/>
      <c r="AF9" s="436"/>
      <c r="AG9" s="436"/>
      <c r="AH9" s="436"/>
      <c r="AI9" s="436"/>
      <c r="AJ9" s="436"/>
      <c r="AK9" s="436"/>
      <c r="AL9" s="436"/>
      <c r="AM9" s="436"/>
      <c r="AN9" s="436"/>
      <c r="AO9" s="436"/>
      <c r="AP9" s="436"/>
      <c r="AQ9" s="436"/>
      <c r="AR9" s="436"/>
      <c r="AS9" s="436"/>
      <c r="AT9" s="436"/>
      <c r="AU9" s="436"/>
      <c r="AV9" s="436"/>
      <c r="AW9" s="436"/>
      <c r="AX9" s="436"/>
      <c r="AY9" s="436"/>
      <c r="AZ9" s="436"/>
      <c r="BA9" s="436"/>
      <c r="BB9" s="437">
        <f t="shared" ref="BB9:BE9" si="25">BB5-BB7</f>
        <v>9423.235506</v>
      </c>
      <c r="BC9" s="437">
        <f t="shared" si="25"/>
        <v>9417.521852</v>
      </c>
      <c r="BD9" s="437">
        <f t="shared" si="25"/>
        <v>9049.440192</v>
      </c>
      <c r="BE9" s="437">
        <f t="shared" si="25"/>
        <v>12516.60412</v>
      </c>
      <c r="BF9" s="436"/>
      <c r="BG9" s="437">
        <f t="shared" ref="BG9:BI9" si="26">BG5-BG7</f>
        <v>7043.999347</v>
      </c>
      <c r="BH9" s="437">
        <f t="shared" si="26"/>
        <v>8184.679032</v>
      </c>
      <c r="BI9" s="437">
        <f t="shared" si="26"/>
        <v>9547.207774</v>
      </c>
      <c r="BJ9" s="438">
        <v>10500.0</v>
      </c>
      <c r="BK9" s="436"/>
      <c r="BL9" s="439">
        <f>((0.481567071644903+100)*BJ5*BL6/(100*BJ6))-BL7</f>
        <v>6673.74567</v>
      </c>
      <c r="BM9" s="440">
        <f>8385-600</f>
        <v>7785</v>
      </c>
      <c r="BN9" s="439">
        <f>((0.481567071644903*77%+100)*BM5*BN6/(100*BM6))-BN7</f>
        <v>9477.070604</v>
      </c>
      <c r="BO9" s="441">
        <f>((-0.722129955339952+100)*BN5*BO6/(100*BN6))-BO7+1080</f>
        <v>10071.35324</v>
      </c>
      <c r="BP9" s="436"/>
      <c r="BQ9" s="440">
        <f>8550-28.82--11.883877357599</f>
        <v>8533.063877</v>
      </c>
      <c r="BR9" s="440">
        <f>9120-2300</f>
        <v>6820</v>
      </c>
      <c r="BS9" s="441">
        <f>((1.25428982332534+100)*BR5*BS6/(100*BR6))-BS7</f>
        <v>7046.537452</v>
      </c>
      <c r="BT9" s="440">
        <f>9700-2270</f>
        <v>7430</v>
      </c>
      <c r="BU9" s="436"/>
      <c r="BV9" s="440">
        <v>6455.0</v>
      </c>
      <c r="BW9" s="440">
        <v>6550.0</v>
      </c>
      <c r="BX9" s="440">
        <f>2850+4010</f>
        <v>6860</v>
      </c>
      <c r="BY9" s="440">
        <v>5550.0</v>
      </c>
      <c r="BZ9" s="436"/>
      <c r="CA9" s="440">
        <f>6400-100</f>
        <v>6300</v>
      </c>
      <c r="CB9" s="440">
        <f>7910</f>
        <v>7910</v>
      </c>
      <c r="CC9" s="440">
        <f>7910+1200-1580</f>
        <v>7530</v>
      </c>
      <c r="CD9" s="440">
        <f>6600+1512-1000-200</f>
        <v>6912</v>
      </c>
      <c r="CE9" s="436"/>
      <c r="CF9" s="440">
        <f>7350+225</f>
        <v>7575</v>
      </c>
      <c r="CG9" s="440"/>
      <c r="CH9" s="440"/>
      <c r="CI9" s="440"/>
      <c r="CJ9" s="436"/>
      <c r="CK9" s="440"/>
      <c r="CL9" s="440"/>
      <c r="CM9" s="440"/>
      <c r="CN9" s="440"/>
      <c r="CO9" s="436"/>
      <c r="CP9" s="442"/>
      <c r="CQ9" s="442"/>
      <c r="CR9" s="442"/>
      <c r="CS9" s="442"/>
      <c r="CT9" s="442"/>
      <c r="CU9" s="442"/>
      <c r="CV9" s="442"/>
      <c r="CW9" s="442"/>
      <c r="CX9" s="442"/>
      <c r="CY9" s="442"/>
    </row>
    <row r="10" ht="24.75" customHeight="1">
      <c r="A10" s="432">
        <v>2015.0</v>
      </c>
      <c r="B10" s="424"/>
      <c r="C10" s="434" t="s">
        <v>52</v>
      </c>
      <c r="D10" s="435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  <c r="AB10" s="436"/>
      <c r="AC10" s="436"/>
      <c r="AD10" s="436"/>
      <c r="AE10" s="436"/>
      <c r="AF10" s="436"/>
      <c r="AG10" s="436"/>
      <c r="AH10" s="436"/>
      <c r="AI10" s="436"/>
      <c r="AJ10" s="436"/>
      <c r="AK10" s="436"/>
      <c r="AL10" s="436"/>
      <c r="AM10" s="436"/>
      <c r="AN10" s="436"/>
      <c r="AO10" s="436"/>
      <c r="AP10" s="436"/>
      <c r="AQ10" s="436"/>
      <c r="AR10" s="436"/>
      <c r="AS10" s="436"/>
      <c r="AT10" s="436"/>
      <c r="AU10" s="436"/>
      <c r="AV10" s="436"/>
      <c r="AW10" s="436"/>
      <c r="AX10" s="436"/>
      <c r="AY10" s="436"/>
      <c r="AZ10" s="436"/>
      <c r="BA10" s="436"/>
      <c r="BB10" s="437">
        <f t="shared" ref="BB10:BE10" si="27">BB6-BB8</f>
        <v>8629.520899</v>
      </c>
      <c r="BC10" s="437">
        <f t="shared" si="27"/>
        <v>9258.632523</v>
      </c>
      <c r="BD10" s="437">
        <f t="shared" si="27"/>
        <v>8886.84838</v>
      </c>
      <c r="BE10" s="437">
        <f t="shared" si="27"/>
        <v>10991.10847</v>
      </c>
      <c r="BF10" s="436"/>
      <c r="BG10" s="437">
        <f t="shared" ref="BG10:BI10" si="28">BG6-BG8</f>
        <v>6557.948431</v>
      </c>
      <c r="BH10" s="437">
        <f t="shared" si="28"/>
        <v>7976.990792</v>
      </c>
      <c r="BI10" s="437">
        <f t="shared" si="28"/>
        <v>9416.025896</v>
      </c>
      <c r="BJ10" s="438">
        <v>10000.0</v>
      </c>
      <c r="BK10" s="436"/>
      <c r="BL10" s="441">
        <f>((-2.83182749832898+100)*BJ6/100)-BL8</f>
        <v>8099.996157</v>
      </c>
      <c r="BM10" s="440">
        <v>8485.0</v>
      </c>
      <c r="BN10" s="441">
        <f>((-4.15478699145191*40%+100)*BM6/100)-BN8-700</f>
        <v>8590.903452</v>
      </c>
      <c r="BO10" s="441">
        <f>((-22.7544275132583*10%+100)*BN6/100)-BO8-700+3000</f>
        <v>9053.953349</v>
      </c>
      <c r="BP10" s="436"/>
      <c r="BQ10" s="440">
        <f>-19350-46.88--36.4289662388983</f>
        <v>-19360.45103</v>
      </c>
      <c r="BR10" s="440">
        <f>8500-500</f>
        <v>8000</v>
      </c>
      <c r="BS10" s="443">
        <f>((-4.66470811658721*30%+100)*BR6/100)-BS8</f>
        <v>8615.929493</v>
      </c>
      <c r="BT10" s="440">
        <f>10300-1500</f>
        <v>8800</v>
      </c>
      <c r="BU10" s="436"/>
      <c r="BV10" s="440">
        <v>8300.0</v>
      </c>
      <c r="BW10" s="440">
        <v>8710.0</v>
      </c>
      <c r="BX10" s="440">
        <v>8600.0</v>
      </c>
      <c r="BY10" s="440">
        <v>8000.0</v>
      </c>
      <c r="BZ10" s="436"/>
      <c r="CA10" s="440">
        <v>8200.0</v>
      </c>
      <c r="CB10" s="440">
        <v>9000.0</v>
      </c>
      <c r="CC10" s="440">
        <v>9000.0</v>
      </c>
      <c r="CD10" s="440">
        <v>8700.0</v>
      </c>
      <c r="CE10" s="436"/>
      <c r="CF10" s="440">
        <v>8500.0</v>
      </c>
      <c r="CG10" s="440"/>
      <c r="CH10" s="440"/>
      <c r="CI10" s="440"/>
      <c r="CJ10" s="436"/>
      <c r="CK10" s="440"/>
      <c r="CL10" s="440"/>
      <c r="CM10" s="440"/>
      <c r="CN10" s="440"/>
      <c r="CO10" s="436"/>
      <c r="CP10" s="442"/>
      <c r="CQ10" s="442"/>
      <c r="CR10" s="442"/>
      <c r="CS10" s="442"/>
      <c r="CT10" s="442"/>
      <c r="CU10" s="442"/>
      <c r="CV10" s="442"/>
      <c r="CW10" s="442"/>
      <c r="CX10" s="442"/>
      <c r="CY10" s="442"/>
    </row>
    <row r="11" ht="24.75" customHeight="1">
      <c r="A11" s="432">
        <v>2016.0</v>
      </c>
      <c r="B11" s="444" t="s">
        <v>95</v>
      </c>
      <c r="C11" s="445" t="s">
        <v>83</v>
      </c>
      <c r="D11" s="446">
        <f t="shared" ref="D11:BO11" si="29">if(D7=0,0,D7+D9)</f>
        <v>0</v>
      </c>
      <c r="E11" s="446">
        <f t="shared" si="29"/>
        <v>0</v>
      </c>
      <c r="F11" s="446">
        <f t="shared" si="29"/>
        <v>0</v>
      </c>
      <c r="G11" s="446">
        <f t="shared" si="29"/>
        <v>0</v>
      </c>
      <c r="H11" s="446">
        <f t="shared" si="29"/>
        <v>0</v>
      </c>
      <c r="I11" s="446">
        <f t="shared" si="29"/>
        <v>0</v>
      </c>
      <c r="J11" s="446">
        <f t="shared" si="29"/>
        <v>0</v>
      </c>
      <c r="K11" s="446">
        <f t="shared" si="29"/>
        <v>0</v>
      </c>
      <c r="L11" s="446">
        <f t="shared" si="29"/>
        <v>0</v>
      </c>
      <c r="M11" s="446">
        <f t="shared" si="29"/>
        <v>0</v>
      </c>
      <c r="N11" s="446">
        <f t="shared" si="29"/>
        <v>0</v>
      </c>
      <c r="O11" s="446">
        <f t="shared" si="29"/>
        <v>0</v>
      </c>
      <c r="P11" s="446">
        <f t="shared" si="29"/>
        <v>0</v>
      </c>
      <c r="Q11" s="446">
        <f t="shared" si="29"/>
        <v>0</v>
      </c>
      <c r="R11" s="446">
        <f t="shared" si="29"/>
        <v>0</v>
      </c>
      <c r="S11" s="446">
        <f t="shared" si="29"/>
        <v>0</v>
      </c>
      <c r="T11" s="446">
        <f t="shared" si="29"/>
        <v>0</v>
      </c>
      <c r="U11" s="446">
        <f t="shared" si="29"/>
        <v>0</v>
      </c>
      <c r="V11" s="446">
        <f t="shared" si="29"/>
        <v>0</v>
      </c>
      <c r="W11" s="446">
        <f t="shared" si="29"/>
        <v>0</v>
      </c>
      <c r="X11" s="446">
        <f t="shared" si="29"/>
        <v>0</v>
      </c>
      <c r="Y11" s="446">
        <f t="shared" si="29"/>
        <v>0</v>
      </c>
      <c r="Z11" s="446">
        <f t="shared" si="29"/>
        <v>0</v>
      </c>
      <c r="AA11" s="446">
        <f t="shared" si="29"/>
        <v>0</v>
      </c>
      <c r="AB11" s="446">
        <f t="shared" si="29"/>
        <v>0</v>
      </c>
      <c r="AC11" s="446">
        <f t="shared" si="29"/>
        <v>0</v>
      </c>
      <c r="AD11" s="446">
        <f t="shared" si="29"/>
        <v>0</v>
      </c>
      <c r="AE11" s="446">
        <f t="shared" si="29"/>
        <v>0</v>
      </c>
      <c r="AF11" s="446">
        <f t="shared" si="29"/>
        <v>0</v>
      </c>
      <c r="AG11" s="446">
        <f t="shared" si="29"/>
        <v>0</v>
      </c>
      <c r="AH11" s="446">
        <f t="shared" si="29"/>
        <v>0</v>
      </c>
      <c r="AI11" s="446">
        <f t="shared" si="29"/>
        <v>0</v>
      </c>
      <c r="AJ11" s="446">
        <f t="shared" si="29"/>
        <v>0</v>
      </c>
      <c r="AK11" s="446">
        <f t="shared" si="29"/>
        <v>0</v>
      </c>
      <c r="AL11" s="446">
        <f t="shared" si="29"/>
        <v>0</v>
      </c>
      <c r="AM11" s="446">
        <f t="shared" si="29"/>
        <v>0</v>
      </c>
      <c r="AN11" s="446">
        <f t="shared" si="29"/>
        <v>0</v>
      </c>
      <c r="AO11" s="446">
        <f t="shared" si="29"/>
        <v>0</v>
      </c>
      <c r="AP11" s="446">
        <f t="shared" si="29"/>
        <v>0</v>
      </c>
      <c r="AQ11" s="446">
        <f t="shared" si="29"/>
        <v>0</v>
      </c>
      <c r="AR11" s="446">
        <f t="shared" si="29"/>
        <v>0</v>
      </c>
      <c r="AS11" s="446">
        <f t="shared" si="29"/>
        <v>0</v>
      </c>
      <c r="AT11" s="446">
        <f t="shared" si="29"/>
        <v>0</v>
      </c>
      <c r="AU11" s="446">
        <f t="shared" si="29"/>
        <v>0</v>
      </c>
      <c r="AV11" s="446">
        <f t="shared" si="29"/>
        <v>0</v>
      </c>
      <c r="AW11" s="446">
        <f t="shared" si="29"/>
        <v>41194.7433</v>
      </c>
      <c r="AX11" s="446">
        <f t="shared" si="29"/>
        <v>46557.96535</v>
      </c>
      <c r="AY11" s="446">
        <f t="shared" si="29"/>
        <v>45353.46742</v>
      </c>
      <c r="AZ11" s="446">
        <f t="shared" si="29"/>
        <v>47242.58121</v>
      </c>
      <c r="BA11" s="446">
        <f t="shared" si="29"/>
        <v>180348.7573</v>
      </c>
      <c r="BB11" s="446">
        <f t="shared" si="29"/>
        <v>54249.62698</v>
      </c>
      <c r="BC11" s="446">
        <f t="shared" si="29"/>
        <v>55737.8081</v>
      </c>
      <c r="BD11" s="446">
        <f t="shared" si="29"/>
        <v>54434.54898</v>
      </c>
      <c r="BE11" s="446">
        <f t="shared" si="29"/>
        <v>58818.01018</v>
      </c>
      <c r="BF11" s="446">
        <f t="shared" si="29"/>
        <v>182833.1926</v>
      </c>
      <c r="BG11" s="446">
        <f t="shared" si="29"/>
        <v>52754.19393</v>
      </c>
      <c r="BH11" s="446">
        <f t="shared" si="29"/>
        <v>57519.06424</v>
      </c>
      <c r="BI11" s="446">
        <f t="shared" si="29"/>
        <v>56808.00733</v>
      </c>
      <c r="BJ11" s="446">
        <f t="shared" si="29"/>
        <v>59191.38522</v>
      </c>
      <c r="BK11" s="446">
        <f t="shared" si="29"/>
        <v>190996.7646</v>
      </c>
      <c r="BL11" s="446">
        <f t="shared" si="29"/>
        <v>57723.20447</v>
      </c>
      <c r="BM11" s="446">
        <f t="shared" si="29"/>
        <v>61202.44797</v>
      </c>
      <c r="BN11" s="446">
        <f t="shared" si="29"/>
        <v>59772.24531</v>
      </c>
      <c r="BO11" s="446">
        <f t="shared" si="29"/>
        <v>62239.79996</v>
      </c>
      <c r="BP11" s="446">
        <f t="shared" ref="BP11:BP12" si="36">BP7+BP9</f>
        <v>206930.5282</v>
      </c>
      <c r="BQ11" s="446">
        <f t="shared" ref="BQ11:BT11" si="30">if(BQ7=0,0,BQ7+BQ9)</f>
        <v>62426.20579</v>
      </c>
      <c r="BR11" s="446">
        <f t="shared" si="30"/>
        <v>64721.92633</v>
      </c>
      <c r="BS11" s="446">
        <f t="shared" si="30"/>
        <v>64292.46359</v>
      </c>
      <c r="BT11" s="446">
        <f t="shared" si="30"/>
        <v>66889.44968</v>
      </c>
      <c r="BU11" s="446">
        <f t="shared" ref="BU11:BU12" si="38">BU7+BU9</f>
        <v>228500.4441</v>
      </c>
      <c r="BV11" s="446">
        <f t="shared" ref="BV11:BY11" si="31">if(BV7=0,0,BV7+BV9)</f>
        <v>68732.82329</v>
      </c>
      <c r="BW11" s="446">
        <f t="shared" si="31"/>
        <v>77129.90193</v>
      </c>
      <c r="BX11" s="446">
        <f t="shared" si="31"/>
        <v>75634.91148</v>
      </c>
      <c r="BY11" s="446">
        <f t="shared" si="31"/>
        <v>76490.76085</v>
      </c>
      <c r="BZ11" s="446">
        <f t="shared" ref="BZ11:BZ12" si="40">BZ7+BZ9</f>
        <v>272573.3975</v>
      </c>
      <c r="CA11" s="446">
        <f t="shared" ref="CA11:CD11" si="32">if(CA7=0,0,CA7+CA9)</f>
        <v>77431.33764</v>
      </c>
      <c r="CB11" s="446">
        <f t="shared" si="32"/>
        <v>88678.85401</v>
      </c>
      <c r="CC11" s="446">
        <f t="shared" si="32"/>
        <v>86685.57616</v>
      </c>
      <c r="CD11" s="446">
        <f t="shared" si="32"/>
        <v>86945.1642</v>
      </c>
      <c r="CE11" s="446">
        <f t="shared" ref="CE11:CE12" si="42">CE7+CE9</f>
        <v>311088.932</v>
      </c>
      <c r="CF11" s="446">
        <f t="shared" ref="CF11:CI11" si="33">if(CF7=0,0,CF7+CF9)</f>
        <v>83182.22881</v>
      </c>
      <c r="CG11" s="446">
        <f t="shared" si="33"/>
        <v>0</v>
      </c>
      <c r="CH11" s="446">
        <f t="shared" si="33"/>
        <v>0</v>
      </c>
      <c r="CI11" s="446">
        <f t="shared" si="33"/>
        <v>0</v>
      </c>
      <c r="CJ11" s="446">
        <f t="shared" ref="CJ11:CJ12" si="44">CJ7+CJ9</f>
        <v>75607.22881</v>
      </c>
      <c r="CK11" s="446">
        <f t="shared" ref="CK11:CN11" si="34">if(CK7=0,0,CK7+CK9)</f>
        <v>0</v>
      </c>
      <c r="CL11" s="446">
        <f t="shared" si="34"/>
        <v>0</v>
      </c>
      <c r="CM11" s="446">
        <f t="shared" si="34"/>
        <v>0</v>
      </c>
      <c r="CN11" s="446">
        <f t="shared" si="34"/>
        <v>0</v>
      </c>
      <c r="CO11" s="446">
        <f t="shared" ref="CO11:CO12" si="46">CO7+CO9</f>
        <v>0</v>
      </c>
      <c r="CP11" s="447"/>
      <c r="CQ11" s="447"/>
      <c r="CR11" s="447"/>
      <c r="CS11" s="447"/>
      <c r="CT11" s="447"/>
      <c r="CU11" s="447"/>
      <c r="CV11" s="447"/>
      <c r="CW11" s="447"/>
      <c r="CX11" s="447"/>
      <c r="CY11" s="447"/>
    </row>
    <row r="12" ht="24.75" customHeight="1">
      <c r="A12" s="448">
        <v>2017.0</v>
      </c>
      <c r="B12" s="94"/>
      <c r="C12" s="449" t="s">
        <v>52</v>
      </c>
      <c r="D12" s="450">
        <f t="shared" ref="D12:BO12" si="35">if(D8=0,0,D8+D10)</f>
        <v>0</v>
      </c>
      <c r="E12" s="450">
        <f t="shared" si="35"/>
        <v>0</v>
      </c>
      <c r="F12" s="450">
        <f t="shared" si="35"/>
        <v>0</v>
      </c>
      <c r="G12" s="450">
        <f t="shared" si="35"/>
        <v>0</v>
      </c>
      <c r="H12" s="450">
        <f t="shared" si="35"/>
        <v>0</v>
      </c>
      <c r="I12" s="450">
        <f t="shared" si="35"/>
        <v>0</v>
      </c>
      <c r="J12" s="450">
        <f t="shared" si="35"/>
        <v>0</v>
      </c>
      <c r="K12" s="450">
        <f t="shared" si="35"/>
        <v>0</v>
      </c>
      <c r="L12" s="450">
        <f t="shared" si="35"/>
        <v>0</v>
      </c>
      <c r="M12" s="450">
        <f t="shared" si="35"/>
        <v>0</v>
      </c>
      <c r="N12" s="450">
        <f t="shared" si="35"/>
        <v>0</v>
      </c>
      <c r="O12" s="450">
        <f t="shared" si="35"/>
        <v>0</v>
      </c>
      <c r="P12" s="450">
        <f t="shared" si="35"/>
        <v>0</v>
      </c>
      <c r="Q12" s="450">
        <f t="shared" si="35"/>
        <v>0</v>
      </c>
      <c r="R12" s="450">
        <f t="shared" si="35"/>
        <v>0</v>
      </c>
      <c r="S12" s="450">
        <f t="shared" si="35"/>
        <v>0</v>
      </c>
      <c r="T12" s="450">
        <f t="shared" si="35"/>
        <v>0</v>
      </c>
      <c r="U12" s="450">
        <f t="shared" si="35"/>
        <v>0</v>
      </c>
      <c r="V12" s="450">
        <f t="shared" si="35"/>
        <v>0</v>
      </c>
      <c r="W12" s="450">
        <f t="shared" si="35"/>
        <v>0</v>
      </c>
      <c r="X12" s="450">
        <f t="shared" si="35"/>
        <v>0</v>
      </c>
      <c r="Y12" s="450">
        <f t="shared" si="35"/>
        <v>0</v>
      </c>
      <c r="Z12" s="450">
        <f t="shared" si="35"/>
        <v>0</v>
      </c>
      <c r="AA12" s="450">
        <f t="shared" si="35"/>
        <v>0</v>
      </c>
      <c r="AB12" s="450">
        <f t="shared" si="35"/>
        <v>0</v>
      </c>
      <c r="AC12" s="450">
        <f t="shared" si="35"/>
        <v>0</v>
      </c>
      <c r="AD12" s="450">
        <f t="shared" si="35"/>
        <v>0</v>
      </c>
      <c r="AE12" s="450">
        <f t="shared" si="35"/>
        <v>0</v>
      </c>
      <c r="AF12" s="450">
        <f t="shared" si="35"/>
        <v>0</v>
      </c>
      <c r="AG12" s="450">
        <f t="shared" si="35"/>
        <v>0</v>
      </c>
      <c r="AH12" s="450">
        <f t="shared" si="35"/>
        <v>0</v>
      </c>
      <c r="AI12" s="450">
        <f t="shared" si="35"/>
        <v>0</v>
      </c>
      <c r="AJ12" s="450">
        <f t="shared" si="35"/>
        <v>0</v>
      </c>
      <c r="AK12" s="450">
        <f t="shared" si="35"/>
        <v>0</v>
      </c>
      <c r="AL12" s="450">
        <f t="shared" si="35"/>
        <v>0</v>
      </c>
      <c r="AM12" s="450">
        <f t="shared" si="35"/>
        <v>0</v>
      </c>
      <c r="AN12" s="450">
        <f t="shared" si="35"/>
        <v>0</v>
      </c>
      <c r="AO12" s="450">
        <f t="shared" si="35"/>
        <v>0</v>
      </c>
      <c r="AP12" s="450">
        <f t="shared" si="35"/>
        <v>0</v>
      </c>
      <c r="AQ12" s="450">
        <f t="shared" si="35"/>
        <v>0</v>
      </c>
      <c r="AR12" s="450">
        <f t="shared" si="35"/>
        <v>0</v>
      </c>
      <c r="AS12" s="450">
        <f t="shared" si="35"/>
        <v>0</v>
      </c>
      <c r="AT12" s="450">
        <f t="shared" si="35"/>
        <v>0</v>
      </c>
      <c r="AU12" s="450">
        <f t="shared" si="35"/>
        <v>0</v>
      </c>
      <c r="AV12" s="450">
        <f t="shared" si="35"/>
        <v>0</v>
      </c>
      <c r="AW12" s="450">
        <f t="shared" si="35"/>
        <v>31486.41309</v>
      </c>
      <c r="AX12" s="450">
        <f t="shared" si="35"/>
        <v>35161.14697</v>
      </c>
      <c r="AY12" s="450">
        <f t="shared" si="35"/>
        <v>34411.7832</v>
      </c>
      <c r="AZ12" s="450">
        <f t="shared" si="35"/>
        <v>34973.44652</v>
      </c>
      <c r="BA12" s="450">
        <f t="shared" si="35"/>
        <v>136032.7898</v>
      </c>
      <c r="BB12" s="450">
        <f t="shared" si="35"/>
        <v>41298.21844</v>
      </c>
      <c r="BC12" s="450">
        <f t="shared" si="35"/>
        <v>43062.81743</v>
      </c>
      <c r="BD12" s="450">
        <f t="shared" si="35"/>
        <v>41910.52125</v>
      </c>
      <c r="BE12" s="450">
        <f t="shared" si="35"/>
        <v>44374.877</v>
      </c>
      <c r="BF12" s="450">
        <f t="shared" si="35"/>
        <v>132880.3238</v>
      </c>
      <c r="BG12" s="450">
        <f t="shared" si="35"/>
        <v>39751.64411</v>
      </c>
      <c r="BH12" s="450">
        <f t="shared" si="35"/>
        <v>43257.73678</v>
      </c>
      <c r="BI12" s="450">
        <f t="shared" si="35"/>
        <v>42738.47835</v>
      </c>
      <c r="BJ12" s="450">
        <f t="shared" si="35"/>
        <v>44231.53426</v>
      </c>
      <c r="BK12" s="450">
        <f t="shared" si="35"/>
        <v>136028.4284</v>
      </c>
      <c r="BL12" s="450">
        <f t="shared" si="35"/>
        <v>42983.67659</v>
      </c>
      <c r="BM12" s="450">
        <f t="shared" si="35"/>
        <v>45111.18882</v>
      </c>
      <c r="BN12" s="450">
        <f t="shared" si="35"/>
        <v>43532.06827</v>
      </c>
      <c r="BO12" s="450">
        <f t="shared" si="35"/>
        <v>44841.52097</v>
      </c>
      <c r="BP12" s="450">
        <f t="shared" si="36"/>
        <v>142238.6017</v>
      </c>
      <c r="BQ12" s="450">
        <f t="shared" ref="BQ12:BT12" si="37">if(BQ8=0,0,BQ8+BQ10)</f>
        <v>16815.31302</v>
      </c>
      <c r="BR12" s="450">
        <f t="shared" si="37"/>
        <v>45819.46851</v>
      </c>
      <c r="BS12" s="450">
        <f t="shared" si="37"/>
        <v>45079.78659</v>
      </c>
      <c r="BT12" s="450">
        <f t="shared" si="37"/>
        <v>45123.13826</v>
      </c>
      <c r="BU12" s="450">
        <f t="shared" si="38"/>
        <v>146782.2279</v>
      </c>
      <c r="BV12" s="450">
        <f t="shared" ref="BV12:BY12" si="39">if(BV8=0,0,BV8+BV10)</f>
        <v>45055.03275</v>
      </c>
      <c r="BW12" s="450">
        <f t="shared" si="39"/>
        <v>49021.65852</v>
      </c>
      <c r="BX12" s="450">
        <f t="shared" si="39"/>
        <v>47673.31137</v>
      </c>
      <c r="BY12" s="450">
        <f t="shared" si="39"/>
        <v>48185.18296</v>
      </c>
      <c r="BZ12" s="450">
        <f t="shared" si="40"/>
        <v>156325.1856</v>
      </c>
      <c r="CA12" s="450">
        <f t="shared" ref="CA12:CD12" si="41">if(CA8=0,0,CA8+CA10)</f>
        <v>46758.60582</v>
      </c>
      <c r="CB12" s="450">
        <f t="shared" si="41"/>
        <v>52554.4948</v>
      </c>
      <c r="CC12" s="450">
        <f t="shared" si="41"/>
        <v>51001.07359</v>
      </c>
      <c r="CD12" s="450">
        <f t="shared" si="41"/>
        <v>51293.89191</v>
      </c>
      <c r="CE12" s="450">
        <f t="shared" si="42"/>
        <v>166708.0661</v>
      </c>
      <c r="CF12" s="450">
        <f t="shared" ref="CF12:CI12" si="43">if(CF8=0,0,CF8+CF10)</f>
        <v>48554.87083</v>
      </c>
      <c r="CG12" s="450">
        <f t="shared" si="43"/>
        <v>0</v>
      </c>
      <c r="CH12" s="450">
        <f t="shared" si="43"/>
        <v>0</v>
      </c>
      <c r="CI12" s="450">
        <f t="shared" si="43"/>
        <v>0</v>
      </c>
      <c r="CJ12" s="450">
        <f t="shared" si="44"/>
        <v>40054.87083</v>
      </c>
      <c r="CK12" s="450">
        <f t="shared" ref="CK12:CN12" si="45">if(CK8=0,0,CK8+CK10)</f>
        <v>0</v>
      </c>
      <c r="CL12" s="450">
        <f t="shared" si="45"/>
        <v>0</v>
      </c>
      <c r="CM12" s="450">
        <f t="shared" si="45"/>
        <v>0</v>
      </c>
      <c r="CN12" s="450">
        <f t="shared" si="45"/>
        <v>0</v>
      </c>
      <c r="CO12" s="450">
        <f t="shared" si="46"/>
        <v>0</v>
      </c>
      <c r="CP12" s="447"/>
      <c r="CQ12" s="447"/>
      <c r="CR12" s="447"/>
      <c r="CS12" s="447"/>
      <c r="CT12" s="447"/>
      <c r="CU12" s="447"/>
      <c r="CV12" s="447"/>
      <c r="CW12" s="447"/>
      <c r="CX12" s="447"/>
      <c r="CY12" s="447"/>
    </row>
    <row r="13" ht="24.75" customHeight="1">
      <c r="A13" s="451">
        <v>2018.0</v>
      </c>
      <c r="B13" s="452" t="s">
        <v>96</v>
      </c>
      <c r="C13" s="453" t="s">
        <v>83</v>
      </c>
      <c r="D13" s="454">
        <f t="shared" ref="D13:CO13" si="47">IFERROR((D5-D7)/D7*100,0)</f>
        <v>0</v>
      </c>
      <c r="E13" s="455">
        <f t="shared" si="47"/>
        <v>0</v>
      </c>
      <c r="F13" s="455">
        <f t="shared" si="47"/>
        <v>0</v>
      </c>
      <c r="G13" s="455">
        <f t="shared" si="47"/>
        <v>0</v>
      </c>
      <c r="H13" s="455">
        <f t="shared" si="47"/>
        <v>0</v>
      </c>
      <c r="I13" s="455">
        <f t="shared" si="47"/>
        <v>0</v>
      </c>
      <c r="J13" s="455">
        <f t="shared" si="47"/>
        <v>0</v>
      </c>
      <c r="K13" s="455">
        <f t="shared" si="47"/>
        <v>0</v>
      </c>
      <c r="L13" s="455">
        <f t="shared" si="47"/>
        <v>0</v>
      </c>
      <c r="M13" s="455">
        <f t="shared" si="47"/>
        <v>0</v>
      </c>
      <c r="N13" s="455">
        <f t="shared" si="47"/>
        <v>0</v>
      </c>
      <c r="O13" s="455">
        <f t="shared" si="47"/>
        <v>0</v>
      </c>
      <c r="P13" s="455">
        <f t="shared" si="47"/>
        <v>0</v>
      </c>
      <c r="Q13" s="455">
        <f t="shared" si="47"/>
        <v>0</v>
      </c>
      <c r="R13" s="455">
        <f t="shared" si="47"/>
        <v>0</v>
      </c>
      <c r="S13" s="455">
        <f t="shared" si="47"/>
        <v>0</v>
      </c>
      <c r="T13" s="455">
        <f t="shared" si="47"/>
        <v>0</v>
      </c>
      <c r="U13" s="455">
        <f t="shared" si="47"/>
        <v>0</v>
      </c>
      <c r="V13" s="455">
        <f t="shared" si="47"/>
        <v>0</v>
      </c>
      <c r="W13" s="455">
        <f t="shared" si="47"/>
        <v>0</v>
      </c>
      <c r="X13" s="455">
        <f t="shared" si="47"/>
        <v>0</v>
      </c>
      <c r="Y13" s="455">
        <f t="shared" si="47"/>
        <v>0</v>
      </c>
      <c r="Z13" s="455">
        <f t="shared" si="47"/>
        <v>0</v>
      </c>
      <c r="AA13" s="455">
        <f t="shared" si="47"/>
        <v>0</v>
      </c>
      <c r="AB13" s="455">
        <f t="shared" si="47"/>
        <v>0</v>
      </c>
      <c r="AC13" s="455">
        <f t="shared" si="47"/>
        <v>0</v>
      </c>
      <c r="AD13" s="455">
        <f t="shared" si="47"/>
        <v>0</v>
      </c>
      <c r="AE13" s="455">
        <f t="shared" si="47"/>
        <v>0</v>
      </c>
      <c r="AF13" s="455">
        <f t="shared" si="47"/>
        <v>0</v>
      </c>
      <c r="AG13" s="455">
        <f t="shared" si="47"/>
        <v>0</v>
      </c>
      <c r="AH13" s="455">
        <f t="shared" si="47"/>
        <v>0</v>
      </c>
      <c r="AI13" s="455">
        <f t="shared" si="47"/>
        <v>0</v>
      </c>
      <c r="AJ13" s="455">
        <f t="shared" si="47"/>
        <v>0</v>
      </c>
      <c r="AK13" s="455">
        <f t="shared" si="47"/>
        <v>0</v>
      </c>
      <c r="AL13" s="455">
        <f t="shared" si="47"/>
        <v>0</v>
      </c>
      <c r="AM13" s="455">
        <f t="shared" si="47"/>
        <v>0</v>
      </c>
      <c r="AN13" s="455">
        <f t="shared" si="47"/>
        <v>0</v>
      </c>
      <c r="AO13" s="455">
        <f t="shared" si="47"/>
        <v>0</v>
      </c>
      <c r="AP13" s="455">
        <f t="shared" si="47"/>
        <v>0</v>
      </c>
      <c r="AQ13" s="455">
        <f t="shared" si="47"/>
        <v>0</v>
      </c>
      <c r="AR13" s="455">
        <f t="shared" si="47"/>
        <v>0</v>
      </c>
      <c r="AS13" s="455">
        <f t="shared" si="47"/>
        <v>0</v>
      </c>
      <c r="AT13" s="455">
        <f t="shared" si="47"/>
        <v>0</v>
      </c>
      <c r="AU13" s="455">
        <f t="shared" si="47"/>
        <v>0</v>
      </c>
      <c r="AV13" s="455">
        <f t="shared" si="47"/>
        <v>0</v>
      </c>
      <c r="AW13" s="455">
        <f t="shared" si="47"/>
        <v>20.48639156</v>
      </c>
      <c r="AX13" s="455">
        <f t="shared" si="47"/>
        <v>16.14042639</v>
      </c>
      <c r="AY13" s="455">
        <f t="shared" si="47"/>
        <v>16.82320866</v>
      </c>
      <c r="AZ13" s="455">
        <f t="shared" si="47"/>
        <v>18.71256968</v>
      </c>
      <c r="BA13" s="455">
        <f t="shared" si="47"/>
        <v>17.97859903</v>
      </c>
      <c r="BB13" s="455">
        <f t="shared" si="47"/>
        <v>21.02162409</v>
      </c>
      <c r="BC13" s="455">
        <f t="shared" si="47"/>
        <v>20.33131186</v>
      </c>
      <c r="BD13" s="455">
        <f t="shared" si="47"/>
        <v>19.93922772</v>
      </c>
      <c r="BE13" s="455">
        <f t="shared" si="47"/>
        <v>27.03288125</v>
      </c>
      <c r="BF13" s="455">
        <f t="shared" si="47"/>
        <v>22.10036433</v>
      </c>
      <c r="BG13" s="455">
        <f t="shared" si="47"/>
        <v>15.41012768</v>
      </c>
      <c r="BH13" s="455">
        <f t="shared" si="47"/>
        <v>16.59021187</v>
      </c>
      <c r="BI13" s="455">
        <f t="shared" si="47"/>
        <v>20.20111353</v>
      </c>
      <c r="BJ13" s="455">
        <f t="shared" si="47"/>
        <v>21.41934015</v>
      </c>
      <c r="BK13" s="455">
        <f t="shared" si="47"/>
        <v>18.43238531</v>
      </c>
      <c r="BL13" s="455">
        <f t="shared" si="47"/>
        <v>15.26704857</v>
      </c>
      <c r="BM13" s="455">
        <f t="shared" si="47"/>
        <v>15.19011665</v>
      </c>
      <c r="BN13" s="455">
        <f t="shared" si="47"/>
        <v>18.90941726</v>
      </c>
      <c r="BO13" s="455">
        <f t="shared" si="47"/>
        <v>19.30544971</v>
      </c>
      <c r="BP13" s="455">
        <f t="shared" si="47"/>
        <v>17.15058495</v>
      </c>
      <c r="BQ13" s="455">
        <f t="shared" si="47"/>
        <v>15.90541189</v>
      </c>
      <c r="BR13" s="455">
        <f t="shared" si="47"/>
        <v>11.21775396</v>
      </c>
      <c r="BS13" s="455">
        <f t="shared" si="47"/>
        <v>12.30923828</v>
      </c>
      <c r="BT13" s="455">
        <f t="shared" si="47"/>
        <v>12.04267952</v>
      </c>
      <c r="BU13" s="455">
        <f t="shared" si="47"/>
        <v>12.81147193</v>
      </c>
      <c r="BV13" s="455">
        <f t="shared" si="47"/>
        <v>10.52743321</v>
      </c>
      <c r="BW13" s="455">
        <f t="shared" si="47"/>
        <v>9.280262257</v>
      </c>
      <c r="BX13" s="455">
        <f t="shared" si="47"/>
        <v>9.731207641</v>
      </c>
      <c r="BY13" s="455">
        <f t="shared" si="47"/>
        <v>9.258475701</v>
      </c>
      <c r="BZ13" s="455">
        <f t="shared" si="47"/>
        <v>9.673328004</v>
      </c>
      <c r="CA13" s="455">
        <f t="shared" si="47"/>
        <v>8.856855795</v>
      </c>
      <c r="CB13" s="455">
        <f t="shared" si="47"/>
        <v>9.793379016</v>
      </c>
      <c r="CC13" s="455">
        <f t="shared" si="47"/>
        <v>9.512911617</v>
      </c>
      <c r="CD13" s="455">
        <f t="shared" si="47"/>
        <v>8.63641975</v>
      </c>
      <c r="CE13" s="455">
        <f t="shared" si="47"/>
        <v>9.210228025</v>
      </c>
      <c r="CF13" s="455">
        <f t="shared" si="47"/>
        <v>10.01888327</v>
      </c>
      <c r="CG13" s="455">
        <f t="shared" si="47"/>
        <v>0</v>
      </c>
      <c r="CH13" s="455">
        <f t="shared" si="47"/>
        <v>0</v>
      </c>
      <c r="CI13" s="455">
        <f t="shared" si="47"/>
        <v>0</v>
      </c>
      <c r="CJ13" s="455">
        <f t="shared" si="47"/>
        <v>10.01888327</v>
      </c>
      <c r="CK13" s="455">
        <f t="shared" si="47"/>
        <v>0</v>
      </c>
      <c r="CL13" s="455">
        <f t="shared" si="47"/>
        <v>0</v>
      </c>
      <c r="CM13" s="455">
        <f t="shared" si="47"/>
        <v>0</v>
      </c>
      <c r="CN13" s="455">
        <f t="shared" si="47"/>
        <v>0</v>
      </c>
      <c r="CO13" s="455">
        <f t="shared" si="47"/>
        <v>0</v>
      </c>
      <c r="CP13" s="456"/>
      <c r="CQ13" s="456"/>
      <c r="CR13" s="456"/>
      <c r="CS13" s="456"/>
      <c r="CT13" s="456"/>
      <c r="CU13" s="456"/>
      <c r="CV13" s="456"/>
      <c r="CW13" s="456"/>
      <c r="CX13" s="456"/>
      <c r="CY13" s="456"/>
    </row>
    <row r="14" ht="24.75" customHeight="1">
      <c r="A14" s="427">
        <v>2019.0</v>
      </c>
      <c r="B14" s="424"/>
      <c r="C14" s="453" t="s">
        <v>52</v>
      </c>
      <c r="D14" s="454">
        <f t="shared" ref="D14:CO14" si="48">IFERROR((D6-D8)/D8*100,0)</f>
        <v>0</v>
      </c>
      <c r="E14" s="455">
        <f t="shared" si="48"/>
        <v>0</v>
      </c>
      <c r="F14" s="455">
        <f t="shared" si="48"/>
        <v>0</v>
      </c>
      <c r="G14" s="455">
        <f t="shared" si="48"/>
        <v>0</v>
      </c>
      <c r="H14" s="455">
        <f t="shared" si="48"/>
        <v>0</v>
      </c>
      <c r="I14" s="455">
        <f t="shared" si="48"/>
        <v>0</v>
      </c>
      <c r="J14" s="455">
        <f t="shared" si="48"/>
        <v>0</v>
      </c>
      <c r="K14" s="455">
        <f t="shared" si="48"/>
        <v>0</v>
      </c>
      <c r="L14" s="455">
        <f t="shared" si="48"/>
        <v>0</v>
      </c>
      <c r="M14" s="455">
        <f t="shared" si="48"/>
        <v>0</v>
      </c>
      <c r="N14" s="455">
        <f t="shared" si="48"/>
        <v>0</v>
      </c>
      <c r="O14" s="455">
        <f t="shared" si="48"/>
        <v>0</v>
      </c>
      <c r="P14" s="455">
        <f t="shared" si="48"/>
        <v>0</v>
      </c>
      <c r="Q14" s="455">
        <f t="shared" si="48"/>
        <v>0</v>
      </c>
      <c r="R14" s="455">
        <f t="shared" si="48"/>
        <v>0</v>
      </c>
      <c r="S14" s="455">
        <f t="shared" si="48"/>
        <v>0</v>
      </c>
      <c r="T14" s="455">
        <f t="shared" si="48"/>
        <v>0</v>
      </c>
      <c r="U14" s="455">
        <f t="shared" si="48"/>
        <v>0</v>
      </c>
      <c r="V14" s="455">
        <f t="shared" si="48"/>
        <v>0</v>
      </c>
      <c r="W14" s="455">
        <f t="shared" si="48"/>
        <v>0</v>
      </c>
      <c r="X14" s="455">
        <f t="shared" si="48"/>
        <v>0</v>
      </c>
      <c r="Y14" s="455">
        <f t="shared" si="48"/>
        <v>0</v>
      </c>
      <c r="Z14" s="455">
        <f t="shared" si="48"/>
        <v>0</v>
      </c>
      <c r="AA14" s="455">
        <f t="shared" si="48"/>
        <v>0</v>
      </c>
      <c r="AB14" s="455">
        <f t="shared" si="48"/>
        <v>0</v>
      </c>
      <c r="AC14" s="455">
        <f t="shared" si="48"/>
        <v>0</v>
      </c>
      <c r="AD14" s="455">
        <f t="shared" si="48"/>
        <v>0</v>
      </c>
      <c r="AE14" s="455">
        <f t="shared" si="48"/>
        <v>0</v>
      </c>
      <c r="AF14" s="455">
        <f t="shared" si="48"/>
        <v>0</v>
      </c>
      <c r="AG14" s="455">
        <f t="shared" si="48"/>
        <v>0</v>
      </c>
      <c r="AH14" s="455">
        <f t="shared" si="48"/>
        <v>0</v>
      </c>
      <c r="AI14" s="455">
        <f t="shared" si="48"/>
        <v>0</v>
      </c>
      <c r="AJ14" s="455">
        <f t="shared" si="48"/>
        <v>0</v>
      </c>
      <c r="AK14" s="455">
        <f t="shared" si="48"/>
        <v>0</v>
      </c>
      <c r="AL14" s="455">
        <f t="shared" si="48"/>
        <v>0</v>
      </c>
      <c r="AM14" s="455">
        <f t="shared" si="48"/>
        <v>0</v>
      </c>
      <c r="AN14" s="455">
        <f t="shared" si="48"/>
        <v>0</v>
      </c>
      <c r="AO14" s="455">
        <f t="shared" si="48"/>
        <v>0</v>
      </c>
      <c r="AP14" s="455">
        <f t="shared" si="48"/>
        <v>0</v>
      </c>
      <c r="AQ14" s="455">
        <f t="shared" si="48"/>
        <v>0</v>
      </c>
      <c r="AR14" s="455">
        <f t="shared" si="48"/>
        <v>0</v>
      </c>
      <c r="AS14" s="455">
        <f t="shared" si="48"/>
        <v>0</v>
      </c>
      <c r="AT14" s="455">
        <f t="shared" si="48"/>
        <v>0</v>
      </c>
      <c r="AU14" s="455">
        <f t="shared" si="48"/>
        <v>0</v>
      </c>
      <c r="AV14" s="455">
        <f t="shared" si="48"/>
        <v>0</v>
      </c>
      <c r="AW14" s="455">
        <f t="shared" si="48"/>
        <v>24.29130344</v>
      </c>
      <c r="AX14" s="455">
        <f t="shared" si="48"/>
        <v>20.77829448</v>
      </c>
      <c r="AY14" s="455">
        <f t="shared" si="48"/>
        <v>20.7124586</v>
      </c>
      <c r="AZ14" s="455">
        <f t="shared" si="48"/>
        <v>23.95767359</v>
      </c>
      <c r="BA14" s="455">
        <f t="shared" si="48"/>
        <v>22.39217277</v>
      </c>
      <c r="BB14" s="455">
        <f t="shared" si="48"/>
        <v>26.41525848</v>
      </c>
      <c r="BC14" s="455">
        <f t="shared" si="48"/>
        <v>27.38901278</v>
      </c>
      <c r="BD14" s="455">
        <f t="shared" si="48"/>
        <v>26.91053904</v>
      </c>
      <c r="BE14" s="455">
        <f t="shared" si="48"/>
        <v>32.9235103</v>
      </c>
      <c r="BF14" s="455">
        <f t="shared" si="48"/>
        <v>28.42114557</v>
      </c>
      <c r="BG14" s="455">
        <f t="shared" si="48"/>
        <v>19.75660828</v>
      </c>
      <c r="BH14" s="455">
        <f t="shared" si="48"/>
        <v>22.61004003</v>
      </c>
      <c r="BI14" s="455">
        <f t="shared" si="48"/>
        <v>28.25730162</v>
      </c>
      <c r="BJ14" s="455">
        <f t="shared" si="48"/>
        <v>29.2269697</v>
      </c>
      <c r="BK14" s="455">
        <f t="shared" si="48"/>
        <v>24.96228595</v>
      </c>
      <c r="BL14" s="455">
        <f t="shared" si="48"/>
        <v>23.22001594</v>
      </c>
      <c r="BM14" s="455">
        <f t="shared" si="48"/>
        <v>22.80718304</v>
      </c>
      <c r="BN14" s="455">
        <f t="shared" si="48"/>
        <v>24.58676892</v>
      </c>
      <c r="BO14" s="455">
        <f t="shared" si="48"/>
        <v>25.2991582</v>
      </c>
      <c r="BP14" s="455">
        <f t="shared" si="48"/>
        <v>23.97257459</v>
      </c>
      <c r="BQ14" s="455">
        <f t="shared" si="48"/>
        <v>22.86601356</v>
      </c>
      <c r="BR14" s="455">
        <f t="shared" si="48"/>
        <v>20.88903956</v>
      </c>
      <c r="BS14" s="455">
        <f t="shared" si="48"/>
        <v>23.6286838</v>
      </c>
      <c r="BT14" s="455">
        <f t="shared" si="48"/>
        <v>23.82282726</v>
      </c>
      <c r="BU14" s="455">
        <f t="shared" si="48"/>
        <v>22.78287181</v>
      </c>
      <c r="BV14" s="455">
        <f t="shared" si="48"/>
        <v>22.76245883</v>
      </c>
      <c r="BW14" s="455">
        <f t="shared" si="48"/>
        <v>21.60665256</v>
      </c>
      <c r="BX14" s="455">
        <f t="shared" si="48"/>
        <v>21.87557216</v>
      </c>
      <c r="BY14" s="455">
        <f t="shared" si="48"/>
        <v>19.9078352</v>
      </c>
      <c r="BZ14" s="455">
        <f t="shared" si="48"/>
        <v>21.50892033</v>
      </c>
      <c r="CA14" s="455">
        <f t="shared" si="48"/>
        <v>21.18566253</v>
      </c>
      <c r="CB14" s="455">
        <f t="shared" si="48"/>
        <v>20.66376855</v>
      </c>
      <c r="CC14" s="455">
        <f t="shared" si="48"/>
        <v>21.42802369</v>
      </c>
      <c r="CD14" s="455">
        <f t="shared" si="48"/>
        <v>20.42546386</v>
      </c>
      <c r="CE14" s="455">
        <f t="shared" si="48"/>
        <v>20.91614216</v>
      </c>
      <c r="CF14" s="455">
        <f t="shared" si="48"/>
        <v>21.22088981</v>
      </c>
      <c r="CG14" s="455">
        <f t="shared" si="48"/>
        <v>0</v>
      </c>
      <c r="CH14" s="455">
        <f t="shared" si="48"/>
        <v>0</v>
      </c>
      <c r="CI14" s="455">
        <f t="shared" si="48"/>
        <v>0</v>
      </c>
      <c r="CJ14" s="455">
        <f t="shared" si="48"/>
        <v>21.22088981</v>
      </c>
      <c r="CK14" s="455">
        <f t="shared" si="48"/>
        <v>0</v>
      </c>
      <c r="CL14" s="455">
        <f t="shared" si="48"/>
        <v>0</v>
      </c>
      <c r="CM14" s="455">
        <f t="shared" si="48"/>
        <v>0</v>
      </c>
      <c r="CN14" s="455">
        <f t="shared" si="48"/>
        <v>0</v>
      </c>
      <c r="CO14" s="455">
        <f t="shared" si="48"/>
        <v>0</v>
      </c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</row>
    <row r="15" ht="24.75" customHeight="1">
      <c r="A15" s="417">
        <v>2020.0</v>
      </c>
      <c r="B15" s="457" t="s">
        <v>97</v>
      </c>
      <c r="C15" s="458" t="s">
        <v>92</v>
      </c>
      <c r="D15" s="459">
        <f t="shared" ref="D15:H15" si="49">IFERROR(D6/#REF!*100-100,0)</f>
        <v>0</v>
      </c>
      <c r="E15" s="460">
        <f t="shared" si="49"/>
        <v>0</v>
      </c>
      <c r="F15" s="460">
        <f t="shared" si="49"/>
        <v>0</v>
      </c>
      <c r="G15" s="460">
        <f t="shared" si="49"/>
        <v>0</v>
      </c>
      <c r="H15" s="460">
        <f t="shared" si="49"/>
        <v>0</v>
      </c>
      <c r="I15" s="460">
        <f t="shared" ref="I15:CO15" si="50">IFERROR(I6/D6*100-100,0)</f>
        <v>6.116467231</v>
      </c>
      <c r="J15" s="460">
        <f t="shared" si="50"/>
        <v>3.05556392</v>
      </c>
      <c r="K15" s="460">
        <f t="shared" si="50"/>
        <v>2.123137043</v>
      </c>
      <c r="L15" s="460">
        <f t="shared" si="50"/>
        <v>22.92794869</v>
      </c>
      <c r="M15" s="460">
        <f t="shared" si="50"/>
        <v>8.200980444</v>
      </c>
      <c r="N15" s="460">
        <f t="shared" si="50"/>
        <v>19.51630188</v>
      </c>
      <c r="O15" s="460">
        <f t="shared" si="50"/>
        <v>15.21917294</v>
      </c>
      <c r="P15" s="460">
        <f t="shared" si="50"/>
        <v>6.079851527</v>
      </c>
      <c r="Q15" s="460">
        <f t="shared" si="50"/>
        <v>-0.1151755714</v>
      </c>
      <c r="R15" s="460">
        <f t="shared" si="50"/>
        <v>9.744133585</v>
      </c>
      <c r="S15" s="460">
        <f t="shared" si="50"/>
        <v>-5.485268419</v>
      </c>
      <c r="T15" s="460">
        <f t="shared" si="50"/>
        <v>-0.2558767875</v>
      </c>
      <c r="U15" s="460">
        <f t="shared" si="50"/>
        <v>5.63749964</v>
      </c>
      <c r="V15" s="460">
        <f t="shared" si="50"/>
        <v>4.828637536</v>
      </c>
      <c r="W15" s="460">
        <f t="shared" si="50"/>
        <v>1.1421169</v>
      </c>
      <c r="X15" s="460">
        <f t="shared" si="50"/>
        <v>7.763547804</v>
      </c>
      <c r="Y15" s="460">
        <f t="shared" si="50"/>
        <v>2.685331225</v>
      </c>
      <c r="Z15" s="460">
        <f t="shared" si="50"/>
        <v>7.410382642</v>
      </c>
      <c r="AA15" s="460">
        <f t="shared" si="50"/>
        <v>-4.195362747</v>
      </c>
      <c r="AB15" s="460">
        <f t="shared" si="50"/>
        <v>3.371306353</v>
      </c>
      <c r="AC15" s="460">
        <f t="shared" si="50"/>
        <v>-1.902955815</v>
      </c>
      <c r="AD15" s="460">
        <f t="shared" si="50"/>
        <v>-1.118262922</v>
      </c>
      <c r="AE15" s="460">
        <f t="shared" si="50"/>
        <v>-5.184574721</v>
      </c>
      <c r="AF15" s="460">
        <f t="shared" si="50"/>
        <v>10.64392183</v>
      </c>
      <c r="AG15" s="460">
        <f t="shared" si="50"/>
        <v>0.3402049504</v>
      </c>
      <c r="AH15" s="460">
        <f t="shared" si="50"/>
        <v>6.74168554</v>
      </c>
      <c r="AI15" s="460">
        <f t="shared" si="50"/>
        <v>7.425287894</v>
      </c>
      <c r="AJ15" s="460">
        <f t="shared" si="50"/>
        <v>4.278942101</v>
      </c>
      <c r="AK15" s="460">
        <f t="shared" si="50"/>
        <v>3.627165163</v>
      </c>
      <c r="AL15" s="460">
        <f t="shared" si="50"/>
        <v>5.476176141</v>
      </c>
      <c r="AM15" s="460">
        <f t="shared" si="50"/>
        <v>3.255521613</v>
      </c>
      <c r="AN15" s="460">
        <f t="shared" si="50"/>
        <v>2.807618854</v>
      </c>
      <c r="AO15" s="460">
        <f t="shared" si="50"/>
        <v>-1.167441275</v>
      </c>
      <c r="AP15" s="460">
        <f t="shared" si="50"/>
        <v>-1.184399348</v>
      </c>
      <c r="AQ15" s="460">
        <f t="shared" si="50"/>
        <v>0.8975745075</v>
      </c>
      <c r="AR15" s="460">
        <f t="shared" si="50"/>
        <v>5.822378011</v>
      </c>
      <c r="AS15" s="460">
        <f t="shared" si="50"/>
        <v>9.148375596</v>
      </c>
      <c r="AT15" s="460">
        <f t="shared" si="50"/>
        <v>7.380111109</v>
      </c>
      <c r="AU15" s="460">
        <f t="shared" si="50"/>
        <v>9.459966115</v>
      </c>
      <c r="AV15" s="460">
        <f t="shared" si="50"/>
        <v>7.963981833</v>
      </c>
      <c r="AW15" s="460">
        <f t="shared" si="50"/>
        <v>-1.247944509</v>
      </c>
      <c r="AX15" s="460">
        <f t="shared" si="50"/>
        <v>0.3640576285</v>
      </c>
      <c r="AY15" s="460">
        <f t="shared" si="50"/>
        <v>3.097585981</v>
      </c>
      <c r="AZ15" s="460">
        <f t="shared" si="50"/>
        <v>5.436783996</v>
      </c>
      <c r="BA15" s="460">
        <f t="shared" si="50"/>
        <v>1.924071317</v>
      </c>
      <c r="BB15" s="460">
        <f t="shared" si="50"/>
        <v>5.527921834</v>
      </c>
      <c r="BC15" s="460">
        <f t="shared" si="50"/>
        <v>1.402932439</v>
      </c>
      <c r="BD15" s="460">
        <f t="shared" si="50"/>
        <v>0.8936395405</v>
      </c>
      <c r="BE15" s="460">
        <f t="shared" si="50"/>
        <v>2.358829889</v>
      </c>
      <c r="BF15" s="460">
        <f t="shared" si="50"/>
        <v>2.494360037</v>
      </c>
      <c r="BG15" s="460">
        <f t="shared" si="50"/>
        <v>-3.744893586</v>
      </c>
      <c r="BH15" s="460">
        <f t="shared" si="50"/>
        <v>0.4526395682</v>
      </c>
      <c r="BI15" s="460">
        <f t="shared" si="50"/>
        <v>1.975535208</v>
      </c>
      <c r="BJ15" s="460">
        <f t="shared" si="50"/>
        <v>-0.3121193939</v>
      </c>
      <c r="BK15" s="460">
        <f t="shared" si="50"/>
        <v>-0.3880540957</v>
      </c>
      <c r="BL15" s="460">
        <f t="shared" si="50"/>
        <v>8.130563019</v>
      </c>
      <c r="BM15" s="460">
        <f t="shared" si="50"/>
        <v>3.98045319</v>
      </c>
      <c r="BN15" s="460">
        <f t="shared" si="50"/>
        <v>1.856851121</v>
      </c>
      <c r="BO15" s="460">
        <f t="shared" si="50"/>
        <v>1.367984111</v>
      </c>
      <c r="BP15" s="460">
        <f t="shared" si="50"/>
        <v>3.737183614</v>
      </c>
      <c r="BQ15" s="460">
        <f t="shared" si="50"/>
        <v>3.406043177</v>
      </c>
      <c r="BR15" s="460">
        <f t="shared" si="50"/>
        <v>1.645193953</v>
      </c>
      <c r="BS15" s="460">
        <f t="shared" si="50"/>
        <v>3.555352143</v>
      </c>
      <c r="BT15" s="460">
        <f t="shared" si="50"/>
        <v>0.3006494199</v>
      </c>
      <c r="BU15" s="460">
        <f t="shared" si="50"/>
        <v>2.204064573</v>
      </c>
      <c r="BV15" s="460">
        <f t="shared" si="50"/>
        <v>1.515629584</v>
      </c>
      <c r="BW15" s="460">
        <f t="shared" si="50"/>
        <v>7.222431597</v>
      </c>
      <c r="BX15" s="460">
        <f t="shared" si="50"/>
        <v>5.636750736</v>
      </c>
      <c r="BY15" s="460">
        <f t="shared" si="50"/>
        <v>7.134521058</v>
      </c>
      <c r="BZ15" s="460">
        <f t="shared" si="50"/>
        <v>5.396418335</v>
      </c>
      <c r="CA15" s="460">
        <f t="shared" si="50"/>
        <v>3.559554031</v>
      </c>
      <c r="CB15" s="460">
        <f t="shared" si="50"/>
        <v>7.206684519</v>
      </c>
      <c r="CC15" s="460">
        <f t="shared" si="50"/>
        <v>7.098264308</v>
      </c>
      <c r="CD15" s="460">
        <f t="shared" si="50"/>
        <v>6.451586889</v>
      </c>
      <c r="CE15" s="460">
        <f t="shared" si="50"/>
        <v>6.121598018</v>
      </c>
      <c r="CF15" s="460">
        <f t="shared" si="50"/>
        <v>3.910692487</v>
      </c>
      <c r="CG15" s="460">
        <f t="shared" si="50"/>
        <v>-100</v>
      </c>
      <c r="CH15" s="460">
        <f t="shared" si="50"/>
        <v>-100</v>
      </c>
      <c r="CI15" s="460">
        <f t="shared" si="50"/>
        <v>-100</v>
      </c>
      <c r="CJ15" s="460">
        <f t="shared" si="50"/>
        <v>-75.91249005</v>
      </c>
      <c r="CK15" s="460">
        <f t="shared" si="50"/>
        <v>-100</v>
      </c>
      <c r="CL15" s="460">
        <f t="shared" si="50"/>
        <v>0</v>
      </c>
      <c r="CM15" s="460">
        <f t="shared" si="50"/>
        <v>0</v>
      </c>
      <c r="CN15" s="460">
        <f t="shared" si="50"/>
        <v>0</v>
      </c>
      <c r="CO15" s="460">
        <f t="shared" si="50"/>
        <v>-100</v>
      </c>
      <c r="CP15" s="423"/>
      <c r="CQ15" s="423"/>
      <c r="CR15" s="423"/>
      <c r="CS15" s="423"/>
      <c r="CT15" s="423"/>
      <c r="CU15" s="423"/>
      <c r="CV15" s="423"/>
      <c r="CW15" s="423"/>
      <c r="CX15" s="423"/>
      <c r="CY15" s="423"/>
    </row>
    <row r="16" ht="24.75" customHeight="1">
      <c r="A16" s="417">
        <v>2021.0</v>
      </c>
      <c r="B16" s="424"/>
      <c r="C16" s="461" t="s">
        <v>93</v>
      </c>
      <c r="D16" s="462">
        <f t="shared" ref="D16:H16" si="51">IFERROR(D8/#REF!*100-100,0)</f>
        <v>0</v>
      </c>
      <c r="E16" s="463">
        <f t="shared" si="51"/>
        <v>0</v>
      </c>
      <c r="F16" s="463">
        <f t="shared" si="51"/>
        <v>0</v>
      </c>
      <c r="G16" s="463">
        <f t="shared" si="51"/>
        <v>0</v>
      </c>
      <c r="H16" s="463">
        <f t="shared" si="51"/>
        <v>0</v>
      </c>
      <c r="I16" s="463">
        <f t="shared" ref="I16:CO16" si="52">IFERROR(I8/D8*100-100,0)</f>
        <v>0</v>
      </c>
      <c r="J16" s="463">
        <f t="shared" si="52"/>
        <v>0</v>
      </c>
      <c r="K16" s="463">
        <f t="shared" si="52"/>
        <v>0</v>
      </c>
      <c r="L16" s="463">
        <f t="shared" si="52"/>
        <v>0</v>
      </c>
      <c r="M16" s="463">
        <f t="shared" si="52"/>
        <v>0</v>
      </c>
      <c r="N16" s="463">
        <f t="shared" si="52"/>
        <v>0</v>
      </c>
      <c r="O16" s="463">
        <f t="shared" si="52"/>
        <v>0</v>
      </c>
      <c r="P16" s="463">
        <f t="shared" si="52"/>
        <v>0</v>
      </c>
      <c r="Q16" s="463">
        <f t="shared" si="52"/>
        <v>0</v>
      </c>
      <c r="R16" s="463">
        <f t="shared" si="52"/>
        <v>0</v>
      </c>
      <c r="S16" s="463">
        <f t="shared" si="52"/>
        <v>0</v>
      </c>
      <c r="T16" s="463">
        <f t="shared" si="52"/>
        <v>0</v>
      </c>
      <c r="U16" s="463">
        <f t="shared" si="52"/>
        <v>0</v>
      </c>
      <c r="V16" s="463">
        <f t="shared" si="52"/>
        <v>0</v>
      </c>
      <c r="W16" s="463">
        <f t="shared" si="52"/>
        <v>0</v>
      </c>
      <c r="X16" s="463">
        <f t="shared" si="52"/>
        <v>0</v>
      </c>
      <c r="Y16" s="463">
        <f t="shared" si="52"/>
        <v>0</v>
      </c>
      <c r="Z16" s="463">
        <f t="shared" si="52"/>
        <v>0</v>
      </c>
      <c r="AA16" s="463">
        <f t="shared" si="52"/>
        <v>0</v>
      </c>
      <c r="AB16" s="463">
        <f t="shared" si="52"/>
        <v>0</v>
      </c>
      <c r="AC16" s="463">
        <f t="shared" si="52"/>
        <v>0</v>
      </c>
      <c r="AD16" s="463">
        <f t="shared" si="52"/>
        <v>0</v>
      </c>
      <c r="AE16" s="463">
        <f t="shared" si="52"/>
        <v>0</v>
      </c>
      <c r="AF16" s="463">
        <f t="shared" si="52"/>
        <v>0</v>
      </c>
      <c r="AG16" s="463">
        <f t="shared" si="52"/>
        <v>0</v>
      </c>
      <c r="AH16" s="463">
        <f t="shared" si="52"/>
        <v>0</v>
      </c>
      <c r="AI16" s="463">
        <f t="shared" si="52"/>
        <v>0</v>
      </c>
      <c r="AJ16" s="463">
        <f t="shared" si="52"/>
        <v>0</v>
      </c>
      <c r="AK16" s="463">
        <f t="shared" si="52"/>
        <v>0</v>
      </c>
      <c r="AL16" s="463">
        <f t="shared" si="52"/>
        <v>0</v>
      </c>
      <c r="AM16" s="463">
        <f t="shared" si="52"/>
        <v>0</v>
      </c>
      <c r="AN16" s="463">
        <f t="shared" si="52"/>
        <v>0</v>
      </c>
      <c r="AO16" s="463">
        <f t="shared" si="52"/>
        <v>0</v>
      </c>
      <c r="AP16" s="463">
        <f t="shared" si="52"/>
        <v>0</v>
      </c>
      <c r="AQ16" s="463">
        <f t="shared" si="52"/>
        <v>0</v>
      </c>
      <c r="AR16" s="463">
        <f t="shared" si="52"/>
        <v>0</v>
      </c>
      <c r="AS16" s="463">
        <f t="shared" si="52"/>
        <v>0</v>
      </c>
      <c r="AT16" s="463">
        <f t="shared" si="52"/>
        <v>0</v>
      </c>
      <c r="AU16" s="463">
        <f t="shared" si="52"/>
        <v>0</v>
      </c>
      <c r="AV16" s="463">
        <f t="shared" si="52"/>
        <v>0</v>
      </c>
      <c r="AW16" s="463">
        <f t="shared" si="52"/>
        <v>0</v>
      </c>
      <c r="AX16" s="463">
        <f t="shared" si="52"/>
        <v>0</v>
      </c>
      <c r="AY16" s="463">
        <f t="shared" si="52"/>
        <v>0</v>
      </c>
      <c r="AZ16" s="463">
        <f t="shared" si="52"/>
        <v>0</v>
      </c>
      <c r="BA16" s="463">
        <f t="shared" si="52"/>
        <v>0</v>
      </c>
      <c r="BB16" s="463">
        <f t="shared" si="52"/>
        <v>3.754903577</v>
      </c>
      <c r="BC16" s="463">
        <f t="shared" si="52"/>
        <v>-3.859265659</v>
      </c>
      <c r="BD16" s="463">
        <f t="shared" si="52"/>
        <v>-4.033822738</v>
      </c>
      <c r="BE16" s="463">
        <f t="shared" si="52"/>
        <v>-4.545385565</v>
      </c>
      <c r="BF16" s="463">
        <f t="shared" si="52"/>
        <v>-2.317430929</v>
      </c>
      <c r="BG16" s="463">
        <f t="shared" si="52"/>
        <v>1.607037238</v>
      </c>
      <c r="BH16" s="463">
        <f t="shared" si="52"/>
        <v>4.367983096</v>
      </c>
      <c r="BI16" s="463">
        <f t="shared" si="52"/>
        <v>0.9047436599</v>
      </c>
      <c r="BJ16" s="463">
        <f t="shared" si="52"/>
        <v>2.539454846</v>
      </c>
      <c r="BK16" s="463">
        <f t="shared" si="52"/>
        <v>2.369127678</v>
      </c>
      <c r="BL16" s="463">
        <f t="shared" si="52"/>
        <v>5.09128229</v>
      </c>
      <c r="BM16" s="463">
        <f t="shared" si="52"/>
        <v>3.813532832</v>
      </c>
      <c r="BN16" s="463">
        <f t="shared" si="52"/>
        <v>4.857722767</v>
      </c>
      <c r="BO16" s="463">
        <f t="shared" si="52"/>
        <v>4.545613867</v>
      </c>
      <c r="BP16" s="463">
        <f t="shared" si="52"/>
        <v>4.565349598</v>
      </c>
      <c r="BQ16" s="463">
        <f t="shared" si="52"/>
        <v>3.703977363</v>
      </c>
      <c r="BR16" s="463">
        <f t="shared" si="52"/>
        <v>3.257995802</v>
      </c>
      <c r="BS16" s="463">
        <f t="shared" si="52"/>
        <v>4.357874982</v>
      </c>
      <c r="BT16" s="463">
        <f t="shared" si="52"/>
        <v>1.496527073</v>
      </c>
      <c r="BU16" s="463">
        <f t="shared" si="52"/>
        <v>3.19436931</v>
      </c>
      <c r="BV16" s="463">
        <f t="shared" si="52"/>
        <v>1.601261818</v>
      </c>
      <c r="BW16" s="463">
        <f t="shared" si="52"/>
        <v>6.589701314</v>
      </c>
      <c r="BX16" s="463">
        <f t="shared" si="52"/>
        <v>7.156276049</v>
      </c>
      <c r="BY16" s="463">
        <f t="shared" si="52"/>
        <v>10.63246428</v>
      </c>
      <c r="BZ16" s="463">
        <f t="shared" si="52"/>
        <v>6.501439457</v>
      </c>
      <c r="CA16" s="463">
        <f t="shared" si="52"/>
        <v>4.907009807</v>
      </c>
      <c r="CB16" s="463">
        <f t="shared" si="52"/>
        <v>8.044412943</v>
      </c>
      <c r="CC16" s="463">
        <f t="shared" si="52"/>
        <v>7.49299744</v>
      </c>
      <c r="CD16" s="463">
        <f t="shared" si="52"/>
        <v>5.994022594</v>
      </c>
      <c r="CE16" s="463">
        <f t="shared" si="52"/>
        <v>6.641847546</v>
      </c>
      <c r="CF16" s="463">
        <f t="shared" si="52"/>
        <v>3.880495628</v>
      </c>
      <c r="CG16" s="463">
        <f t="shared" si="52"/>
        <v>-100</v>
      </c>
      <c r="CH16" s="463">
        <f t="shared" si="52"/>
        <v>-100</v>
      </c>
      <c r="CI16" s="463">
        <f t="shared" si="52"/>
        <v>-100</v>
      </c>
      <c r="CJ16" s="463">
        <f t="shared" si="52"/>
        <v>-75.97304572</v>
      </c>
      <c r="CK16" s="463">
        <f t="shared" si="52"/>
        <v>-100</v>
      </c>
      <c r="CL16" s="463">
        <f t="shared" si="52"/>
        <v>0</v>
      </c>
      <c r="CM16" s="463">
        <f t="shared" si="52"/>
        <v>0</v>
      </c>
      <c r="CN16" s="463">
        <f t="shared" si="52"/>
        <v>0</v>
      </c>
      <c r="CO16" s="463">
        <f t="shared" si="52"/>
        <v>-100</v>
      </c>
    </row>
    <row r="17" ht="24.75" customHeight="1">
      <c r="A17" s="417">
        <v>2022.0</v>
      </c>
      <c r="B17" s="464" t="s">
        <v>98</v>
      </c>
      <c r="C17" s="465" t="s">
        <v>92</v>
      </c>
      <c r="D17" s="466">
        <f>+IFERROR(D6/#REF!*100-100,0)</f>
        <v>0</v>
      </c>
      <c r="E17" s="467">
        <f t="shared" ref="E17:G17" si="53">+IFERROR(E6/D6*100-100,0)</f>
        <v>8.858140037</v>
      </c>
      <c r="F17" s="467">
        <f t="shared" si="53"/>
        <v>7.022045235</v>
      </c>
      <c r="G17" s="467">
        <f t="shared" si="53"/>
        <v>-13.93407696</v>
      </c>
      <c r="H17" s="467"/>
      <c r="I17" s="467">
        <f>+IFERROR(I6/G6*100-100,0)</f>
        <v>5.832095788</v>
      </c>
      <c r="J17" s="467">
        <f t="shared" ref="J17:L17" si="54">+IFERROR(J6/I6*100-100,0)</f>
        <v>5.71815385</v>
      </c>
      <c r="K17" s="467">
        <f t="shared" si="54"/>
        <v>6.0537304</v>
      </c>
      <c r="L17" s="467">
        <f t="shared" si="54"/>
        <v>3.599514056</v>
      </c>
      <c r="M17" s="467"/>
      <c r="N17" s="467">
        <f>+IFERROR(N6/L6*100-100,0)</f>
        <v>2.894913999</v>
      </c>
      <c r="O17" s="467">
        <f t="shared" ref="O17:Q17" si="55">+IFERROR(O6/N6*100-100,0)</f>
        <v>1.917128121</v>
      </c>
      <c r="P17" s="467">
        <f t="shared" si="55"/>
        <v>-2.35857724</v>
      </c>
      <c r="Q17" s="467">
        <f t="shared" si="55"/>
        <v>-2.450662182</v>
      </c>
      <c r="R17" s="467"/>
      <c r="S17" s="467">
        <f>+IFERROR(S6/Q6*100-100,0)</f>
        <v>-2.637009843</v>
      </c>
      <c r="T17" s="467">
        <f t="shared" ref="T17:V17" si="56">+IFERROR(T6/S6*100-100,0)</f>
        <v>7.556085858</v>
      </c>
      <c r="U17" s="467">
        <f t="shared" si="56"/>
        <v>3.410561239</v>
      </c>
      <c r="V17" s="467">
        <f t="shared" si="56"/>
        <v>-3.197593555</v>
      </c>
      <c r="W17" s="467"/>
      <c r="X17" s="467">
        <f>+IFERROR(X6/V6*100-100,0)</f>
        <v>0.08888306387</v>
      </c>
      <c r="Y17" s="467">
        <f t="shared" ref="Y17:AA17" si="57">+IFERROR(Y6/X6*100-100,0)</f>
        <v>2.487645653</v>
      </c>
      <c r="Z17" s="467">
        <f t="shared" si="57"/>
        <v>8.168984016</v>
      </c>
      <c r="AA17" s="467">
        <f t="shared" si="57"/>
        <v>-13.65714183</v>
      </c>
      <c r="AB17" s="467"/>
      <c r="AC17" s="467">
        <f>+IFERROR(AC6/AA6*100-100,0)</f>
        <v>2.483803142</v>
      </c>
      <c r="AD17" s="467">
        <f t="shared" ref="AD17:AF17" si="58">+IFERROR(AD6/AC6*100-100,0)</f>
        <v>3.307459622</v>
      </c>
      <c r="AE17" s="467">
        <f t="shared" si="58"/>
        <v>3.720752937</v>
      </c>
      <c r="AF17" s="467">
        <f t="shared" si="58"/>
        <v>0.7569435225</v>
      </c>
      <c r="AG17" s="467"/>
      <c r="AH17" s="467">
        <f>+IFERROR(AH6/AF6*100-100,0)</f>
        <v>-1.130638654</v>
      </c>
      <c r="AI17" s="467">
        <f t="shared" ref="AI17:AK17" si="59">+IFERROR(AI6/AH6*100-100,0)</f>
        <v>3.969068274</v>
      </c>
      <c r="AJ17" s="467">
        <f t="shared" si="59"/>
        <v>0.6829081143</v>
      </c>
      <c r="AK17" s="467">
        <f t="shared" si="59"/>
        <v>0.1271802092</v>
      </c>
      <c r="AL17" s="467"/>
      <c r="AM17" s="467">
        <f>+IFERROR(AM6/AK6*100-100,0)</f>
        <v>-1.485219042</v>
      </c>
      <c r="AN17" s="467">
        <f t="shared" ref="AN17:AP17" si="60">+IFERROR(AN6/AM6*100-100,0)</f>
        <v>3.518070285</v>
      </c>
      <c r="AO17" s="467">
        <f t="shared" si="60"/>
        <v>-3.21</v>
      </c>
      <c r="AP17" s="467">
        <f t="shared" si="60"/>
        <v>0.11</v>
      </c>
      <c r="AQ17" s="467"/>
      <c r="AR17" s="467">
        <f>+IFERROR(AR6/AP6*100-100,0)</f>
        <v>5.500227913</v>
      </c>
      <c r="AS17" s="467">
        <f t="shared" ref="AS17:AU17" si="61">+IFERROR(AS6/AR6*100-100,0)</f>
        <v>6.771643473</v>
      </c>
      <c r="AT17" s="467">
        <f t="shared" si="61"/>
        <v>-4.778051918</v>
      </c>
      <c r="AU17" s="467">
        <f t="shared" si="61"/>
        <v>2.049039572</v>
      </c>
      <c r="AV17" s="467"/>
      <c r="AW17" s="467">
        <f>+IFERROR(AW6/AU6*100-100,0)</f>
        <v>-4.820321703</v>
      </c>
      <c r="AX17" s="467">
        <f t="shared" ref="AX17:AZ17" si="62">+IFERROR(AX6/AW6*100-100,0)</f>
        <v>8.51455522</v>
      </c>
      <c r="AY17" s="467">
        <f t="shared" si="62"/>
        <v>-2.184574721</v>
      </c>
      <c r="AZ17" s="467">
        <f t="shared" si="62"/>
        <v>4.364446945</v>
      </c>
      <c r="BA17" s="467"/>
      <c r="BB17" s="467">
        <f>+IFERROR(BB6/AZ6*100-100,0)</f>
        <v>-4.73804994</v>
      </c>
      <c r="BC17" s="467">
        <f t="shared" ref="BC17:BE17" si="63">+IFERROR(BC6/BB6*100-100,0)</f>
        <v>4.272821073</v>
      </c>
      <c r="BD17" s="467">
        <f t="shared" si="63"/>
        <v>-2.675849482</v>
      </c>
      <c r="BE17" s="467">
        <f t="shared" si="63"/>
        <v>5.880040803</v>
      </c>
      <c r="BF17" s="467"/>
      <c r="BG17" s="467">
        <f>+IFERROR(BG6/BE6*100-100,0)</f>
        <v>-10.41858186</v>
      </c>
      <c r="BH17" s="467">
        <f t="shared" ref="BH17:BJ17" si="64">+IFERROR(BH6/BG6*100-100,0)</f>
        <v>8.8199941</v>
      </c>
      <c r="BI17" s="467">
        <f t="shared" si="64"/>
        <v>-1.200382783</v>
      </c>
      <c r="BJ17" s="467">
        <f t="shared" si="64"/>
        <v>3.504794994</v>
      </c>
      <c r="BK17" s="467"/>
      <c r="BL17" s="467">
        <f>+IFERROR(BL6/BJ6*100-100,0)</f>
        <v>-2.831827498</v>
      </c>
      <c r="BM17" s="467">
        <f t="shared" ref="BM17:BO17" si="65">+IFERROR(BM6/BL6*100-100,0)</f>
        <v>4.643423532</v>
      </c>
      <c r="BN17" s="467">
        <f t="shared" si="65"/>
        <v>-3.218176178</v>
      </c>
      <c r="BO17" s="467">
        <f t="shared" si="65"/>
        <v>3.008018595</v>
      </c>
      <c r="BP17" s="467"/>
      <c r="BQ17" s="467">
        <f>+IFERROR(BQ6/BO6*100-100,0)</f>
        <v>-0.8782079546</v>
      </c>
      <c r="BR17" s="467">
        <f t="shared" ref="BR17:BT17" si="66">+IFERROR(BR6/BQ6*100-100,0)</f>
        <v>2.861503584</v>
      </c>
      <c r="BS17" s="467">
        <f t="shared" si="66"/>
        <v>-1.399412435</v>
      </c>
      <c r="BT17" s="467">
        <f t="shared" si="66"/>
        <v>-0.2294816565</v>
      </c>
      <c r="BU17" s="467"/>
      <c r="BV17" s="467">
        <f>+IFERROR(BV6/BT6*100-100,0)</f>
        <v>0.3224922589</v>
      </c>
      <c r="BW17" s="467">
        <f t="shared" ref="BW17:BY17" si="67">+IFERROR(BW6/BV6*100-100,0)</f>
        <v>8.643965242</v>
      </c>
      <c r="BX17" s="467">
        <f t="shared" si="67"/>
        <v>-2.857587393</v>
      </c>
      <c r="BY17" s="467">
        <f t="shared" si="67"/>
        <v>1.18511431</v>
      </c>
      <c r="BZ17" s="467"/>
      <c r="CA17" s="467">
        <f>+IFERROR(CA6/BY6*100-100,0)</f>
        <v>-3.025164485</v>
      </c>
      <c r="CB17" s="467">
        <f t="shared" ref="CB17:CD17" si="68">+IFERROR(CB6/CA6*100-100,0)</f>
        <v>12.47015706</v>
      </c>
      <c r="CC17" s="467">
        <f t="shared" si="68"/>
        <v>-2.955829409</v>
      </c>
      <c r="CD17" s="467">
        <f t="shared" si="68"/>
        <v>0.5741414893</v>
      </c>
      <c r="CE17" s="467"/>
      <c r="CF17" s="467">
        <f>+IFERROR(CF6/CD6*100-100,0)</f>
        <v>-5.339858177</v>
      </c>
      <c r="CG17" s="467">
        <f t="shared" ref="CG17:CI17" si="69">+IFERROR(CG6/CF6*100-100,0)</f>
        <v>-100</v>
      </c>
      <c r="CH17" s="467">
        <f t="shared" si="69"/>
        <v>0</v>
      </c>
      <c r="CI17" s="467">
        <f t="shared" si="69"/>
        <v>0</v>
      </c>
      <c r="CJ17" s="467"/>
      <c r="CK17" s="467">
        <f>+IFERROR(CK6/CI6*100-100,0)</f>
        <v>0</v>
      </c>
      <c r="CL17" s="467">
        <f t="shared" ref="CL17:CN17" si="70">+IFERROR(CL6/CK6*100-100,0)</f>
        <v>0</v>
      </c>
      <c r="CM17" s="467">
        <f t="shared" si="70"/>
        <v>0</v>
      </c>
      <c r="CN17" s="467">
        <f t="shared" si="70"/>
        <v>0</v>
      </c>
      <c r="CO17" s="467"/>
      <c r="CP17" s="423"/>
      <c r="CQ17" s="423"/>
      <c r="CR17" s="423"/>
      <c r="CS17" s="423"/>
      <c r="CT17" s="423"/>
      <c r="CU17" s="423"/>
      <c r="CV17" s="423"/>
      <c r="CW17" s="423"/>
      <c r="CX17" s="423"/>
      <c r="CY17" s="423"/>
    </row>
    <row r="18" ht="24.75" customHeight="1">
      <c r="A18" s="427">
        <v>2023.0</v>
      </c>
      <c r="B18" s="424"/>
      <c r="C18" s="468" t="s">
        <v>93</v>
      </c>
      <c r="D18" s="469">
        <f>+IFERROR(D8/#REF!*100-100,0)</f>
        <v>0</v>
      </c>
      <c r="E18" s="470">
        <f t="shared" ref="E18:G18" si="71">+IFERROR(E8/D8*100-100,0)</f>
        <v>0</v>
      </c>
      <c r="F18" s="470">
        <f t="shared" si="71"/>
        <v>0</v>
      </c>
      <c r="G18" s="470">
        <f t="shared" si="71"/>
        <v>0</v>
      </c>
      <c r="H18" s="470"/>
      <c r="I18" s="470">
        <f>+IFERROR(I8/G8*100-100,0)</f>
        <v>0</v>
      </c>
      <c r="J18" s="470">
        <f t="shared" ref="J18:L18" si="72">+IFERROR(J8/I8*100-100,0)</f>
        <v>0</v>
      </c>
      <c r="K18" s="470">
        <f t="shared" si="72"/>
        <v>0</v>
      </c>
      <c r="L18" s="470">
        <f t="shared" si="72"/>
        <v>0</v>
      </c>
      <c r="M18" s="470"/>
      <c r="N18" s="470">
        <f>+IFERROR(N8/L8*100-100,0)</f>
        <v>0</v>
      </c>
      <c r="O18" s="470">
        <f t="shared" ref="O18:Q18" si="73">+IFERROR(O8/N8*100-100,0)</f>
        <v>0</v>
      </c>
      <c r="P18" s="470">
        <f t="shared" si="73"/>
        <v>0</v>
      </c>
      <c r="Q18" s="470">
        <f t="shared" si="73"/>
        <v>0</v>
      </c>
      <c r="R18" s="470"/>
      <c r="S18" s="470">
        <f>+IFERROR(S8/Q8*100-100,0)</f>
        <v>0</v>
      </c>
      <c r="T18" s="470">
        <f t="shared" ref="T18:V18" si="74">+IFERROR(T8/S8*100-100,0)</f>
        <v>0</v>
      </c>
      <c r="U18" s="470">
        <f t="shared" si="74"/>
        <v>0</v>
      </c>
      <c r="V18" s="470">
        <f t="shared" si="74"/>
        <v>0</v>
      </c>
      <c r="W18" s="470"/>
      <c r="X18" s="470">
        <f>+IFERROR(X8/V8*100-100,0)</f>
        <v>0</v>
      </c>
      <c r="Y18" s="470">
        <f t="shared" ref="Y18:AA18" si="75">+IFERROR(Y8/X8*100-100,0)</f>
        <v>0</v>
      </c>
      <c r="Z18" s="470">
        <f t="shared" si="75"/>
        <v>0</v>
      </c>
      <c r="AA18" s="470">
        <f t="shared" si="75"/>
        <v>0</v>
      </c>
      <c r="AB18" s="470"/>
      <c r="AC18" s="470">
        <f>+IFERROR(AC8/AA8*100-100,0)</f>
        <v>0</v>
      </c>
      <c r="AD18" s="470">
        <f t="shared" ref="AD18:AF18" si="76">+IFERROR(AD8/AC8*100-100,0)</f>
        <v>0</v>
      </c>
      <c r="AE18" s="470">
        <f t="shared" si="76"/>
        <v>0</v>
      </c>
      <c r="AF18" s="470">
        <f t="shared" si="76"/>
        <v>0</v>
      </c>
      <c r="AG18" s="470"/>
      <c r="AH18" s="470">
        <f>+IFERROR(AH8/AF8*100-100,0)</f>
        <v>0</v>
      </c>
      <c r="AI18" s="470">
        <f t="shared" ref="AI18:AK18" si="77">+IFERROR(AI8/AH8*100-100,0)</f>
        <v>0</v>
      </c>
      <c r="AJ18" s="470">
        <f t="shared" si="77"/>
        <v>0</v>
      </c>
      <c r="AK18" s="470">
        <f t="shared" si="77"/>
        <v>0</v>
      </c>
      <c r="AL18" s="470"/>
      <c r="AM18" s="470">
        <f>+IFERROR(AM8/AK8*100-100,0)</f>
        <v>0</v>
      </c>
      <c r="AN18" s="470">
        <f t="shared" ref="AN18:AP18" si="78">+IFERROR(AN8/AM8*100-100,0)</f>
        <v>0</v>
      </c>
      <c r="AO18" s="470">
        <f t="shared" si="78"/>
        <v>0</v>
      </c>
      <c r="AP18" s="470">
        <f t="shared" si="78"/>
        <v>0</v>
      </c>
      <c r="AQ18" s="470"/>
      <c r="AR18" s="470">
        <f>+IFERROR(AR8/AP8*100-100,0)</f>
        <v>0</v>
      </c>
      <c r="AS18" s="470">
        <f t="shared" ref="AS18:AU18" si="79">+IFERROR(AS8/AR8*100-100,0)</f>
        <v>0</v>
      </c>
      <c r="AT18" s="470">
        <f t="shared" si="79"/>
        <v>0</v>
      </c>
      <c r="AU18" s="470">
        <f t="shared" si="79"/>
        <v>0</v>
      </c>
      <c r="AV18" s="470"/>
      <c r="AW18" s="470">
        <f>+IFERROR(AW8/AU8*100-100,0)</f>
        <v>0</v>
      </c>
      <c r="AX18" s="470">
        <f t="shared" ref="AX18:AZ18" si="80">+IFERROR(AX8/AW8*100-100,0)</f>
        <v>11.67085583</v>
      </c>
      <c r="AY18" s="470">
        <f t="shared" si="80"/>
        <v>-2.131226748</v>
      </c>
      <c r="AZ18" s="470">
        <f t="shared" si="80"/>
        <v>1.632183115</v>
      </c>
      <c r="BA18" s="470"/>
      <c r="BB18" s="470">
        <f>+IFERROR(BB8/AZ8*100-100,0)</f>
        <v>-6.589996705</v>
      </c>
      <c r="BC18" s="470">
        <f t="shared" ref="BC18:BE18" si="81">+IFERROR(BC8/BB8*100-100,0)</f>
        <v>3.475765617</v>
      </c>
      <c r="BD18" s="470">
        <f t="shared" si="81"/>
        <v>-2.308921325</v>
      </c>
      <c r="BE18" s="470">
        <f t="shared" si="81"/>
        <v>1.090416752</v>
      </c>
      <c r="BF18" s="470"/>
      <c r="BG18" s="470">
        <f>+IFERROR(BG8/BE8*100-100,0)</f>
        <v>-0.5693570781</v>
      </c>
      <c r="BH18" s="470">
        <f t="shared" ref="BH18:BJ18" si="82">+IFERROR(BH8/BG8*100-100,0)</f>
        <v>6.287490023</v>
      </c>
      <c r="BI18" s="470">
        <f t="shared" si="82"/>
        <v>-5.550601256</v>
      </c>
      <c r="BJ18" s="470">
        <f t="shared" si="82"/>
        <v>2.728135941</v>
      </c>
      <c r="BK18" s="470"/>
      <c r="BL18" s="470">
        <f>+IFERROR(BL8/BJ8*100-100,0)</f>
        <v>1.905103546</v>
      </c>
      <c r="BM18" s="470">
        <f t="shared" ref="BM18:BO18" si="83">+IFERROR(BM8/BL8*100-100,0)</f>
        <v>4.995196506</v>
      </c>
      <c r="BN18" s="470">
        <f t="shared" si="83"/>
        <v>-4.600598796</v>
      </c>
      <c r="BO18" s="470">
        <f t="shared" si="83"/>
        <v>2.422365755</v>
      </c>
      <c r="BP18" s="470"/>
      <c r="BQ18" s="470">
        <f>+IFERROR(BQ8/BO8*100-100,0)</f>
        <v>1.084724269</v>
      </c>
      <c r="BR18" s="470">
        <f t="shared" ref="BR18:BT18" si="84">+IFERROR(BR8/BQ8*100-100,0)</f>
        <v>4.543662025</v>
      </c>
      <c r="BS18" s="470">
        <f t="shared" si="84"/>
        <v>-3.584427464</v>
      </c>
      <c r="BT18" s="470">
        <f t="shared" si="84"/>
        <v>-0.3859131809</v>
      </c>
      <c r="BU18" s="470"/>
      <c r="BV18" s="470">
        <f>+IFERROR(BV8/BT8*100-100,0)</f>
        <v>1.189034072</v>
      </c>
      <c r="BW18" s="470">
        <f t="shared" ref="BW18:BY18" si="85">+IFERROR(BW8/BV8*100-100,0)</f>
        <v>9.676568087</v>
      </c>
      <c r="BX18" s="470">
        <f t="shared" si="85"/>
        <v>-3.071933041</v>
      </c>
      <c r="BY18" s="470">
        <f t="shared" si="85"/>
        <v>2.845603708</v>
      </c>
      <c r="BZ18" s="470"/>
      <c r="CA18" s="470">
        <f>+IFERROR(CA8/BY8*100-100,0)</f>
        <v>-4.047703726</v>
      </c>
      <c r="CB18" s="470">
        <f t="shared" ref="CB18:CD18" si="86">+IFERROR(CB8/CA8*100-100,0)</f>
        <v>12.95661209</v>
      </c>
      <c r="CC18" s="470">
        <f t="shared" si="86"/>
        <v>-3.566615157</v>
      </c>
      <c r="CD18" s="470">
        <f t="shared" si="86"/>
        <v>1.41143612</v>
      </c>
      <c r="CE18" s="470"/>
      <c r="CF18" s="470">
        <f>+IFERROR(CF8/CD8*100-100,0)</f>
        <v>-5.960998086</v>
      </c>
      <c r="CG18" s="470">
        <f t="shared" ref="CG18:CI18" si="87">+IFERROR(CG8/CF8*100-100,0)</f>
        <v>-100</v>
      </c>
      <c r="CH18" s="470">
        <f t="shared" si="87"/>
        <v>0</v>
      </c>
      <c r="CI18" s="470">
        <f t="shared" si="87"/>
        <v>0</v>
      </c>
      <c r="CJ18" s="470"/>
      <c r="CK18" s="470">
        <f>+IFERROR(CK8/CI8*100-100,0)</f>
        <v>0</v>
      </c>
      <c r="CL18" s="470">
        <f t="shared" ref="CL18:CN18" si="88">+IFERROR(CL8/CK8*100-100,0)</f>
        <v>0</v>
      </c>
      <c r="CM18" s="470">
        <f t="shared" si="88"/>
        <v>0</v>
      </c>
      <c r="CN18" s="470">
        <f t="shared" si="88"/>
        <v>0</v>
      </c>
      <c r="CO18" s="470"/>
    </row>
    <row r="19" ht="24.75" customHeight="1">
      <c r="A19" s="451">
        <v>2024.0</v>
      </c>
      <c r="B19" s="457" t="s">
        <v>99</v>
      </c>
      <c r="C19" s="458" t="s">
        <v>92</v>
      </c>
      <c r="D19" s="459"/>
      <c r="E19" s="460"/>
      <c r="F19" s="460"/>
      <c r="G19" s="460"/>
      <c r="H19" s="460"/>
      <c r="I19" s="460">
        <f>IFERROR(SUM(I6)/SUM(D6)*100-100,0)</f>
        <v>6.116467231</v>
      </c>
      <c r="J19" s="460">
        <f>IFERROR(SUM(I6:J6)/SUM(D6:E6)*100-100,0)</f>
        <v>4.521105703</v>
      </c>
      <c r="K19" s="460">
        <f>IFERROR(SUM(I6:K6)/SUM(D6:F6)*100-100,0)</f>
        <v>3.66246191</v>
      </c>
      <c r="L19" s="460">
        <f>IFERROR(SUM(I6:L6)/SUM(D6:G6)*100-100,0)</f>
        <v>8.200980444</v>
      </c>
      <c r="M19" s="460"/>
      <c r="N19" s="460">
        <f>IFERROR(SUM(N6)/SUM(I6)*100-100,0)</f>
        <v>19.51630188</v>
      </c>
      <c r="O19" s="460">
        <f>IFERROR(SUM(N6:O6)/SUM(I6:J6)*100-100,0)</f>
        <v>17.30801578</v>
      </c>
      <c r="P19" s="460">
        <f>IFERROR(SUM(N6:P6)/SUM(I6:K6)*100-100,0)</f>
        <v>13.34723398</v>
      </c>
      <c r="Q19" s="460">
        <f>IFERROR(SUM(N6:Q6)/SUM(I6:L6)*100-100,0)</f>
        <v>9.744133585</v>
      </c>
      <c r="R19" s="460"/>
      <c r="S19" s="460">
        <f>IFERROR(SUM(S6)/SUM(N6)*100-100,0)</f>
        <v>-5.485268419</v>
      </c>
      <c r="T19" s="460">
        <f>IFERROR(SUM(S6:T6)/SUM(N6:O6)*100-100,0)</f>
        <v>-2.845747038</v>
      </c>
      <c r="U19" s="460">
        <f>IFERROR(SUM(S6:U6)/SUM(N6:P6)*100-100,0)</f>
        <v>-0.04511383777</v>
      </c>
      <c r="V19" s="460">
        <f>IFERROR(SUM(S6:V6)/SUM(N6:Q6)*100-100,0)</f>
        <v>1.1421169</v>
      </c>
      <c r="W19" s="460"/>
      <c r="X19" s="460">
        <f>IFERROR(SUM(X6)/SUM(S6)*100-100,0)</f>
        <v>7.763547804</v>
      </c>
      <c r="Y19" s="460">
        <f>IFERROR(SUM(X6:Y6)/SUM(S6:T6)*100-100,0)</f>
        <v>5.132003197</v>
      </c>
      <c r="Z19" s="460">
        <f>IFERROR(SUM(X6:Z6)/SUM(S6:U6)*100-100,0)</f>
        <v>5.92694306</v>
      </c>
      <c r="AA19" s="460">
        <f>IFERROR(SUM(X6:AA6)/SUM(S6:V6)*100-100,0)</f>
        <v>3.371306353</v>
      </c>
      <c r="AB19" s="460"/>
      <c r="AC19" s="460">
        <f>IFERROR(SUM(AC6)/SUM(X6)*100-100,0)</f>
        <v>-1.902955815</v>
      </c>
      <c r="AD19" s="460">
        <f>IFERROR(SUM(AC6:AD6)/SUM(X6:Y6)*100-100,0)</f>
        <v>-1.505789228</v>
      </c>
      <c r="AE19" s="460">
        <f>IFERROR(SUM(AC6:AE6)/SUM(X6:Z6)*100-100,0)</f>
        <v>-2.807314218</v>
      </c>
      <c r="AF19" s="460">
        <f>IFERROR(SUM(AC6:AF6)/SUM(X6:AA6)*100-100,0)</f>
        <v>0.3402049504</v>
      </c>
      <c r="AG19" s="460"/>
      <c r="AH19" s="460">
        <f>IFERROR(SUM(AH6)/SUM(AC6)*100-100,0)</f>
        <v>6.74168554</v>
      </c>
      <c r="AI19" s="460">
        <f>IFERROR(SUM(AH6:AI6)/SUM(AC6:AD6)*100-100,0)</f>
        <v>7.089047229</v>
      </c>
      <c r="AJ19" s="460">
        <f>IFERROR(SUM(AH6:AJ6)/SUM(AC6:AE6)*100-100,0)</f>
        <v>6.119171643</v>
      </c>
      <c r="AK19" s="460">
        <f>IFERROR(SUM(AH6:AK6)/SUM(AC6:AF6)*100-100,0)</f>
        <v>5.476176141</v>
      </c>
      <c r="AL19" s="460"/>
      <c r="AM19" s="460">
        <f>IFERROR(SUM(AM6)/SUM(AH6)*100-100,0)</f>
        <v>3.255521613</v>
      </c>
      <c r="AN19" s="460">
        <f>IFERROR(SUM(AM6:AN6)/SUM(AH6:AI6)*100-100,0)</f>
        <v>3.027212326</v>
      </c>
      <c r="AO19" s="460">
        <f>IFERROR(SUM(AM6:AO6)/SUM(AH6:AJ6)*100-100,0)</f>
        <v>1.604581131</v>
      </c>
      <c r="AP19" s="460">
        <f>IFERROR(SUM(AM6:AP6)/SUM(AH6:AK6)*100-100,0)</f>
        <v>0.8975745075</v>
      </c>
      <c r="AQ19" s="460"/>
      <c r="AR19" s="460">
        <f>IFERROR(SUM(AR6)/SUM(AM6)*100-100,0)</f>
        <v>5.822378011</v>
      </c>
      <c r="AS19" s="460">
        <f>IFERROR(SUM(AR6:AS6)/SUM(AM6:AN6)*100-100,0)</f>
        <v>7.514123866</v>
      </c>
      <c r="AT19" s="460">
        <f>IFERROR(SUM(AR6:AT6)/SUM(AM6:AO6)*100-100,0)</f>
        <v>7.46991299</v>
      </c>
      <c r="AU19" s="460">
        <f>IFERROR(SUM(AR6:AU6)/SUM(AM6:AP6)*100-100,0)</f>
        <v>7.963981833</v>
      </c>
      <c r="AV19" s="460"/>
      <c r="AW19" s="460">
        <f>IFERROR(SUM(AW6)/SUM(AR6)*100-100,0)</f>
        <v>-1.247944509</v>
      </c>
      <c r="AX19" s="460">
        <f>IFERROR(SUM(AW6:AX6)/SUM(AR6:AS6)*100-100,0)</f>
        <v>-0.4155474035</v>
      </c>
      <c r="AY19" s="460">
        <f>IFERROR(SUM(AW6:AY6)/SUM(AR6:AT6)*100-100,0)</f>
        <v>0.7424686117</v>
      </c>
      <c r="AZ19" s="460">
        <f>IFERROR(SUM(AW6:AZ6)/SUM(AR6:AU6)*100-100,0)</f>
        <v>1.924071317</v>
      </c>
      <c r="BA19" s="460"/>
      <c r="BB19" s="460">
        <f>IFERROR(SUM(BB6)/SUM(AW6)*100-100,0)</f>
        <v>5.527921834</v>
      </c>
      <c r="BC19" s="460">
        <f>IFERROR(SUM(BB6:BC6)/SUM(AW6:AX6)*100-100,0)</f>
        <v>3.381206517</v>
      </c>
      <c r="BD19" s="460">
        <f>IFERROR(SUM(BB6:BD6)/SUM(AW6:AY6)*100-100,0)</f>
        <v>2.542073872</v>
      </c>
      <c r="BE19" s="460">
        <f>IFERROR(SUM(BB6:BE6)/SUM(AW6:AZ6)*100-100,0)</f>
        <v>2.494360037</v>
      </c>
      <c r="BF19" s="460"/>
      <c r="BG19" s="460">
        <f>IFERROR(SUM(BG6)/SUM(BB6)*100-100,0)</f>
        <v>-3.744893586</v>
      </c>
      <c r="BH19" s="460">
        <f>IFERROR(SUM(BG6:BH6)/SUM(BB6:BC6)*100-100,0)</f>
        <v>-1.602226631</v>
      </c>
      <c r="BI19" s="460">
        <f>IFERROR(SUM(BG6:BI6)/SUM(BB6:BD6)*100-100,0)</f>
        <v>-0.4147393852</v>
      </c>
      <c r="BJ19" s="460">
        <f>IFERROR(SUM(BG6:BJ6)/SUM(BB6:BE6)*100-100,0)</f>
        <v>-0.3880540957</v>
      </c>
      <c r="BK19" s="460"/>
      <c r="BL19" s="460">
        <f>IFERROR(SUM(BL6)/SUM(BG6)*100-100,0)</f>
        <v>8.130563019</v>
      </c>
      <c r="BM19" s="460">
        <f>IFERROR(SUM(BL6:BM6)/SUM(BG6:BH6)*100-100,0)</f>
        <v>5.967863374</v>
      </c>
      <c r="BN19" s="460">
        <f>IFERROR(SUM(BL6:BN6)/SUM(BG6:BI6)*100-100,0)</f>
        <v>4.570635547</v>
      </c>
      <c r="BO19" s="460">
        <f>IFERROR(SUM(BL6:BO6)/SUM(BG6:BJ6)*100-100,0)</f>
        <v>3.737183614</v>
      </c>
      <c r="BP19" s="460"/>
      <c r="BQ19" s="460">
        <f>IFERROR(SUM(BQ6)/SUM(BL6)*100-100,0)</f>
        <v>3.406043177</v>
      </c>
      <c r="BR19" s="460">
        <f>IFERROR(SUM(BQ6:BR6)/SUM(BL6:BM6)*100-100,0)</f>
        <v>2.505641454</v>
      </c>
      <c r="BS19" s="460">
        <f>IFERROR(SUM(BQ6:BS6)/SUM(BL6:BN6)*100-100,0)</f>
        <v>2.853152468</v>
      </c>
      <c r="BT19" s="460">
        <f>IFERROR(SUM(BQ6:BT6)/SUM(BL6:BO6)*100-100,0)</f>
        <v>2.204064573</v>
      </c>
      <c r="BU19" s="460"/>
      <c r="BV19" s="460">
        <f>IFERROR(SUM(BV6)/SUM(BQ6)*100-100,0)</f>
        <v>1.515629584</v>
      </c>
      <c r="BW19" s="460">
        <f>IFERROR(SUM(BV6:BW6)/SUM(BQ6:BR6)*100-100,0)</f>
        <v>4.40927981</v>
      </c>
      <c r="BX19" s="460">
        <f>IFERROR(SUM(BV6:BX6)/SUM(BQ6:BS6)*100-100,0)</f>
        <v>4.818413375</v>
      </c>
      <c r="BY19" s="460">
        <f>IFERROR(SUM(BV6:BY6)/SUM(BQ6:BT6)*100-100,0)</f>
        <v>5.396418335</v>
      </c>
      <c r="BZ19" s="460"/>
      <c r="CA19" s="460">
        <f>IFERROR(SUM(CA6)/SUM(BV6)*100-100,0)</f>
        <v>3.559554031</v>
      </c>
      <c r="CB19" s="460">
        <f>IFERROR(SUM(CA6:CB6)/SUM(BV6:BW6)*100-100,0)</f>
        <v>5.458668235</v>
      </c>
      <c r="CC19" s="460">
        <f>IFERROR(SUM(CA6:CC6)/SUM(BV6:BX6)*100-100,0)</f>
        <v>6.009435625</v>
      </c>
      <c r="CD19" s="460">
        <f>IFERROR(SUM(CA6:CD6)/SUM(BV6:BY6)*100-100,0)</f>
        <v>6.121598018</v>
      </c>
      <c r="CE19" s="460"/>
      <c r="CF19" s="460">
        <f>IFERROR(SUM(CF6)/SUM(CA6)*100-100,0)</f>
        <v>3.910692487</v>
      </c>
      <c r="CG19" s="460">
        <f>IFERROR(SUM(CF6:CG6)/SUM(CA6:CB6)*100-100,0)</f>
        <v>-51.09398236</v>
      </c>
      <c r="CH19" s="460">
        <f>IFERROR(SUM(CF6:CH6)/SUM(CA6:CC6)*100-100,0)</f>
        <v>-67.69105746</v>
      </c>
      <c r="CI19" s="460">
        <f>IFERROR(SUM(CF6:CI6)/SUM(CA6:CD6)*100-100,0)</f>
        <v>-75.91249005</v>
      </c>
      <c r="CJ19" s="460"/>
      <c r="CK19" s="460">
        <f>IFERROR(SUM(CK6)/SUM(CF6)*100-100,0)</f>
        <v>-100</v>
      </c>
      <c r="CL19" s="460">
        <f>IFERROR(SUM(CK6:CL6)/SUM(CF6:CG6)*100-100,0)</f>
        <v>-100</v>
      </c>
      <c r="CM19" s="460">
        <f>IFERROR(SUM(CK6:CM6)/SUM(CF6:CH6)*100-100,0)</f>
        <v>-100</v>
      </c>
      <c r="CN19" s="460">
        <f>IFERROR(SUM(CK6:CN6)/SUM(CF6:CI6)*100-100,0)</f>
        <v>-100</v>
      </c>
      <c r="CO19" s="460"/>
      <c r="CP19" s="423"/>
      <c r="CQ19" s="423"/>
      <c r="CR19" s="423"/>
      <c r="CS19" s="423"/>
      <c r="CT19" s="423"/>
      <c r="CU19" s="423"/>
      <c r="CV19" s="423"/>
      <c r="CW19" s="423"/>
      <c r="CX19" s="423"/>
      <c r="CY19" s="423"/>
    </row>
    <row r="20" ht="24.75" customHeight="1">
      <c r="A20" s="427">
        <v>2025.0</v>
      </c>
      <c r="B20" s="424"/>
      <c r="C20" s="461" t="s">
        <v>93</v>
      </c>
      <c r="D20" s="462"/>
      <c r="E20" s="463"/>
      <c r="F20" s="463"/>
      <c r="G20" s="463"/>
      <c r="H20" s="463"/>
      <c r="I20" s="463">
        <f>IFERROR(SUM(I8)/SUM(D8)*100-100,0)</f>
        <v>0</v>
      </c>
      <c r="J20" s="463">
        <f>IFERROR(SUM(I8:J8)/SUM(D8:E8)*100-100,0)</f>
        <v>0</v>
      </c>
      <c r="K20" s="463">
        <f>IFERROR(SUM(I8:K8)/SUM(D8:F8)*100-100,0)</f>
        <v>0</v>
      </c>
      <c r="L20" s="463">
        <f>IFERROR(SUM(I8:L8)/SUM(D8:G8)*100-100,0)</f>
        <v>0</v>
      </c>
      <c r="M20" s="463"/>
      <c r="N20" s="463">
        <f>IFERROR(SUM(N8)/SUM(I8)*100-100,0)</f>
        <v>0</v>
      </c>
      <c r="O20" s="463">
        <f>IFERROR(SUM(N8:O8)/SUM(I8:J8)*100-100,0)</f>
        <v>0</v>
      </c>
      <c r="P20" s="463">
        <f>IFERROR(SUM(N8:P8)/SUM(I8:K8)*100-100,0)</f>
        <v>0</v>
      </c>
      <c r="Q20" s="463">
        <f>IFERROR(SUM(N8:Q8)/SUM(I8:L8)*100-100,0)</f>
        <v>0</v>
      </c>
      <c r="R20" s="463"/>
      <c r="S20" s="463">
        <f>IFERROR(SUM(S8)/SUM(N8)*100-100,0)</f>
        <v>0</v>
      </c>
      <c r="T20" s="463">
        <f>IFERROR(SUM(S8:T8)/SUM(N8:O8)*100-100,0)</f>
        <v>0</v>
      </c>
      <c r="U20" s="463">
        <f>IFERROR(SUM(S8:U8)/SUM(N8:P8)*100-100,0)</f>
        <v>0</v>
      </c>
      <c r="V20" s="463">
        <f>IFERROR(SUM(S8:V8)/SUM(N8:Q8)*100-100,0)</f>
        <v>0</v>
      </c>
      <c r="W20" s="463"/>
      <c r="X20" s="463">
        <f>IFERROR(SUM(X8)/SUM(S8)*100-100,0)</f>
        <v>0</v>
      </c>
      <c r="Y20" s="463">
        <f>IFERROR(SUM(X8:Y8)/SUM(S8:T8)*100-100,0)</f>
        <v>0</v>
      </c>
      <c r="Z20" s="463">
        <f>IFERROR(SUM(X8:Z8)/SUM(S8:U8)*100-100,0)</f>
        <v>0</v>
      </c>
      <c r="AA20" s="463">
        <f>IFERROR(SUM(X8:AA8)/SUM(S8:V8)*100-100,0)</f>
        <v>0</v>
      </c>
      <c r="AB20" s="463"/>
      <c r="AC20" s="463">
        <f>IFERROR(SUM(AC8)/SUM(X8)*100-100,0)</f>
        <v>0</v>
      </c>
      <c r="AD20" s="463">
        <f>IFERROR(SUM(AC8:AD8)/SUM(X8:Y8)*100-100,0)</f>
        <v>0</v>
      </c>
      <c r="AE20" s="463">
        <f>IFERROR(SUM(AC8:AE8)/SUM(X8:Z8)*100-100,0)</f>
        <v>0</v>
      </c>
      <c r="AF20" s="463">
        <f>IFERROR(SUM(AC8:AF8)/SUM(X8:AA8)*100-100,0)</f>
        <v>0</v>
      </c>
      <c r="AG20" s="463"/>
      <c r="AH20" s="463">
        <f>IFERROR(SUM(AH8)/SUM(AC8)*100-100,0)</f>
        <v>0</v>
      </c>
      <c r="AI20" s="463">
        <f>IFERROR(SUM(AH8:AI8)/SUM(AC8:AD8)*100-100,0)</f>
        <v>0</v>
      </c>
      <c r="AJ20" s="463">
        <f>IFERROR(SUM(AH8:AJ8)/SUM(AC8:AE8)*100-100,0)</f>
        <v>0</v>
      </c>
      <c r="AK20" s="463">
        <f>IFERROR(SUM(AH8:AK8)/SUM(AC8:AF8)*100-100,0)</f>
        <v>0</v>
      </c>
      <c r="AL20" s="463"/>
      <c r="AM20" s="463">
        <f>IFERROR(SUM(AM8)/SUM(AH8)*100-100,0)</f>
        <v>0</v>
      </c>
      <c r="AN20" s="463">
        <f>IFERROR(SUM(AM8:AN8)/SUM(AH8:AI8)*100-100,0)</f>
        <v>0</v>
      </c>
      <c r="AO20" s="463">
        <f>IFERROR(SUM(AM8:AO8)/SUM(AH8:AJ8)*100-100,0)</f>
        <v>0</v>
      </c>
      <c r="AP20" s="463">
        <f>IFERROR(SUM(AM8:AP8)/SUM(AH8:AK8)*100-100,0)</f>
        <v>0</v>
      </c>
      <c r="AQ20" s="463"/>
      <c r="AR20" s="463">
        <f>IFERROR(SUM(AR8)/SUM(AM8)*100-100,0)</f>
        <v>0</v>
      </c>
      <c r="AS20" s="463">
        <f>IFERROR(SUM(AR8:AS8)/SUM(AM8:AN8)*100-100,0)</f>
        <v>0</v>
      </c>
      <c r="AT20" s="463">
        <f>IFERROR(SUM(AR8:AT8)/SUM(AM8:AO8)*100-100,0)</f>
        <v>0</v>
      </c>
      <c r="AU20" s="463">
        <f>IFERROR(SUM(AR8:AU8)/SUM(AM8:AP8)*100-100,0)</f>
        <v>0</v>
      </c>
      <c r="AV20" s="463"/>
      <c r="AW20" s="463">
        <f>IFERROR(SUM(AW8)/SUM(AR8)*100-100,0)</f>
        <v>0</v>
      </c>
      <c r="AX20" s="463">
        <f>IFERROR(SUM(AW8:AX8)/SUM(AR8:AS8)*100-100,0)</f>
        <v>0</v>
      </c>
      <c r="AY20" s="463">
        <f>IFERROR(SUM(AW8:AY8)/SUM(AR8:AT8)*100-100,0)</f>
        <v>0</v>
      </c>
      <c r="AZ20" s="463">
        <f>IFERROR(SUM(AW8:AZ8)/SUM(AR8:AU8)*100-100,0)</f>
        <v>0</v>
      </c>
      <c r="BA20" s="463"/>
      <c r="BB20" s="463">
        <f>IFERROR(SUM(BB8)/SUM(AW8)*100-100,0)</f>
        <v>3.754903577</v>
      </c>
      <c r="BC20" s="463">
        <f>IFERROR(SUM(BB8:BC8)/SUM(AW8:AX8)*100-100,0)</f>
        <v>-0.2620915433</v>
      </c>
      <c r="BD20" s="463">
        <f>IFERROR(SUM(BB8:BD8)/SUM(AW8:AY8)*100-100,0)</f>
        <v>-1.546406204</v>
      </c>
      <c r="BE20" s="463">
        <f>IFERROR(SUM(BB8:BE8)/SUM(AW8:AZ8)*100-100,0)</f>
        <v>-2.317430929</v>
      </c>
      <c r="BF20" s="463"/>
      <c r="BG20" s="463">
        <f>IFERROR(SUM(BG8)/SUM(BB8)*100-100,0)</f>
        <v>1.607037238</v>
      </c>
      <c r="BH20" s="463">
        <f>IFERROR(SUM(BG8:BH8)/SUM(BB8:BC8)*100-100,0)</f>
        <v>3.011091355</v>
      </c>
      <c r="BI20" s="463">
        <f>IFERROR(SUM(BG8:BI8)/SUM(BB8:BD8)*100-100,0)</f>
        <v>2.311978336</v>
      </c>
      <c r="BJ20" s="463">
        <f>IFERROR(SUM(BG8:BJ8)/SUM(BB8:BE8)*100-100,0)</f>
        <v>2.369127678</v>
      </c>
      <c r="BK20" s="463"/>
      <c r="BL20" s="463">
        <f>IFERROR(SUM(BL8)/SUM(BG8)*100-100,0)</f>
        <v>5.09128229</v>
      </c>
      <c r="BM20" s="463">
        <f>IFERROR(SUM(BL8:BM8)/SUM(BG8:BH8)*100-100,0)</f>
        <v>4.432935132</v>
      </c>
      <c r="BN20" s="463">
        <f>IFERROR(SUM(BL8:BN8)/SUM(BG8:BI8)*100-100,0)</f>
        <v>4.571986189</v>
      </c>
      <c r="BO20" s="463">
        <f>IFERROR(SUM(BL8:BO8)/SUM(BG8:BJ8)*100-100,0)</f>
        <v>4.565349598</v>
      </c>
      <c r="BP20" s="463"/>
      <c r="BQ20" s="463">
        <f>IFERROR(SUM(BQ8)/SUM(BL8)*100-100,0)</f>
        <v>3.703977363</v>
      </c>
      <c r="BR20" s="463">
        <f>IFERROR(SUM(BQ8:BR8)/SUM(BL8:BM8)*100-100,0)</f>
        <v>3.475552881</v>
      </c>
      <c r="BS20" s="463">
        <f>IFERROR(SUM(BQ8:BS8)/SUM(BL8:BN8)*100-100,0)</f>
        <v>3.765163613</v>
      </c>
      <c r="BT20" s="463">
        <f>IFERROR(SUM(BQ8:BT8)/SUM(BL8:BO8)*100-100,0)</f>
        <v>3.19436931</v>
      </c>
      <c r="BU20" s="463"/>
      <c r="BV20" s="463">
        <f>IFERROR(SUM(BV8)/SUM(BQ8)*100-100,0)</f>
        <v>1.601261818</v>
      </c>
      <c r="BW20" s="463">
        <f>IFERROR(SUM(BV8:BW8)/SUM(BQ8:BR8)*100-100,0)</f>
        <v>4.150887299</v>
      </c>
      <c r="BX20" s="463">
        <f>IFERROR(SUM(BV8:BX8)/SUM(BQ8:BS8)*100-100,0)</f>
        <v>5.143001811</v>
      </c>
      <c r="BY20" s="463">
        <f>IFERROR(SUM(BV8:BY8)/SUM(BQ8:BT8)*100-100,0)</f>
        <v>6.501439457</v>
      </c>
      <c r="BZ20" s="463"/>
      <c r="CA20" s="463">
        <f>IFERROR(SUM(CA8)/SUM(BV8)*100-100,0)</f>
        <v>4.907009807</v>
      </c>
      <c r="CB20" s="463">
        <f>IFERROR(SUM(CA8:CB8)/SUM(BV8:BW8)*100-100,0)</f>
        <v>6.548106911</v>
      </c>
      <c r="CC20" s="463">
        <f>IFERROR(SUM(CA8:CC8)/SUM(BV8:BX8)*100-100,0)</f>
        <v>6.865999118</v>
      </c>
      <c r="CD20" s="463">
        <f>IFERROR(SUM(CA8:CD8)/SUM(BV8:BY8)*100-100,0)</f>
        <v>6.641847546</v>
      </c>
      <c r="CE20" s="463"/>
      <c r="CF20" s="463">
        <f>IFERROR(SUM(CF8)/SUM(CA8)*100-100,0)</f>
        <v>3.880495628</v>
      </c>
      <c r="CG20" s="463">
        <f>IFERROR(SUM(CF8:CG8)/SUM(CA8:CB8)*100-100,0)</f>
        <v>-51.21987779</v>
      </c>
      <c r="CH20" s="463">
        <f>IFERROR(SUM(CF8:CH8)/SUM(CA8:CC8)*100-100,0)</f>
        <v>-67.72740012</v>
      </c>
      <c r="CI20" s="463">
        <f>IFERROR(SUM(CF8:CI8)/SUM(CA8:CD8)*100-100,0)</f>
        <v>-75.97304572</v>
      </c>
      <c r="CJ20" s="463"/>
      <c r="CK20" s="463">
        <f>IFERROR(SUM(CK8)/SUM(CF8)*100-100,0)</f>
        <v>-100</v>
      </c>
      <c r="CL20" s="463">
        <f>IFERROR(SUM(CK8:CL8)/SUM(CF8:CG8)*100-100,0)</f>
        <v>-100</v>
      </c>
      <c r="CM20" s="463">
        <f>IFERROR(SUM(CK8:CM8)/SUM(CF8:CH8)*100-100,0)</f>
        <v>-100</v>
      </c>
      <c r="CN20" s="463">
        <f>IFERROR(SUM(CK8:CN8)/SUM(CF8:CI8)*100-100,0)</f>
        <v>-100</v>
      </c>
      <c r="CO20" s="463"/>
    </row>
    <row r="21" ht="24.75" customHeight="1">
      <c r="A21" s="451"/>
      <c r="B21" s="464" t="s">
        <v>100</v>
      </c>
      <c r="C21" s="465" t="s">
        <v>92</v>
      </c>
      <c r="D21" s="466">
        <f t="shared" ref="D21:CO21" si="89">+D5/D6*100</f>
        <v>98.93207838</v>
      </c>
      <c r="E21" s="467">
        <f t="shared" si="89"/>
        <v>100.3896925</v>
      </c>
      <c r="F21" s="467">
        <f t="shared" si="89"/>
        <v>100.6797966</v>
      </c>
      <c r="G21" s="467">
        <f t="shared" si="89"/>
        <v>99.852129</v>
      </c>
      <c r="H21" s="467">
        <f t="shared" si="89"/>
        <v>100</v>
      </c>
      <c r="I21" s="467">
        <f t="shared" si="89"/>
        <v>102.5590625</v>
      </c>
      <c r="J21" s="467">
        <f t="shared" si="89"/>
        <v>101.9930228</v>
      </c>
      <c r="K21" s="467">
        <f t="shared" si="89"/>
        <v>102.5989887</v>
      </c>
      <c r="L21" s="467">
        <f t="shared" si="89"/>
        <v>103.0392243</v>
      </c>
      <c r="M21" s="467">
        <f t="shared" si="89"/>
        <v>102.5600035</v>
      </c>
      <c r="N21" s="467">
        <f t="shared" si="89"/>
        <v>105.0635298</v>
      </c>
      <c r="O21" s="467">
        <f t="shared" si="89"/>
        <v>106.0752163</v>
      </c>
      <c r="P21" s="467">
        <f t="shared" si="89"/>
        <v>108.8912991</v>
      </c>
      <c r="Q21" s="467">
        <f t="shared" si="89"/>
        <v>104.2912397</v>
      </c>
      <c r="R21" s="467">
        <f t="shared" si="89"/>
        <v>106.0899973</v>
      </c>
      <c r="S21" s="467">
        <f t="shared" si="89"/>
        <v>108.1520669</v>
      </c>
      <c r="T21" s="467">
        <f t="shared" si="89"/>
        <v>109.3179866</v>
      </c>
      <c r="U21" s="467">
        <f t="shared" si="89"/>
        <v>109.8337221</v>
      </c>
      <c r="V21" s="467">
        <f t="shared" si="89"/>
        <v>109.8760642</v>
      </c>
      <c r="W21" s="467">
        <f t="shared" si="89"/>
        <v>109.3199972</v>
      </c>
      <c r="X21" s="467">
        <f t="shared" si="89"/>
        <v>115.381531</v>
      </c>
      <c r="Y21" s="467">
        <f t="shared" si="89"/>
        <v>110.9722402</v>
      </c>
      <c r="Z21" s="467">
        <f t="shared" si="89"/>
        <v>111.3324238</v>
      </c>
      <c r="AA21" s="467">
        <f t="shared" si="89"/>
        <v>106.4399991</v>
      </c>
      <c r="AB21" s="467">
        <f t="shared" si="89"/>
        <v>111.087221</v>
      </c>
      <c r="AC21" s="467">
        <f t="shared" si="89"/>
        <v>108.62</v>
      </c>
      <c r="AD21" s="467">
        <f t="shared" si="89"/>
        <v>108.29</v>
      </c>
      <c r="AE21" s="467">
        <f t="shared" si="89"/>
        <v>110.79</v>
      </c>
      <c r="AF21" s="467">
        <f t="shared" si="89"/>
        <v>111.37</v>
      </c>
      <c r="AG21" s="467">
        <f t="shared" si="89"/>
        <v>109.8037914</v>
      </c>
      <c r="AH21" s="467">
        <f t="shared" si="89"/>
        <v>112.3936182</v>
      </c>
      <c r="AI21" s="467">
        <f t="shared" si="89"/>
        <v>113.5065876</v>
      </c>
      <c r="AJ21" s="467">
        <f t="shared" si="89"/>
        <v>114.3649632</v>
      </c>
      <c r="AK21" s="467">
        <f t="shared" si="89"/>
        <v>115.0325573</v>
      </c>
      <c r="AL21" s="467">
        <f t="shared" si="89"/>
        <v>113.8415587</v>
      </c>
      <c r="AM21" s="467">
        <f t="shared" si="89"/>
        <v>117.1010241</v>
      </c>
      <c r="AN21" s="467">
        <f t="shared" si="89"/>
        <v>117.1953431</v>
      </c>
      <c r="AO21" s="467">
        <f t="shared" si="89"/>
        <v>117.675844</v>
      </c>
      <c r="AP21" s="467">
        <f t="shared" si="89"/>
        <v>118.158315</v>
      </c>
      <c r="AQ21" s="467">
        <f t="shared" si="89"/>
        <v>117.5302366</v>
      </c>
      <c r="AR21" s="467">
        <f t="shared" si="89"/>
        <v>120.323768</v>
      </c>
      <c r="AS21" s="467">
        <f t="shared" si="89"/>
        <v>120.7611111</v>
      </c>
      <c r="AT21" s="467">
        <f t="shared" si="89"/>
        <v>121.9819814</v>
      </c>
      <c r="AU21" s="467">
        <f t="shared" si="89"/>
        <v>126.329929</v>
      </c>
      <c r="AV21" s="467">
        <f t="shared" si="89"/>
        <v>122.3578672</v>
      </c>
      <c r="AW21" s="467">
        <f t="shared" si="89"/>
        <v>126.8282113</v>
      </c>
      <c r="AX21" s="467">
        <f t="shared" si="89"/>
        <v>127.3284589</v>
      </c>
      <c r="AY21" s="467">
        <f t="shared" si="89"/>
        <v>127.5499676</v>
      </c>
      <c r="AZ21" s="467">
        <f t="shared" si="89"/>
        <v>129.3655009</v>
      </c>
      <c r="BA21" s="467">
        <f t="shared" si="89"/>
        <v>127.7965528</v>
      </c>
      <c r="BB21" s="467">
        <f t="shared" si="89"/>
        <v>131.3606955</v>
      </c>
      <c r="BC21" s="467">
        <f t="shared" si="89"/>
        <v>129.4337237</v>
      </c>
      <c r="BD21" s="467">
        <f t="shared" si="89"/>
        <v>129.8827773</v>
      </c>
      <c r="BE21" s="467">
        <f t="shared" si="89"/>
        <v>132.547996</v>
      </c>
      <c r="BF21" s="467">
        <f t="shared" si="89"/>
        <v>130.8201929</v>
      </c>
      <c r="BG21" s="467">
        <f t="shared" si="89"/>
        <v>132.7094643</v>
      </c>
      <c r="BH21" s="467">
        <f t="shared" si="89"/>
        <v>132.96827</v>
      </c>
      <c r="BI21" s="467">
        <f t="shared" si="89"/>
        <v>132.9200513</v>
      </c>
      <c r="BJ21" s="467">
        <f t="shared" si="89"/>
        <v>133.6473874</v>
      </c>
      <c r="BK21" s="467">
        <f t="shared" si="89"/>
        <v>133.0723558</v>
      </c>
      <c r="BL21" s="467">
        <f t="shared" si="89"/>
        <v>136.8966295</v>
      </c>
      <c r="BM21" s="467">
        <f t="shared" si="89"/>
        <v>136.7989784</v>
      </c>
      <c r="BN21" s="467">
        <f t="shared" si="89"/>
        <v>137.3830868</v>
      </c>
      <c r="BO21" s="467">
        <f t="shared" si="89"/>
        <v>138.7994845</v>
      </c>
      <c r="BP21" s="467">
        <f t="shared" si="89"/>
        <v>137.4756979</v>
      </c>
      <c r="BQ21" s="467">
        <f t="shared" si="89"/>
        <v>140.5360484</v>
      </c>
      <c r="BR21" s="467">
        <f t="shared" si="89"/>
        <v>140.8525728</v>
      </c>
      <c r="BS21" s="467">
        <f t="shared" si="89"/>
        <v>142.6192723</v>
      </c>
      <c r="BT21" s="467">
        <f t="shared" si="89"/>
        <v>148.1222471</v>
      </c>
      <c r="BU21" s="467">
        <f t="shared" si="89"/>
        <v>143.0306301</v>
      </c>
      <c r="BV21" s="467">
        <f t="shared" si="89"/>
        <v>152.5531279</v>
      </c>
      <c r="BW21" s="467">
        <f t="shared" si="89"/>
        <v>157.3384179</v>
      </c>
      <c r="BX21" s="467">
        <f t="shared" si="89"/>
        <v>158.4759315</v>
      </c>
      <c r="BY21" s="467">
        <f t="shared" si="89"/>
        <v>160.8560748</v>
      </c>
      <c r="BZ21" s="467">
        <f t="shared" si="89"/>
        <v>157.379215</v>
      </c>
      <c r="CA21" s="467">
        <f t="shared" si="89"/>
        <v>165.7082755</v>
      </c>
      <c r="CB21" s="467">
        <f t="shared" si="89"/>
        <v>168.7369546</v>
      </c>
      <c r="CC21" s="467">
        <f t="shared" si="89"/>
        <v>169.96814</v>
      </c>
      <c r="CD21" s="467">
        <f t="shared" si="89"/>
        <v>169.5039331</v>
      </c>
      <c r="CE21" s="467">
        <f t="shared" si="89"/>
        <v>168.5415477</v>
      </c>
      <c r="CF21" s="467">
        <f t="shared" si="89"/>
        <v>171.3159306</v>
      </c>
      <c r="CG21" s="467" t="str">
        <f t="shared" si="89"/>
        <v>#DIV/0!</v>
      </c>
      <c r="CH21" s="467" t="str">
        <f t="shared" si="89"/>
        <v>#DIV/0!</v>
      </c>
      <c r="CI21" s="467" t="str">
        <f t="shared" si="89"/>
        <v>#DIV/0!</v>
      </c>
      <c r="CJ21" s="467">
        <f t="shared" si="89"/>
        <v>171.3159306</v>
      </c>
      <c r="CK21" s="467" t="str">
        <f t="shared" si="89"/>
        <v>#DIV/0!</v>
      </c>
      <c r="CL21" s="467" t="str">
        <f t="shared" si="89"/>
        <v>#DIV/0!</v>
      </c>
      <c r="CM21" s="467" t="str">
        <f t="shared" si="89"/>
        <v>#DIV/0!</v>
      </c>
      <c r="CN21" s="467" t="str">
        <f t="shared" si="89"/>
        <v>#DIV/0!</v>
      </c>
      <c r="CO21" s="467" t="str">
        <f t="shared" si="89"/>
        <v>#DIV/0!</v>
      </c>
      <c r="CP21" s="423"/>
      <c r="CQ21" s="423"/>
      <c r="CR21" s="423"/>
      <c r="CS21" s="423"/>
      <c r="CT21" s="423"/>
      <c r="CU21" s="423"/>
      <c r="CV21" s="423"/>
      <c r="CW21" s="423"/>
      <c r="CX21" s="423"/>
      <c r="CY21" s="423"/>
    </row>
    <row r="22" ht="24.75" customHeight="1">
      <c r="A22" s="427"/>
      <c r="B22" s="424"/>
      <c r="C22" s="468" t="s">
        <v>93</v>
      </c>
      <c r="D22" s="469" t="str">
        <f t="shared" ref="D22:CO22" si="90">+D7/D8*100</f>
        <v>#DIV/0!</v>
      </c>
      <c r="E22" s="470" t="str">
        <f t="shared" si="90"/>
        <v>#DIV/0!</v>
      </c>
      <c r="F22" s="470" t="str">
        <f t="shared" si="90"/>
        <v>#DIV/0!</v>
      </c>
      <c r="G22" s="470" t="str">
        <f t="shared" si="90"/>
        <v>#DIV/0!</v>
      </c>
      <c r="H22" s="470" t="str">
        <f t="shared" si="90"/>
        <v>#DIV/0!</v>
      </c>
      <c r="I22" s="470" t="str">
        <f t="shared" si="90"/>
        <v>#DIV/0!</v>
      </c>
      <c r="J22" s="470" t="str">
        <f t="shared" si="90"/>
        <v>#DIV/0!</v>
      </c>
      <c r="K22" s="470" t="str">
        <f t="shared" si="90"/>
        <v>#DIV/0!</v>
      </c>
      <c r="L22" s="470" t="str">
        <f t="shared" si="90"/>
        <v>#DIV/0!</v>
      </c>
      <c r="M22" s="470" t="str">
        <f t="shared" si="90"/>
        <v>#DIV/0!</v>
      </c>
      <c r="N22" s="470" t="str">
        <f t="shared" si="90"/>
        <v>#DIV/0!</v>
      </c>
      <c r="O22" s="470" t="str">
        <f t="shared" si="90"/>
        <v>#DIV/0!</v>
      </c>
      <c r="P22" s="470" t="str">
        <f t="shared" si="90"/>
        <v>#DIV/0!</v>
      </c>
      <c r="Q22" s="470" t="str">
        <f t="shared" si="90"/>
        <v>#DIV/0!</v>
      </c>
      <c r="R22" s="470" t="str">
        <f t="shared" si="90"/>
        <v>#DIV/0!</v>
      </c>
      <c r="S22" s="470" t="str">
        <f t="shared" si="90"/>
        <v>#DIV/0!</v>
      </c>
      <c r="T22" s="470" t="str">
        <f t="shared" si="90"/>
        <v>#DIV/0!</v>
      </c>
      <c r="U22" s="470" t="str">
        <f t="shared" si="90"/>
        <v>#DIV/0!</v>
      </c>
      <c r="V22" s="470" t="str">
        <f t="shared" si="90"/>
        <v>#DIV/0!</v>
      </c>
      <c r="W22" s="470" t="str">
        <f t="shared" si="90"/>
        <v>#DIV/0!</v>
      </c>
      <c r="X22" s="470" t="str">
        <f t="shared" si="90"/>
        <v>#DIV/0!</v>
      </c>
      <c r="Y22" s="470" t="str">
        <f t="shared" si="90"/>
        <v>#DIV/0!</v>
      </c>
      <c r="Z22" s="470" t="str">
        <f t="shared" si="90"/>
        <v>#DIV/0!</v>
      </c>
      <c r="AA22" s="470" t="str">
        <f t="shared" si="90"/>
        <v>#DIV/0!</v>
      </c>
      <c r="AB22" s="470" t="str">
        <f t="shared" si="90"/>
        <v>#DIV/0!</v>
      </c>
      <c r="AC22" s="470" t="str">
        <f t="shared" si="90"/>
        <v>#DIV/0!</v>
      </c>
      <c r="AD22" s="470" t="str">
        <f t="shared" si="90"/>
        <v>#DIV/0!</v>
      </c>
      <c r="AE22" s="470" t="str">
        <f t="shared" si="90"/>
        <v>#DIV/0!</v>
      </c>
      <c r="AF22" s="470" t="str">
        <f t="shared" si="90"/>
        <v>#DIV/0!</v>
      </c>
      <c r="AG22" s="470" t="str">
        <f t="shared" si="90"/>
        <v>#DIV/0!</v>
      </c>
      <c r="AH22" s="470" t="str">
        <f t="shared" si="90"/>
        <v>#DIV/0!</v>
      </c>
      <c r="AI22" s="470" t="str">
        <f t="shared" si="90"/>
        <v>#DIV/0!</v>
      </c>
      <c r="AJ22" s="470" t="str">
        <f t="shared" si="90"/>
        <v>#DIV/0!</v>
      </c>
      <c r="AK22" s="470" t="str">
        <f t="shared" si="90"/>
        <v>#DIV/0!</v>
      </c>
      <c r="AL22" s="470" t="str">
        <f t="shared" si="90"/>
        <v>#DIV/0!</v>
      </c>
      <c r="AM22" s="470" t="str">
        <f t="shared" si="90"/>
        <v>#DIV/0!</v>
      </c>
      <c r="AN22" s="470" t="str">
        <f t="shared" si="90"/>
        <v>#DIV/0!</v>
      </c>
      <c r="AO22" s="470" t="str">
        <f t="shared" si="90"/>
        <v>#DIV/0!</v>
      </c>
      <c r="AP22" s="470" t="str">
        <f t="shared" si="90"/>
        <v>#DIV/0!</v>
      </c>
      <c r="AQ22" s="470" t="str">
        <f t="shared" si="90"/>
        <v>#DIV/0!</v>
      </c>
      <c r="AR22" s="470" t="str">
        <f t="shared" si="90"/>
        <v>#DIV/0!</v>
      </c>
      <c r="AS22" s="470" t="str">
        <f t="shared" si="90"/>
        <v>#DIV/0!</v>
      </c>
      <c r="AT22" s="470" t="str">
        <f t="shared" si="90"/>
        <v>#DIV/0!</v>
      </c>
      <c r="AU22" s="470" t="str">
        <f t="shared" si="90"/>
        <v>#DIV/0!</v>
      </c>
      <c r="AV22" s="470" t="str">
        <f t="shared" si="90"/>
        <v>#DIV/0!</v>
      </c>
      <c r="AW22" s="470">
        <f t="shared" si="90"/>
        <v>130.8333953</v>
      </c>
      <c r="AX22" s="470">
        <f t="shared" si="90"/>
        <v>132.4131018</v>
      </c>
      <c r="AY22" s="470">
        <f t="shared" si="90"/>
        <v>131.7963302</v>
      </c>
      <c r="AZ22" s="470">
        <f t="shared" si="90"/>
        <v>135.0812857</v>
      </c>
      <c r="BA22" s="470">
        <f t="shared" si="90"/>
        <v>132.5774158</v>
      </c>
      <c r="BB22" s="470">
        <f t="shared" si="90"/>
        <v>137.2151167</v>
      </c>
      <c r="BC22" s="470">
        <f t="shared" si="90"/>
        <v>137.0253014</v>
      </c>
      <c r="BD22" s="470">
        <f t="shared" si="90"/>
        <v>137.4320445</v>
      </c>
      <c r="BE22" s="470">
        <f t="shared" si="90"/>
        <v>138.6943659</v>
      </c>
      <c r="BF22" s="470">
        <f t="shared" si="90"/>
        <v>137.5923743</v>
      </c>
      <c r="BG22" s="470">
        <f t="shared" si="90"/>
        <v>137.7074581</v>
      </c>
      <c r="BH22" s="470">
        <f t="shared" si="90"/>
        <v>139.833736</v>
      </c>
      <c r="BI22" s="470">
        <f t="shared" si="90"/>
        <v>141.8286953</v>
      </c>
      <c r="BJ22" s="470">
        <f t="shared" si="90"/>
        <v>142.2413172</v>
      </c>
      <c r="BK22" s="470">
        <f t="shared" si="90"/>
        <v>140.4094474</v>
      </c>
      <c r="BL22" s="470">
        <f t="shared" si="90"/>
        <v>146.3419518</v>
      </c>
      <c r="BM22" s="470">
        <f t="shared" si="90"/>
        <v>145.8449533</v>
      </c>
      <c r="BN22" s="470">
        <f t="shared" si="90"/>
        <v>143.9424672</v>
      </c>
      <c r="BO22" s="470">
        <f t="shared" si="90"/>
        <v>145.7725411</v>
      </c>
      <c r="BP22" s="470">
        <f t="shared" si="90"/>
        <v>145.4812728</v>
      </c>
      <c r="BQ22" s="470">
        <f t="shared" si="90"/>
        <v>148.9758221</v>
      </c>
      <c r="BR22" s="470">
        <f t="shared" si="90"/>
        <v>153.1008462</v>
      </c>
      <c r="BS22" s="470">
        <f t="shared" si="90"/>
        <v>156.9936115</v>
      </c>
      <c r="BT22" s="470">
        <f t="shared" si="90"/>
        <v>163.6957943</v>
      </c>
      <c r="BU22" s="470">
        <f t="shared" si="90"/>
        <v>155.6730997</v>
      </c>
      <c r="BV22" s="470">
        <f t="shared" si="90"/>
        <v>169.4402606</v>
      </c>
      <c r="BW22" s="470">
        <f t="shared" si="90"/>
        <v>175.085582</v>
      </c>
      <c r="BX22" s="470">
        <f t="shared" si="90"/>
        <v>176.0150575</v>
      </c>
      <c r="BY22" s="470">
        <f t="shared" si="90"/>
        <v>176.534622</v>
      </c>
      <c r="BZ22" s="470">
        <f t="shared" si="90"/>
        <v>174.363073</v>
      </c>
      <c r="CA22" s="470">
        <f t="shared" si="90"/>
        <v>184.4759066</v>
      </c>
      <c r="CB22" s="470">
        <f t="shared" si="90"/>
        <v>185.4432117</v>
      </c>
      <c r="CC22" s="470">
        <f t="shared" si="90"/>
        <v>188.4608402</v>
      </c>
      <c r="CD22" s="470">
        <f t="shared" si="90"/>
        <v>187.8982188</v>
      </c>
      <c r="CE22" s="470">
        <f t="shared" si="90"/>
        <v>186.6070067</v>
      </c>
      <c r="CF22" s="470">
        <f t="shared" si="90"/>
        <v>188.7591378</v>
      </c>
      <c r="CG22" s="470" t="str">
        <f t="shared" si="90"/>
        <v>#DIV/0!</v>
      </c>
      <c r="CH22" s="470" t="str">
        <f t="shared" si="90"/>
        <v>#DIV/0!</v>
      </c>
      <c r="CI22" s="470" t="str">
        <f t="shared" si="90"/>
        <v>#DIV/0!</v>
      </c>
      <c r="CJ22" s="470">
        <f t="shared" si="90"/>
        <v>188.7591378</v>
      </c>
      <c r="CK22" s="470" t="str">
        <f t="shared" si="90"/>
        <v>#DIV/0!</v>
      </c>
      <c r="CL22" s="470" t="str">
        <f t="shared" si="90"/>
        <v>#DIV/0!</v>
      </c>
      <c r="CM22" s="470" t="str">
        <f t="shared" si="90"/>
        <v>#DIV/0!</v>
      </c>
      <c r="CN22" s="470" t="str">
        <f t="shared" si="90"/>
        <v>#DIV/0!</v>
      </c>
      <c r="CO22" s="470" t="str">
        <f t="shared" si="90"/>
        <v>#DIV/0!</v>
      </c>
    </row>
    <row r="23" ht="24.75" customHeight="1">
      <c r="A23" s="451"/>
      <c r="B23" s="457" t="s">
        <v>101</v>
      </c>
      <c r="C23" s="458" t="s">
        <v>92</v>
      </c>
      <c r="D23" s="459">
        <f t="shared" ref="D23:H23" si="91">+IFERROR(D21/#REF!*100-100,0)</f>
        <v>0</v>
      </c>
      <c r="E23" s="460">
        <f t="shared" si="91"/>
        <v>0</v>
      </c>
      <c r="F23" s="460">
        <f t="shared" si="91"/>
        <v>0</v>
      </c>
      <c r="G23" s="460">
        <f t="shared" si="91"/>
        <v>0</v>
      </c>
      <c r="H23" s="460">
        <f t="shared" si="91"/>
        <v>0</v>
      </c>
      <c r="I23" s="460">
        <f t="shared" ref="I23:CO23" si="92">+IFERROR(I21/D21*100-100,0)</f>
        <v>3.666135585</v>
      </c>
      <c r="J23" s="460">
        <f t="shared" si="92"/>
        <v>1.59710648</v>
      </c>
      <c r="K23" s="460">
        <f t="shared" si="92"/>
        <v>1.906233514</v>
      </c>
      <c r="L23" s="460">
        <f t="shared" si="92"/>
        <v>3.191815106</v>
      </c>
      <c r="M23" s="460">
        <f t="shared" si="92"/>
        <v>2.560003429</v>
      </c>
      <c r="N23" s="460">
        <f t="shared" si="92"/>
        <v>2.441975582</v>
      </c>
      <c r="O23" s="460">
        <f t="shared" si="92"/>
        <v>4.002424279</v>
      </c>
      <c r="P23" s="460">
        <f t="shared" si="92"/>
        <v>6.132916575</v>
      </c>
      <c r="Q23" s="460">
        <f t="shared" si="92"/>
        <v>1.215086129</v>
      </c>
      <c r="R23" s="460">
        <f t="shared" si="92"/>
        <v>3.441881573</v>
      </c>
      <c r="S23" s="460">
        <f t="shared" si="92"/>
        <v>2.939685265</v>
      </c>
      <c r="T23" s="460">
        <f t="shared" si="92"/>
        <v>3.057048089</v>
      </c>
      <c r="U23" s="460">
        <f t="shared" si="92"/>
        <v>0.8654714323</v>
      </c>
      <c r="V23" s="460">
        <f t="shared" si="92"/>
        <v>5.355027514</v>
      </c>
      <c r="W23" s="460">
        <f t="shared" si="92"/>
        <v>3.044584717</v>
      </c>
      <c r="X23" s="460">
        <f t="shared" si="92"/>
        <v>6.684536264</v>
      </c>
      <c r="Y23" s="460">
        <f t="shared" si="92"/>
        <v>1.513249169</v>
      </c>
      <c r="Z23" s="460">
        <f t="shared" si="92"/>
        <v>1.364518656</v>
      </c>
      <c r="AA23" s="460">
        <f t="shared" si="92"/>
        <v>-3.127218975</v>
      </c>
      <c r="AB23" s="460">
        <f t="shared" si="92"/>
        <v>1.616560441</v>
      </c>
      <c r="AC23" s="460">
        <f t="shared" si="92"/>
        <v>-5.860150185</v>
      </c>
      <c r="AD23" s="460">
        <f t="shared" si="92"/>
        <v>-2.417037049</v>
      </c>
      <c r="AE23" s="460">
        <f t="shared" si="92"/>
        <v>-0.4872109553</v>
      </c>
      <c r="AF23" s="460">
        <f t="shared" si="92"/>
        <v>4.631718276</v>
      </c>
      <c r="AG23" s="460">
        <f t="shared" si="92"/>
        <v>-1.155335073</v>
      </c>
      <c r="AH23" s="460">
        <f t="shared" si="92"/>
        <v>3.474146724</v>
      </c>
      <c r="AI23" s="460">
        <f t="shared" si="92"/>
        <v>4.817238538</v>
      </c>
      <c r="AJ23" s="460">
        <f t="shared" si="92"/>
        <v>3.226792285</v>
      </c>
      <c r="AK23" s="460">
        <f t="shared" si="92"/>
        <v>3.28863905</v>
      </c>
      <c r="AL23" s="460">
        <f t="shared" si="92"/>
        <v>3.677256786</v>
      </c>
      <c r="AM23" s="460">
        <f t="shared" si="92"/>
        <v>4.188321383</v>
      </c>
      <c r="AN23" s="460">
        <f t="shared" si="92"/>
        <v>3.249816229</v>
      </c>
      <c r="AO23" s="460">
        <f t="shared" si="92"/>
        <v>2.895013263</v>
      </c>
      <c r="AP23" s="460">
        <f t="shared" si="92"/>
        <v>2.717280871</v>
      </c>
      <c r="AQ23" s="460">
        <f t="shared" si="92"/>
        <v>3.240185677</v>
      </c>
      <c r="AR23" s="460">
        <f t="shared" si="92"/>
        <v>2.752105639</v>
      </c>
      <c r="AS23" s="460">
        <f t="shared" si="92"/>
        <v>3.042585033</v>
      </c>
      <c r="AT23" s="460">
        <f t="shared" si="92"/>
        <v>3.65932146</v>
      </c>
      <c r="AU23" s="460">
        <f t="shared" si="92"/>
        <v>6.915818008</v>
      </c>
      <c r="AV23" s="460">
        <f t="shared" si="92"/>
        <v>4.107564762</v>
      </c>
      <c r="AW23" s="460">
        <f t="shared" si="92"/>
        <v>5.405784225</v>
      </c>
      <c r="AX23" s="460">
        <f t="shared" si="92"/>
        <v>5.438296948</v>
      </c>
      <c r="AY23" s="460">
        <f t="shared" si="92"/>
        <v>4.564597247</v>
      </c>
      <c r="AZ23" s="460">
        <f t="shared" si="92"/>
        <v>2.402892142</v>
      </c>
      <c r="BA23" s="460">
        <f t="shared" si="92"/>
        <v>4.444900642</v>
      </c>
      <c r="BB23" s="460">
        <f t="shared" si="92"/>
        <v>3.573719269</v>
      </c>
      <c r="BC23" s="460">
        <f t="shared" si="92"/>
        <v>1.653412571</v>
      </c>
      <c r="BD23" s="460">
        <f t="shared" si="92"/>
        <v>1.828937904</v>
      </c>
      <c r="BE23" s="460">
        <f t="shared" si="92"/>
        <v>2.460080169</v>
      </c>
      <c r="BF23" s="460">
        <f t="shared" si="92"/>
        <v>2.36597935</v>
      </c>
      <c r="BG23" s="460">
        <f t="shared" si="92"/>
        <v>1.02676737</v>
      </c>
      <c r="BH23" s="460">
        <f t="shared" si="92"/>
        <v>2.730777004</v>
      </c>
      <c r="BI23" s="460">
        <f t="shared" si="92"/>
        <v>2.338473206</v>
      </c>
      <c r="BJ23" s="460">
        <f t="shared" si="92"/>
        <v>0.8294288948</v>
      </c>
      <c r="BK23" s="460">
        <f t="shared" si="92"/>
        <v>1.721571305</v>
      </c>
      <c r="BL23" s="460">
        <f t="shared" si="92"/>
        <v>3.155136854</v>
      </c>
      <c r="BM23" s="460">
        <f t="shared" si="92"/>
        <v>2.880919187</v>
      </c>
      <c r="BN23" s="460">
        <f t="shared" si="92"/>
        <v>3.357684226</v>
      </c>
      <c r="BO23" s="460">
        <f t="shared" si="92"/>
        <v>3.854992794</v>
      </c>
      <c r="BP23" s="460">
        <f t="shared" si="92"/>
        <v>3.308983368</v>
      </c>
      <c r="BQ23" s="460">
        <f t="shared" si="92"/>
        <v>2.658516071</v>
      </c>
      <c r="BR23" s="460">
        <f t="shared" si="92"/>
        <v>2.963175937</v>
      </c>
      <c r="BS23" s="460">
        <f t="shared" si="92"/>
        <v>3.81137561</v>
      </c>
      <c r="BT23" s="460">
        <f t="shared" si="92"/>
        <v>6.716712687</v>
      </c>
      <c r="BU23" s="460">
        <f t="shared" si="92"/>
        <v>4.040664855</v>
      </c>
      <c r="BV23" s="460">
        <f t="shared" si="92"/>
        <v>8.55088763</v>
      </c>
      <c r="BW23" s="460">
        <f t="shared" si="92"/>
        <v>11.70432652</v>
      </c>
      <c r="BX23" s="460">
        <f t="shared" si="92"/>
        <v>11.11817424</v>
      </c>
      <c r="BY23" s="460">
        <f t="shared" si="92"/>
        <v>8.596836707</v>
      </c>
      <c r="BZ23" s="460">
        <f t="shared" si="92"/>
        <v>10.03182669</v>
      </c>
      <c r="CA23" s="460">
        <f t="shared" si="92"/>
        <v>8.623322105</v>
      </c>
      <c r="CB23" s="460">
        <f t="shared" si="92"/>
        <v>7.244598526</v>
      </c>
      <c r="CC23" s="460">
        <f t="shared" si="92"/>
        <v>7.251705919</v>
      </c>
      <c r="CD23" s="460">
        <f t="shared" si="92"/>
        <v>5.376146508</v>
      </c>
      <c r="CE23" s="460">
        <f t="shared" si="92"/>
        <v>7.092634633</v>
      </c>
      <c r="CF23" s="460">
        <f t="shared" si="92"/>
        <v>3.384052509</v>
      </c>
      <c r="CG23" s="460">
        <f t="shared" si="92"/>
        <v>0</v>
      </c>
      <c r="CH23" s="460">
        <f t="shared" si="92"/>
        <v>0</v>
      </c>
      <c r="CI23" s="460">
        <f t="shared" si="92"/>
        <v>0</v>
      </c>
      <c r="CJ23" s="460">
        <f t="shared" si="92"/>
        <v>1.646112128</v>
      </c>
      <c r="CK23" s="460">
        <f t="shared" si="92"/>
        <v>0</v>
      </c>
      <c r="CL23" s="460">
        <f t="shared" si="92"/>
        <v>0</v>
      </c>
      <c r="CM23" s="460">
        <f t="shared" si="92"/>
        <v>0</v>
      </c>
      <c r="CN23" s="460">
        <f t="shared" si="92"/>
        <v>0</v>
      </c>
      <c r="CO23" s="460">
        <f t="shared" si="92"/>
        <v>0</v>
      </c>
      <c r="CP23" s="423"/>
      <c r="CQ23" s="423"/>
      <c r="CR23" s="423"/>
      <c r="CS23" s="423"/>
      <c r="CT23" s="423"/>
      <c r="CU23" s="423"/>
      <c r="CV23" s="423"/>
      <c r="CW23" s="423"/>
      <c r="CX23" s="423"/>
      <c r="CY23" s="423"/>
    </row>
    <row r="24" ht="24.75" customHeight="1">
      <c r="A24" s="427"/>
      <c r="B24" s="424"/>
      <c r="C24" s="461" t="s">
        <v>93</v>
      </c>
      <c r="D24" s="462">
        <f t="shared" ref="D24:H24" si="93">+IFERROR(D22/#REF!*100-100,0)</f>
        <v>0</v>
      </c>
      <c r="E24" s="463">
        <f t="shared" si="93"/>
        <v>0</v>
      </c>
      <c r="F24" s="463">
        <f t="shared" si="93"/>
        <v>0</v>
      </c>
      <c r="G24" s="463">
        <f t="shared" si="93"/>
        <v>0</v>
      </c>
      <c r="H24" s="463">
        <f t="shared" si="93"/>
        <v>0</v>
      </c>
      <c r="I24" s="463">
        <f t="shared" ref="I24:CO24" si="94">+IFERROR(I22/D22*100-100,0)</f>
        <v>0</v>
      </c>
      <c r="J24" s="463">
        <f t="shared" si="94"/>
        <v>0</v>
      </c>
      <c r="K24" s="463">
        <f t="shared" si="94"/>
        <v>0</v>
      </c>
      <c r="L24" s="463">
        <f t="shared" si="94"/>
        <v>0</v>
      </c>
      <c r="M24" s="463">
        <f t="shared" si="94"/>
        <v>0</v>
      </c>
      <c r="N24" s="463">
        <f t="shared" si="94"/>
        <v>0</v>
      </c>
      <c r="O24" s="463">
        <f t="shared" si="94"/>
        <v>0</v>
      </c>
      <c r="P24" s="463">
        <f t="shared" si="94"/>
        <v>0</v>
      </c>
      <c r="Q24" s="463">
        <f t="shared" si="94"/>
        <v>0</v>
      </c>
      <c r="R24" s="463">
        <f t="shared" si="94"/>
        <v>0</v>
      </c>
      <c r="S24" s="463">
        <f t="shared" si="94"/>
        <v>0</v>
      </c>
      <c r="T24" s="463">
        <f t="shared" si="94"/>
        <v>0</v>
      </c>
      <c r="U24" s="463">
        <f t="shared" si="94"/>
        <v>0</v>
      </c>
      <c r="V24" s="463">
        <f t="shared" si="94"/>
        <v>0</v>
      </c>
      <c r="W24" s="463">
        <f t="shared" si="94"/>
        <v>0</v>
      </c>
      <c r="X24" s="463">
        <f t="shared" si="94"/>
        <v>0</v>
      </c>
      <c r="Y24" s="463">
        <f t="shared" si="94"/>
        <v>0</v>
      </c>
      <c r="Z24" s="463">
        <f t="shared" si="94"/>
        <v>0</v>
      </c>
      <c r="AA24" s="463">
        <f t="shared" si="94"/>
        <v>0</v>
      </c>
      <c r="AB24" s="463">
        <f t="shared" si="94"/>
        <v>0</v>
      </c>
      <c r="AC24" s="463">
        <f t="shared" si="94"/>
        <v>0</v>
      </c>
      <c r="AD24" s="463">
        <f t="shared" si="94"/>
        <v>0</v>
      </c>
      <c r="AE24" s="463">
        <f t="shared" si="94"/>
        <v>0</v>
      </c>
      <c r="AF24" s="463">
        <f t="shared" si="94"/>
        <v>0</v>
      </c>
      <c r="AG24" s="463">
        <f t="shared" si="94"/>
        <v>0</v>
      </c>
      <c r="AH24" s="463">
        <f t="shared" si="94"/>
        <v>0</v>
      </c>
      <c r="AI24" s="463">
        <f t="shared" si="94"/>
        <v>0</v>
      </c>
      <c r="AJ24" s="463">
        <f t="shared" si="94"/>
        <v>0</v>
      </c>
      <c r="AK24" s="463">
        <f t="shared" si="94"/>
        <v>0</v>
      </c>
      <c r="AL24" s="463">
        <f t="shared" si="94"/>
        <v>0</v>
      </c>
      <c r="AM24" s="463">
        <f t="shared" si="94"/>
        <v>0</v>
      </c>
      <c r="AN24" s="463">
        <f t="shared" si="94"/>
        <v>0</v>
      </c>
      <c r="AO24" s="463">
        <f t="shared" si="94"/>
        <v>0</v>
      </c>
      <c r="AP24" s="463">
        <f t="shared" si="94"/>
        <v>0</v>
      </c>
      <c r="AQ24" s="463">
        <f t="shared" si="94"/>
        <v>0</v>
      </c>
      <c r="AR24" s="463">
        <f t="shared" si="94"/>
        <v>0</v>
      </c>
      <c r="AS24" s="463">
        <f t="shared" si="94"/>
        <v>0</v>
      </c>
      <c r="AT24" s="463">
        <f t="shared" si="94"/>
        <v>0</v>
      </c>
      <c r="AU24" s="463">
        <f t="shared" si="94"/>
        <v>0</v>
      </c>
      <c r="AV24" s="463">
        <f t="shared" si="94"/>
        <v>0</v>
      </c>
      <c r="AW24" s="463">
        <f t="shared" si="94"/>
        <v>0</v>
      </c>
      <c r="AX24" s="463">
        <f t="shared" si="94"/>
        <v>0</v>
      </c>
      <c r="AY24" s="463">
        <f t="shared" si="94"/>
        <v>0</v>
      </c>
      <c r="AZ24" s="463">
        <f t="shared" si="94"/>
        <v>0</v>
      </c>
      <c r="BA24" s="463">
        <f t="shared" si="94"/>
        <v>0</v>
      </c>
      <c r="BB24" s="463">
        <f t="shared" si="94"/>
        <v>4.87774657</v>
      </c>
      <c r="BC24" s="463">
        <f t="shared" si="94"/>
        <v>3.48318974</v>
      </c>
      <c r="BD24" s="463">
        <f t="shared" si="94"/>
        <v>4.27607831</v>
      </c>
      <c r="BE24" s="463">
        <f t="shared" si="94"/>
        <v>2.674745169</v>
      </c>
      <c r="BF24" s="463">
        <f t="shared" si="94"/>
        <v>3.782664288</v>
      </c>
      <c r="BG24" s="463">
        <f t="shared" si="94"/>
        <v>0.3588098951</v>
      </c>
      <c r="BH24" s="463">
        <f t="shared" si="94"/>
        <v>2.049573752</v>
      </c>
      <c r="BI24" s="463">
        <f t="shared" si="94"/>
        <v>3.199145305</v>
      </c>
      <c r="BJ24" s="463">
        <f t="shared" si="94"/>
        <v>2.557386752</v>
      </c>
      <c r="BK24" s="463">
        <f t="shared" si="94"/>
        <v>2.047404943</v>
      </c>
      <c r="BL24" s="463">
        <f t="shared" si="94"/>
        <v>6.270171398</v>
      </c>
      <c r="BM24" s="463">
        <f t="shared" si="94"/>
        <v>4.298831915</v>
      </c>
      <c r="BN24" s="463">
        <f t="shared" si="94"/>
        <v>1.490369715</v>
      </c>
      <c r="BO24" s="463">
        <f t="shared" si="94"/>
        <v>2.482558476</v>
      </c>
      <c r="BP24" s="463">
        <f t="shared" si="94"/>
        <v>3.612168229</v>
      </c>
      <c r="BQ24" s="463">
        <f t="shared" si="94"/>
        <v>1.799805378</v>
      </c>
      <c r="BR24" s="463">
        <f t="shared" si="94"/>
        <v>4.97507304</v>
      </c>
      <c r="BS24" s="463">
        <f t="shared" si="94"/>
        <v>9.066917169</v>
      </c>
      <c r="BT24" s="463">
        <f t="shared" si="94"/>
        <v>12.29535622</v>
      </c>
      <c r="BU24" s="463">
        <f t="shared" si="94"/>
        <v>7.00559371</v>
      </c>
      <c r="BV24" s="463">
        <f t="shared" si="94"/>
        <v>13.73675152</v>
      </c>
      <c r="BW24" s="463">
        <f t="shared" si="94"/>
        <v>14.35964351</v>
      </c>
      <c r="BX24" s="463">
        <f t="shared" si="94"/>
        <v>12.11606375</v>
      </c>
      <c r="BY24" s="463">
        <f t="shared" si="94"/>
        <v>7.843101772</v>
      </c>
      <c r="BZ24" s="463">
        <f t="shared" si="94"/>
        <v>12.00591068</v>
      </c>
      <c r="CA24" s="463">
        <f t="shared" si="94"/>
        <v>8.873715078</v>
      </c>
      <c r="CB24" s="463">
        <f t="shared" si="94"/>
        <v>5.915752536</v>
      </c>
      <c r="CC24" s="463">
        <f t="shared" si="94"/>
        <v>7.070862464</v>
      </c>
      <c r="CD24" s="463">
        <f t="shared" si="94"/>
        <v>6.43703577</v>
      </c>
      <c r="CE24" s="463">
        <f t="shared" si="94"/>
        <v>7.022090977</v>
      </c>
      <c r="CF24" s="463">
        <f t="shared" si="94"/>
        <v>2.32183773</v>
      </c>
      <c r="CG24" s="463">
        <f t="shared" si="94"/>
        <v>0</v>
      </c>
      <c r="CH24" s="463">
        <f t="shared" si="94"/>
        <v>0</v>
      </c>
      <c r="CI24" s="463">
        <f t="shared" si="94"/>
        <v>0</v>
      </c>
      <c r="CJ24" s="463">
        <f t="shared" si="94"/>
        <v>1.153295989</v>
      </c>
      <c r="CK24" s="463">
        <f t="shared" si="94"/>
        <v>0</v>
      </c>
      <c r="CL24" s="463">
        <f t="shared" si="94"/>
        <v>0</v>
      </c>
      <c r="CM24" s="463">
        <f t="shared" si="94"/>
        <v>0</v>
      </c>
      <c r="CN24" s="463">
        <f t="shared" si="94"/>
        <v>0</v>
      </c>
      <c r="CO24" s="463">
        <f t="shared" si="94"/>
        <v>0</v>
      </c>
    </row>
    <row r="25" ht="24.75" customHeight="1">
      <c r="A25" s="423"/>
      <c r="B25" s="471" t="s">
        <v>102</v>
      </c>
      <c r="C25" s="465" t="s">
        <v>92</v>
      </c>
      <c r="D25" s="466">
        <f t="shared" ref="D25:D26" si="113">+IFERROR(D21/#REF!*100-100,0)</f>
        <v>0</v>
      </c>
      <c r="E25" s="467">
        <f t="shared" ref="E25:G25" si="95">+IFERROR(E21/D21*100-100,0)</f>
        <v>1.473348302</v>
      </c>
      <c r="F25" s="467">
        <f t="shared" si="95"/>
        <v>0.2889780441</v>
      </c>
      <c r="G25" s="467">
        <f t="shared" si="95"/>
        <v>-0.8220791759</v>
      </c>
      <c r="H25" s="467"/>
      <c r="I25" s="467">
        <f t="shared" ref="I25:I26" si="115">+IFERROR(I21/G21*100-100,0)</f>
        <v>2.710942203</v>
      </c>
      <c r="J25" s="467">
        <f t="shared" ref="J25:L25" si="96">+IFERROR(J21/I21*100-100,0)</f>
        <v>-0.5519158773</v>
      </c>
      <c r="K25" s="467">
        <f t="shared" si="96"/>
        <v>0.594124868</v>
      </c>
      <c r="L25" s="467">
        <f t="shared" si="96"/>
        <v>0.4290838291</v>
      </c>
      <c r="M25" s="467"/>
      <c r="N25" s="467">
        <f t="shared" ref="N25:N26" si="117">+IFERROR(N21/L21*100-100,0)</f>
        <v>1.964596924</v>
      </c>
      <c r="O25" s="467">
        <f t="shared" ref="O25:Q25" si="97">+IFERROR(O21/N21*100-100,0)</f>
        <v>0.9629283299</v>
      </c>
      <c r="P25" s="467">
        <f t="shared" si="97"/>
        <v>2.654798065</v>
      </c>
      <c r="Q25" s="467">
        <f t="shared" si="97"/>
        <v>-4.224450834</v>
      </c>
      <c r="R25" s="467"/>
      <c r="S25" s="467">
        <f t="shared" ref="S25:S26" si="119">+IFERROR(S21/Q21*100-100,0)</f>
        <v>3.701966939</v>
      </c>
      <c r="T25" s="467">
        <f t="shared" ref="T25:V25" si="98">+IFERROR(T21/S21*100-100,0)</f>
        <v>1.078037429</v>
      </c>
      <c r="U25" s="467">
        <f t="shared" si="98"/>
        <v>0.4717755225</v>
      </c>
      <c r="V25" s="467">
        <f t="shared" si="98"/>
        <v>0.03855109519</v>
      </c>
      <c r="W25" s="467"/>
      <c r="X25" s="467">
        <f t="shared" ref="X25:X26" si="121">+IFERROR(X21/V21*100-100,0)</f>
        <v>5.010615189</v>
      </c>
      <c r="Y25" s="467">
        <f t="shared" ref="Y25:AA25" si="99">+IFERROR(Y21/X21*100-100,0)</f>
        <v>-3.821487552</v>
      </c>
      <c r="Z25" s="467">
        <f t="shared" si="99"/>
        <v>0.3245709075</v>
      </c>
      <c r="AA25" s="467">
        <f t="shared" si="99"/>
        <v>-4.394429306</v>
      </c>
      <c r="AB25" s="467"/>
      <c r="AC25" s="467">
        <f t="shared" ref="AC25:AC26" si="123">+IFERROR(AC21/AA21*100-100,0)</f>
        <v>2.048103072</v>
      </c>
      <c r="AD25" s="467">
        <f t="shared" ref="AD25:AF25" si="100">+IFERROR(AD21/AC21*100-100,0)</f>
        <v>-0.3038114528</v>
      </c>
      <c r="AE25" s="467">
        <f t="shared" si="100"/>
        <v>2.308615754</v>
      </c>
      <c r="AF25" s="467">
        <f t="shared" si="100"/>
        <v>0.5235129524</v>
      </c>
      <c r="AG25" s="467"/>
      <c r="AH25" s="467">
        <f t="shared" ref="AH25:AH26" si="125">+IFERROR(AH21/AF21*100-100,0)</f>
        <v>0.9191148167</v>
      </c>
      <c r="AI25" s="467">
        <f t="shared" ref="AI25:AK25" si="101">+IFERROR(AI21/AH21*100-100,0)</f>
        <v>0.9902425598</v>
      </c>
      <c r="AJ25" s="467">
        <f t="shared" si="101"/>
        <v>0.7562341338</v>
      </c>
      <c r="AK25" s="467">
        <f t="shared" si="101"/>
        <v>0.5837400885</v>
      </c>
      <c r="AL25" s="467"/>
      <c r="AM25" s="467">
        <f t="shared" ref="AM25:AM26" si="127">+IFERROR(AM21/AK21*100-100,0)</f>
        <v>1.798157715</v>
      </c>
      <c r="AN25" s="467">
        <f t="shared" ref="AN25:AP25" si="102">+IFERROR(AN21/AM21*100-100,0)</f>
        <v>0.08054498651</v>
      </c>
      <c r="AO25" s="467">
        <f t="shared" si="102"/>
        <v>0.41</v>
      </c>
      <c r="AP25" s="467">
        <f t="shared" si="102"/>
        <v>0.41</v>
      </c>
      <c r="AQ25" s="467"/>
      <c r="AR25" s="467">
        <f t="shared" ref="AR25:AR26" si="129">+IFERROR(AR21/AP21*100-100,0)</f>
        <v>1.832670868</v>
      </c>
      <c r="AS25" s="467">
        <f t="shared" ref="AS25:AU25" si="103">+IFERROR(AS21/AR21*100-100,0)</f>
        <v>0.3634718994</v>
      </c>
      <c r="AT25" s="467">
        <f t="shared" si="103"/>
        <v>1.010979727</v>
      </c>
      <c r="AU25" s="467">
        <f t="shared" si="103"/>
        <v>3.564417893</v>
      </c>
      <c r="AV25" s="467"/>
      <c r="AW25" s="467">
        <f t="shared" ref="AW25:AW26" si="131">+IFERROR(AW21/AU21*100-100,0)</f>
        <v>0.3944293057</v>
      </c>
      <c r="AX25" s="467">
        <f t="shared" ref="AX25:AZ25" si="104">+IFERROR(AX21/AW21*100-100,0)</f>
        <v>0.3944293057</v>
      </c>
      <c r="AY25" s="467">
        <f t="shared" si="104"/>
        <v>0.1739663709</v>
      </c>
      <c r="AZ25" s="467">
        <f t="shared" si="104"/>
        <v>1.423389889</v>
      </c>
      <c r="BA25" s="467"/>
      <c r="BB25" s="467">
        <f t="shared" ref="BB25:BB26" si="133">+IFERROR(BB21/AZ21*100-100,0)</f>
        <v>1.542292601</v>
      </c>
      <c r="BC25" s="467">
        <f t="shared" ref="BC25:BE25" si="105">+IFERROR(BC21/BB21*100-100,0)</f>
        <v>-1.466931823</v>
      </c>
      <c r="BD25" s="467">
        <f t="shared" si="105"/>
        <v>0.3469371383</v>
      </c>
      <c r="BE25" s="467">
        <f t="shared" si="105"/>
        <v>2.052018542</v>
      </c>
      <c r="BF25" s="467"/>
      <c r="BG25" s="467">
        <f t="shared" ref="BG25:BG26" si="135">+IFERROR(BG21/BE21*100-100,0)</f>
        <v>0.1218187206</v>
      </c>
      <c r="BH25" s="467">
        <f t="shared" ref="BH25:BJ25" si="106">+IFERROR(BH21/BG21*100-100,0)</f>
        <v>0.1950168057</v>
      </c>
      <c r="BI25" s="467">
        <f t="shared" si="106"/>
        <v>-0.0362633561</v>
      </c>
      <c r="BJ25" s="467">
        <f t="shared" si="106"/>
        <v>0.5471981825</v>
      </c>
      <c r="BK25" s="467"/>
      <c r="BL25" s="467">
        <f t="shared" ref="BL25:BL26" si="137">+IFERROR(BL21/BJ21*100-100,0)</f>
        <v>2.43120511</v>
      </c>
      <c r="BM25" s="467">
        <f t="shared" ref="BM25:BO25" si="107">+IFERROR(BM21/BL21*100-100,0)</f>
        <v>-0.07133196413</v>
      </c>
      <c r="BN25" s="467">
        <f t="shared" si="107"/>
        <v>0.4269830377</v>
      </c>
      <c r="BO25" s="467">
        <f t="shared" si="107"/>
        <v>1.030984014</v>
      </c>
      <c r="BP25" s="467"/>
      <c r="BQ25" s="467">
        <f t="shared" ref="BQ25:BQ26" si="139">+IFERROR(BQ21/BO21*100-100,0)</f>
        <v>1.251131342</v>
      </c>
      <c r="BR25" s="467">
        <f t="shared" ref="BR25:BT25" si="108">+IFERROR(BR21/BQ21*100-100,0)</f>
        <v>0.2252265266</v>
      </c>
      <c r="BS25" s="467">
        <f t="shared" si="108"/>
        <v>1.254289823</v>
      </c>
      <c r="BT25" s="467">
        <f t="shared" si="108"/>
        <v>3.858507125</v>
      </c>
      <c r="BU25" s="467"/>
      <c r="BV25" s="467">
        <f t="shared" ref="BV25:BV26" si="141">+IFERROR(BV21/BT21*100-100,0)</f>
        <v>2.991367556</v>
      </c>
      <c r="BW25" s="467">
        <f t="shared" ref="BW25:BY25" si="109">+IFERROR(BW21/BV21*100-100,0)</f>
        <v>3.136802231</v>
      </c>
      <c r="BX25" s="467">
        <f t="shared" si="109"/>
        <v>0.7229725968</v>
      </c>
      <c r="BY25" s="467">
        <f t="shared" si="109"/>
        <v>1.501895762</v>
      </c>
      <c r="BZ25" s="467"/>
      <c r="CA25" s="467">
        <f t="shared" ref="CA25:CA26" si="143">+IFERROR(CA21/BY21*100-100,0)</f>
        <v>3.016485852</v>
      </c>
      <c r="CB25" s="467">
        <f t="shared" ref="CB25:CD25" si="110">+IFERROR(CB21/CA21*100-100,0)</f>
        <v>1.827717419</v>
      </c>
      <c r="CC25" s="467">
        <f t="shared" si="110"/>
        <v>0.7296477843</v>
      </c>
      <c r="CD25" s="467">
        <f t="shared" si="110"/>
        <v>-0.2731141007</v>
      </c>
      <c r="CE25" s="467"/>
      <c r="CF25" s="467">
        <f t="shared" ref="CF25:CF26" si="145">+IFERROR(CF21/CD21*100-100,0)</f>
        <v>1.069000296</v>
      </c>
      <c r="CG25" s="467">
        <f t="shared" ref="CG25:CI25" si="111">+IFERROR(CG21/CF21*100-100,0)</f>
        <v>0</v>
      </c>
      <c r="CH25" s="467">
        <f t="shared" si="111"/>
        <v>0</v>
      </c>
      <c r="CI25" s="467">
        <f t="shared" si="111"/>
        <v>0</v>
      </c>
      <c r="CJ25" s="467"/>
      <c r="CK25" s="467">
        <f t="shared" ref="CK25:CK26" si="147">+IFERROR(CK21/CI21*100-100,0)</f>
        <v>0</v>
      </c>
      <c r="CL25" s="467">
        <f t="shared" ref="CL25:CN25" si="112">+IFERROR(CL21/CK21*100-100,0)</f>
        <v>0</v>
      </c>
      <c r="CM25" s="467">
        <f t="shared" si="112"/>
        <v>0</v>
      </c>
      <c r="CN25" s="467">
        <f t="shared" si="112"/>
        <v>0</v>
      </c>
      <c r="CO25" s="467"/>
      <c r="CP25" s="423"/>
      <c r="CQ25" s="423"/>
      <c r="CR25" s="423"/>
      <c r="CS25" s="423"/>
      <c r="CT25" s="423"/>
      <c r="CU25" s="423"/>
      <c r="CV25" s="423"/>
      <c r="CW25" s="423"/>
      <c r="CX25" s="423"/>
      <c r="CY25" s="423"/>
    </row>
    <row r="26" ht="24.75" customHeight="1">
      <c r="B26" s="94"/>
      <c r="C26" s="468" t="s">
        <v>93</v>
      </c>
      <c r="D26" s="469">
        <f t="shared" si="113"/>
        <v>0</v>
      </c>
      <c r="E26" s="470">
        <f t="shared" ref="E26:G26" si="114">+IFERROR(E22/D22*100-100,0)</f>
        <v>0</v>
      </c>
      <c r="F26" s="470">
        <f t="shared" si="114"/>
        <v>0</v>
      </c>
      <c r="G26" s="470">
        <f t="shared" si="114"/>
        <v>0</v>
      </c>
      <c r="H26" s="470"/>
      <c r="I26" s="470">
        <f t="shared" si="115"/>
        <v>0</v>
      </c>
      <c r="J26" s="470">
        <f t="shared" ref="J26:L26" si="116">+IFERROR(J22/I22*100-100,0)</f>
        <v>0</v>
      </c>
      <c r="K26" s="470">
        <f t="shared" si="116"/>
        <v>0</v>
      </c>
      <c r="L26" s="470">
        <f t="shared" si="116"/>
        <v>0</v>
      </c>
      <c r="M26" s="470"/>
      <c r="N26" s="470">
        <f t="shared" si="117"/>
        <v>0</v>
      </c>
      <c r="O26" s="470">
        <f t="shared" ref="O26:Q26" si="118">+IFERROR(O22/N22*100-100,0)</f>
        <v>0</v>
      </c>
      <c r="P26" s="470">
        <f t="shared" si="118"/>
        <v>0</v>
      </c>
      <c r="Q26" s="470">
        <f t="shared" si="118"/>
        <v>0</v>
      </c>
      <c r="R26" s="470"/>
      <c r="S26" s="470">
        <f t="shared" si="119"/>
        <v>0</v>
      </c>
      <c r="T26" s="470">
        <f t="shared" ref="T26:V26" si="120">+IFERROR(T22/S22*100-100,0)</f>
        <v>0</v>
      </c>
      <c r="U26" s="470">
        <f t="shared" si="120"/>
        <v>0</v>
      </c>
      <c r="V26" s="470">
        <f t="shared" si="120"/>
        <v>0</v>
      </c>
      <c r="W26" s="470"/>
      <c r="X26" s="470">
        <f t="shared" si="121"/>
        <v>0</v>
      </c>
      <c r="Y26" s="470">
        <f t="shared" ref="Y26:AA26" si="122">+IFERROR(Y22/X22*100-100,0)</f>
        <v>0</v>
      </c>
      <c r="Z26" s="470">
        <f t="shared" si="122"/>
        <v>0</v>
      </c>
      <c r="AA26" s="470">
        <f t="shared" si="122"/>
        <v>0</v>
      </c>
      <c r="AB26" s="470"/>
      <c r="AC26" s="470">
        <f t="shared" si="123"/>
        <v>0</v>
      </c>
      <c r="AD26" s="470">
        <f t="shared" ref="AD26:AF26" si="124">+IFERROR(AD22/AC22*100-100,0)</f>
        <v>0</v>
      </c>
      <c r="AE26" s="470">
        <f t="shared" si="124"/>
        <v>0</v>
      </c>
      <c r="AF26" s="470">
        <f t="shared" si="124"/>
        <v>0</v>
      </c>
      <c r="AG26" s="470"/>
      <c r="AH26" s="470">
        <f t="shared" si="125"/>
        <v>0</v>
      </c>
      <c r="AI26" s="470">
        <f t="shared" ref="AI26:AK26" si="126">+IFERROR(AI22/AH22*100-100,0)</f>
        <v>0</v>
      </c>
      <c r="AJ26" s="470">
        <f t="shared" si="126"/>
        <v>0</v>
      </c>
      <c r="AK26" s="470">
        <f t="shared" si="126"/>
        <v>0</v>
      </c>
      <c r="AL26" s="470"/>
      <c r="AM26" s="470">
        <f t="shared" si="127"/>
        <v>0</v>
      </c>
      <c r="AN26" s="470">
        <f t="shared" ref="AN26:AP26" si="128">+IFERROR(AN22/AM22*100-100,0)</f>
        <v>0</v>
      </c>
      <c r="AO26" s="470">
        <f t="shared" si="128"/>
        <v>0</v>
      </c>
      <c r="AP26" s="470">
        <f t="shared" si="128"/>
        <v>0</v>
      </c>
      <c r="AQ26" s="470"/>
      <c r="AR26" s="470">
        <f t="shared" si="129"/>
        <v>0</v>
      </c>
      <c r="AS26" s="470">
        <f t="shared" ref="AS26:AU26" si="130">+IFERROR(AS22/AR22*100-100,0)</f>
        <v>0</v>
      </c>
      <c r="AT26" s="470">
        <f t="shared" si="130"/>
        <v>0</v>
      </c>
      <c r="AU26" s="470">
        <f t="shared" si="130"/>
        <v>0</v>
      </c>
      <c r="AV26" s="470"/>
      <c r="AW26" s="470">
        <f t="shared" si="131"/>
        <v>0</v>
      </c>
      <c r="AX26" s="470">
        <f t="shared" ref="AX26:AZ26" si="132">+IFERROR(AX22/AW22*100-100,0)</f>
        <v>1.207418451</v>
      </c>
      <c r="AY26" s="470">
        <f t="shared" si="132"/>
        <v>-0.4657935043</v>
      </c>
      <c r="AZ26" s="470">
        <f t="shared" si="132"/>
        <v>2.492448374</v>
      </c>
      <c r="BA26" s="470"/>
      <c r="BB26" s="470">
        <f t="shared" si="133"/>
        <v>1.579664439</v>
      </c>
      <c r="BC26" s="470">
        <f t="shared" ref="BC26:BE26" si="134">+IFERROR(BC22/BB22*100-100,0)</f>
        <v>-0.1383341153</v>
      </c>
      <c r="BD26" s="470">
        <f t="shared" si="134"/>
        <v>0.2968379417</v>
      </c>
      <c r="BE26" s="470">
        <f t="shared" si="134"/>
        <v>0.9185058462</v>
      </c>
      <c r="BF26" s="470"/>
      <c r="BG26" s="470">
        <f t="shared" si="135"/>
        <v>-0.7115701545</v>
      </c>
      <c r="BH26" s="470">
        <f t="shared" ref="BH26:BJ26" si="136">+IFERROR(BH22/BG22*100-100,0)</f>
        <v>1.544054262</v>
      </c>
      <c r="BI26" s="470">
        <f t="shared" si="136"/>
        <v>1.426665216</v>
      </c>
      <c r="BJ26" s="470">
        <f t="shared" si="136"/>
        <v>0.2909297745</v>
      </c>
      <c r="BK26" s="470"/>
      <c r="BL26" s="470">
        <f t="shared" si="137"/>
        <v>2.882871645</v>
      </c>
      <c r="BM26" s="470">
        <f t="shared" ref="BM26:BO26" si="138">+IFERROR(BM22/BL22*100-100,0)</f>
        <v>-0.3396145123</v>
      </c>
      <c r="BN26" s="470">
        <f t="shared" si="138"/>
        <v>-1.304457943</v>
      </c>
      <c r="BO26" s="470">
        <f t="shared" si="138"/>
        <v>1.271392588</v>
      </c>
      <c r="BP26" s="470"/>
      <c r="BQ26" s="470">
        <f t="shared" si="139"/>
        <v>2.197451605</v>
      </c>
      <c r="BR26" s="470">
        <f t="shared" ref="BR26:BT26" si="140">+IFERROR(BR22/BQ22*100-100,0)</f>
        <v>2.768921875</v>
      </c>
      <c r="BS26" s="470">
        <f t="shared" si="140"/>
        <v>2.542615106</v>
      </c>
      <c r="BT26" s="470">
        <f t="shared" si="140"/>
        <v>4.269079944</v>
      </c>
      <c r="BU26" s="470"/>
      <c r="BV26" s="470">
        <f t="shared" si="141"/>
        <v>3.509232705</v>
      </c>
      <c r="BW26" s="470">
        <f t="shared" ref="BW26:BY26" si="142">+IFERROR(BW22/BV22*100-100,0)</f>
        <v>3.331747331</v>
      </c>
      <c r="BX26" s="470">
        <f t="shared" si="142"/>
        <v>0.5308692741</v>
      </c>
      <c r="BY26" s="470">
        <f t="shared" si="142"/>
        <v>0.2951818329</v>
      </c>
      <c r="BZ26" s="470"/>
      <c r="CA26" s="470">
        <f t="shared" si="143"/>
        <v>4.498428961</v>
      </c>
      <c r="CB26" s="470">
        <f t="shared" ref="CB26:CD26" si="144">+IFERROR(CB22/CA22*100-100,0)</f>
        <v>0.5243531145</v>
      </c>
      <c r="CC26" s="470">
        <f t="shared" si="144"/>
        <v>1.627252035</v>
      </c>
      <c r="CD26" s="470">
        <f t="shared" si="144"/>
        <v>-0.2985349088</v>
      </c>
      <c r="CE26" s="470"/>
      <c r="CF26" s="470">
        <f t="shared" si="145"/>
        <v>0.4581836944</v>
      </c>
      <c r="CG26" s="470">
        <f t="shared" ref="CG26:CI26" si="146">+IFERROR(CG22/CF22*100-100,0)</f>
        <v>0</v>
      </c>
      <c r="CH26" s="470">
        <f t="shared" si="146"/>
        <v>0</v>
      </c>
      <c r="CI26" s="470">
        <f t="shared" si="146"/>
        <v>0</v>
      </c>
      <c r="CJ26" s="470"/>
      <c r="CK26" s="470">
        <f t="shared" si="147"/>
        <v>0</v>
      </c>
      <c r="CL26" s="470">
        <f t="shared" ref="CL26:CN26" si="148">+IFERROR(CL22/CK22*100-100,0)</f>
        <v>0</v>
      </c>
      <c r="CM26" s="470">
        <f t="shared" si="148"/>
        <v>0</v>
      </c>
      <c r="CN26" s="470">
        <f t="shared" si="148"/>
        <v>0</v>
      </c>
      <c r="CO26" s="470"/>
    </row>
    <row r="27" ht="24.75" customHeight="1">
      <c r="B27" s="472"/>
      <c r="C27" s="461"/>
      <c r="D27" s="473"/>
      <c r="E27" s="472"/>
      <c r="F27" s="472"/>
      <c r="G27" s="472"/>
      <c r="H27" s="472"/>
      <c r="I27" s="472"/>
      <c r="J27" s="472"/>
      <c r="K27" s="472"/>
      <c r="L27" s="472"/>
      <c r="M27" s="472"/>
      <c r="N27" s="472"/>
      <c r="O27" s="472"/>
      <c r="P27" s="472"/>
      <c r="Q27" s="472"/>
      <c r="R27" s="472"/>
      <c r="S27" s="472"/>
      <c r="T27" s="472"/>
      <c r="U27" s="472"/>
      <c r="V27" s="472"/>
      <c r="W27" s="472"/>
      <c r="X27" s="472"/>
      <c r="Y27" s="472"/>
      <c r="Z27" s="472"/>
      <c r="AA27" s="472"/>
      <c r="AB27" s="472"/>
      <c r="AC27" s="472"/>
      <c r="AD27" s="472"/>
      <c r="AE27" s="472"/>
      <c r="AF27" s="472"/>
      <c r="AG27" s="472"/>
      <c r="AH27" s="472"/>
      <c r="AI27" s="472"/>
      <c r="AJ27" s="472"/>
      <c r="AK27" s="472"/>
      <c r="AL27" s="472"/>
      <c r="AM27" s="472"/>
      <c r="AN27" s="472"/>
      <c r="AO27" s="472"/>
      <c r="AP27" s="472"/>
      <c r="AQ27" s="472"/>
      <c r="AR27" s="472"/>
      <c r="AS27" s="472"/>
      <c r="AT27" s="472"/>
      <c r="AU27" s="472"/>
      <c r="AV27" s="472"/>
      <c r="AW27" s="472"/>
      <c r="AX27" s="472"/>
      <c r="AY27" s="472"/>
      <c r="AZ27" s="472"/>
      <c r="BA27" s="472"/>
      <c r="BB27" s="472"/>
      <c r="BC27" s="472"/>
      <c r="BD27" s="472"/>
      <c r="BE27" s="472"/>
      <c r="BF27" s="472"/>
      <c r="BG27" s="472"/>
      <c r="BH27" s="472"/>
      <c r="BI27" s="472"/>
      <c r="BJ27" s="472"/>
      <c r="BK27" s="472"/>
      <c r="BL27" s="472"/>
      <c r="BM27" s="472"/>
      <c r="BN27" s="472"/>
      <c r="BO27" s="472"/>
      <c r="BP27" s="472"/>
      <c r="BQ27" s="472"/>
      <c r="BR27" s="472"/>
      <c r="BS27" s="472"/>
      <c r="BT27" s="472"/>
      <c r="BU27" s="472"/>
      <c r="BV27" s="472"/>
      <c r="BW27" s="472"/>
      <c r="BX27" s="472"/>
      <c r="BY27" s="472"/>
      <c r="BZ27" s="472"/>
      <c r="CA27" s="472"/>
      <c r="CB27" s="472"/>
      <c r="CC27" s="472"/>
      <c r="CD27" s="472"/>
      <c r="CE27" s="472"/>
      <c r="CF27" s="472"/>
      <c r="CG27" s="472"/>
      <c r="CH27" s="472"/>
      <c r="CI27" s="472"/>
      <c r="CJ27" s="472"/>
      <c r="CK27" s="472"/>
      <c r="CL27" s="472"/>
      <c r="CM27" s="472"/>
      <c r="CN27" s="472"/>
      <c r="CO27" s="472"/>
    </row>
    <row r="28" ht="24.75" customHeight="1">
      <c r="A28" s="474"/>
      <c r="B28" s="475" t="s">
        <v>103</v>
      </c>
      <c r="C28" s="461" t="s">
        <v>83</v>
      </c>
      <c r="D28" s="462"/>
      <c r="E28" s="463"/>
      <c r="F28" s="463"/>
      <c r="G28" s="463"/>
      <c r="H28" s="463">
        <f t="shared" ref="H28:H29" si="149">SUM(D28:G28)</f>
        <v>0</v>
      </c>
      <c r="I28" s="463"/>
      <c r="J28" s="463"/>
      <c r="K28" s="463"/>
      <c r="L28" s="463"/>
      <c r="M28" s="463">
        <f t="shared" ref="M28:M29" si="150">SUM(I28:L28)</f>
        <v>0</v>
      </c>
      <c r="N28" s="463"/>
      <c r="O28" s="463"/>
      <c r="P28" s="463"/>
      <c r="Q28" s="463"/>
      <c r="R28" s="463">
        <f t="shared" ref="R28:R29" si="151">SUM(N28:Q28)</f>
        <v>0</v>
      </c>
      <c r="S28" s="463"/>
      <c r="T28" s="463"/>
      <c r="U28" s="463"/>
      <c r="V28" s="463"/>
      <c r="W28" s="463">
        <f t="shared" ref="W28:W29" si="152">SUM(S28:V28)</f>
        <v>0</v>
      </c>
      <c r="X28" s="463"/>
      <c r="Y28" s="463"/>
      <c r="Z28" s="463"/>
      <c r="AA28" s="463"/>
      <c r="AB28" s="463">
        <f t="shared" ref="AB28:AB29" si="153">SUM(X28:AA28)</f>
        <v>0</v>
      </c>
      <c r="AC28" s="463"/>
      <c r="AD28" s="463"/>
      <c r="AE28" s="463"/>
      <c r="AF28" s="463"/>
      <c r="AG28" s="463">
        <f t="shared" ref="AG28:AG29" si="154">SUM(AC28:AF28)</f>
        <v>0</v>
      </c>
      <c r="AH28" s="463"/>
      <c r="AI28" s="463"/>
      <c r="AJ28" s="463"/>
      <c r="AK28" s="463"/>
      <c r="AL28" s="463">
        <f t="shared" ref="AL28:AL29" si="155">SUM(AH28:AK28)</f>
        <v>0</v>
      </c>
      <c r="AM28" s="463"/>
      <c r="AN28" s="463"/>
      <c r="AO28" s="463"/>
      <c r="AP28" s="463"/>
      <c r="AQ28" s="463">
        <f t="shared" ref="AQ28:AQ29" si="156">SUM(AM28:AP28)</f>
        <v>0</v>
      </c>
      <c r="AR28" s="463"/>
      <c r="AS28" s="463"/>
      <c r="AT28" s="463"/>
      <c r="AU28" s="463"/>
      <c r="AV28" s="463">
        <f t="shared" ref="AV28:AV29" si="157">SUM(AR28:AU28)</f>
        <v>0</v>
      </c>
      <c r="AW28" s="463"/>
      <c r="AX28" s="463"/>
      <c r="AY28" s="463"/>
      <c r="AZ28" s="463"/>
      <c r="BA28" s="463">
        <f t="shared" ref="BA28:BA29" si="158">SUM(AW28:AZ28)</f>
        <v>0</v>
      </c>
      <c r="BB28" s="463"/>
      <c r="BC28" s="463"/>
      <c r="BD28" s="463"/>
      <c r="BE28" s="463"/>
      <c r="BF28" s="463">
        <f t="shared" ref="BF28:BF29" si="159">SUM(BB28:BE28)</f>
        <v>0</v>
      </c>
      <c r="BG28" s="463"/>
      <c r="BH28" s="463"/>
      <c r="BI28" s="463"/>
      <c r="BJ28" s="463"/>
      <c r="BK28" s="463">
        <f t="shared" ref="BK28:BK29" si="160">SUM(BG28:BJ28)</f>
        <v>0</v>
      </c>
      <c r="BL28" s="463"/>
      <c r="BM28" s="463"/>
      <c r="BN28" s="463"/>
      <c r="BO28" s="463"/>
      <c r="BP28" s="463">
        <f t="shared" ref="BP28:BP29" si="161">SUM(BL28:BO28)</f>
        <v>0</v>
      </c>
      <c r="BQ28" s="463"/>
      <c r="BR28" s="463"/>
      <c r="BS28" s="463"/>
      <c r="BT28" s="463"/>
      <c r="BU28" s="463">
        <f t="shared" ref="BU28:BU29" si="162">SUM(BQ28:BT28)</f>
        <v>0</v>
      </c>
      <c r="BV28" s="463"/>
      <c r="BW28" s="463"/>
      <c r="BX28" s="463"/>
      <c r="BY28" s="463"/>
      <c r="BZ28" s="463">
        <f t="shared" ref="BZ28:BZ29" si="163">SUM(BV28:BY28)</f>
        <v>0</v>
      </c>
      <c r="CA28" s="463"/>
      <c r="CB28" s="463"/>
      <c r="CC28" s="463"/>
      <c r="CD28" s="463"/>
      <c r="CE28" s="463">
        <f t="shared" ref="CE28:CE29" si="164">SUM(CA28:CD28)</f>
        <v>0</v>
      </c>
      <c r="CF28" s="463"/>
      <c r="CG28" s="463"/>
      <c r="CH28" s="463"/>
      <c r="CI28" s="463"/>
      <c r="CJ28" s="463">
        <f t="shared" ref="CJ28:CJ29" si="165">SUM(CF28:CI28)</f>
        <v>0</v>
      </c>
      <c r="CK28" s="463"/>
      <c r="CL28" s="463"/>
      <c r="CM28" s="463"/>
      <c r="CN28" s="463"/>
      <c r="CO28" s="463">
        <f t="shared" ref="CO28:CO29" si="166">SUM(CK28:CN28)</f>
        <v>0</v>
      </c>
    </row>
    <row r="29" ht="24.75" customHeight="1">
      <c r="A29" s="474"/>
      <c r="B29" s="94"/>
      <c r="C29" s="461" t="s">
        <v>52</v>
      </c>
      <c r="D29" s="462"/>
      <c r="E29" s="463"/>
      <c r="F29" s="463"/>
      <c r="G29" s="463"/>
      <c r="H29" s="463">
        <f t="shared" si="149"/>
        <v>0</v>
      </c>
      <c r="I29" s="463"/>
      <c r="J29" s="463"/>
      <c r="K29" s="463"/>
      <c r="L29" s="463"/>
      <c r="M29" s="463">
        <f t="shared" si="150"/>
        <v>0</v>
      </c>
      <c r="N29" s="463"/>
      <c r="O29" s="463"/>
      <c r="P29" s="463"/>
      <c r="Q29" s="463"/>
      <c r="R29" s="463">
        <f t="shared" si="151"/>
        <v>0</v>
      </c>
      <c r="S29" s="463"/>
      <c r="T29" s="463"/>
      <c r="U29" s="463"/>
      <c r="V29" s="463"/>
      <c r="W29" s="463">
        <f t="shared" si="152"/>
        <v>0</v>
      </c>
      <c r="X29" s="463"/>
      <c r="Y29" s="463"/>
      <c r="Z29" s="463"/>
      <c r="AA29" s="463"/>
      <c r="AB29" s="463">
        <f t="shared" si="153"/>
        <v>0</v>
      </c>
      <c r="AC29" s="463"/>
      <c r="AD29" s="463"/>
      <c r="AE29" s="463"/>
      <c r="AF29" s="463"/>
      <c r="AG29" s="463">
        <f t="shared" si="154"/>
        <v>0</v>
      </c>
      <c r="AH29" s="463"/>
      <c r="AI29" s="463"/>
      <c r="AJ29" s="463"/>
      <c r="AK29" s="463"/>
      <c r="AL29" s="463">
        <f t="shared" si="155"/>
        <v>0</v>
      </c>
      <c r="AM29" s="463"/>
      <c r="AN29" s="463"/>
      <c r="AO29" s="463"/>
      <c r="AP29" s="463"/>
      <c r="AQ29" s="463">
        <f t="shared" si="156"/>
        <v>0</v>
      </c>
      <c r="AR29" s="463"/>
      <c r="AS29" s="463"/>
      <c r="AT29" s="463"/>
      <c r="AU29" s="463"/>
      <c r="AV29" s="463">
        <f t="shared" si="157"/>
        <v>0</v>
      </c>
      <c r="AW29" s="463"/>
      <c r="AX29" s="463"/>
      <c r="AY29" s="463"/>
      <c r="AZ29" s="463"/>
      <c r="BA29" s="463">
        <f t="shared" si="158"/>
        <v>0</v>
      </c>
      <c r="BB29" s="463"/>
      <c r="BC29" s="463"/>
      <c r="BD29" s="463"/>
      <c r="BE29" s="463"/>
      <c r="BF29" s="463">
        <f t="shared" si="159"/>
        <v>0</v>
      </c>
      <c r="BG29" s="463"/>
      <c r="BH29" s="463"/>
      <c r="BI29" s="463"/>
      <c r="BJ29" s="463"/>
      <c r="BK29" s="463">
        <f t="shared" si="160"/>
        <v>0</v>
      </c>
      <c r="BL29" s="463"/>
      <c r="BM29" s="463"/>
      <c r="BN29" s="463"/>
      <c r="BO29" s="463"/>
      <c r="BP29" s="463">
        <f t="shared" si="161"/>
        <v>0</v>
      </c>
      <c r="BQ29" s="463"/>
      <c r="BR29" s="463"/>
      <c r="BS29" s="463"/>
      <c r="BT29" s="463"/>
      <c r="BU29" s="463">
        <f t="shared" si="162"/>
        <v>0</v>
      </c>
      <c r="BV29" s="463"/>
      <c r="BW29" s="463"/>
      <c r="BX29" s="463"/>
      <c r="BY29" s="463"/>
      <c r="BZ29" s="463">
        <f t="shared" si="163"/>
        <v>0</v>
      </c>
      <c r="CA29" s="463"/>
      <c r="CB29" s="463"/>
      <c r="CC29" s="463"/>
      <c r="CD29" s="463"/>
      <c r="CE29" s="463">
        <f t="shared" si="164"/>
        <v>0</v>
      </c>
      <c r="CF29" s="463"/>
      <c r="CG29" s="463"/>
      <c r="CH29" s="463"/>
      <c r="CI29" s="463"/>
      <c r="CJ29" s="463">
        <f t="shared" si="165"/>
        <v>0</v>
      </c>
      <c r="CK29" s="463"/>
      <c r="CL29" s="463"/>
      <c r="CM29" s="463"/>
      <c r="CN29" s="463"/>
      <c r="CO29" s="463">
        <f t="shared" si="166"/>
        <v>0</v>
      </c>
    </row>
    <row r="30" ht="24.75" customHeight="1">
      <c r="A30" s="476"/>
      <c r="B30" s="477" t="s">
        <v>104</v>
      </c>
      <c r="C30" s="478" t="s">
        <v>83</v>
      </c>
      <c r="D30" s="479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  <c r="W30" s="480"/>
      <c r="X30" s="480"/>
      <c r="Y30" s="480"/>
      <c r="Z30" s="480"/>
      <c r="AA30" s="480"/>
      <c r="AB30" s="480"/>
      <c r="AC30" s="480"/>
      <c r="AD30" s="480"/>
      <c r="AE30" s="480"/>
      <c r="AF30" s="480"/>
      <c r="AG30" s="480"/>
      <c r="AH30" s="480"/>
      <c r="AI30" s="480"/>
      <c r="AJ30" s="480"/>
      <c r="AK30" s="480"/>
      <c r="AL30" s="480"/>
      <c r="AM30" s="480"/>
      <c r="AN30" s="480"/>
      <c r="AO30" s="480"/>
      <c r="AP30" s="480"/>
      <c r="AQ30" s="480"/>
      <c r="AR30" s="480"/>
      <c r="AS30" s="480"/>
      <c r="AT30" s="480"/>
      <c r="AU30" s="480"/>
      <c r="AV30" s="480"/>
      <c r="AW30" s="480"/>
      <c r="AX30" s="480"/>
      <c r="AY30" s="480"/>
      <c r="AZ30" s="480"/>
      <c r="BA30" s="480"/>
      <c r="BB30" s="480"/>
      <c r="BC30" s="480"/>
      <c r="BD30" s="480"/>
      <c r="BE30" s="480"/>
      <c r="BF30" s="480"/>
      <c r="BG30" s="480"/>
      <c r="BH30" s="480"/>
      <c r="BI30" s="480"/>
      <c r="BJ30" s="480"/>
      <c r="BK30" s="480"/>
      <c r="BL30" s="480"/>
      <c r="BM30" s="480"/>
      <c r="BN30" s="480"/>
      <c r="BO30" s="480"/>
      <c r="BP30" s="480"/>
      <c r="BQ30" s="480"/>
      <c r="BR30" s="480"/>
      <c r="BS30" s="480"/>
      <c r="BT30" s="480"/>
      <c r="BU30" s="480"/>
      <c r="BV30" s="480"/>
      <c r="BW30" s="480"/>
      <c r="BX30" s="480"/>
      <c r="BY30" s="480"/>
      <c r="BZ30" s="480"/>
      <c r="CA30" s="480"/>
      <c r="CB30" s="480"/>
      <c r="CC30" s="480"/>
      <c r="CD30" s="480"/>
      <c r="CE30" s="480"/>
      <c r="CF30" s="480"/>
      <c r="CG30" s="480"/>
      <c r="CH30" s="480"/>
      <c r="CI30" s="480"/>
      <c r="CJ30" s="480"/>
      <c r="CK30" s="480"/>
      <c r="CL30" s="480"/>
      <c r="CM30" s="480"/>
      <c r="CN30" s="480"/>
      <c r="CO30" s="480"/>
      <c r="CP30" s="423"/>
      <c r="CQ30" s="423"/>
      <c r="CR30" s="423"/>
      <c r="CS30" s="423"/>
      <c r="CT30" s="423"/>
      <c r="CU30" s="423"/>
      <c r="CV30" s="423"/>
      <c r="CW30" s="423"/>
      <c r="CX30" s="423"/>
      <c r="CY30" s="423"/>
    </row>
    <row r="31" ht="24.75" customHeight="1">
      <c r="A31" s="476"/>
      <c r="B31" s="94"/>
      <c r="C31" s="478" t="s">
        <v>52</v>
      </c>
      <c r="D31" s="479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0"/>
      <c r="AH31" s="480"/>
      <c r="AI31" s="480"/>
      <c r="AJ31" s="480"/>
      <c r="AK31" s="480"/>
      <c r="AL31" s="480"/>
      <c r="AM31" s="480"/>
      <c r="AN31" s="480"/>
      <c r="AO31" s="480"/>
      <c r="AP31" s="480"/>
      <c r="AQ31" s="480"/>
      <c r="AR31" s="480"/>
      <c r="AS31" s="480"/>
      <c r="AT31" s="480"/>
      <c r="AU31" s="480"/>
      <c r="AV31" s="480"/>
      <c r="AW31" s="480"/>
      <c r="AX31" s="480"/>
      <c r="AY31" s="480"/>
      <c r="AZ31" s="480"/>
      <c r="BA31" s="480"/>
      <c r="BB31" s="480"/>
      <c r="BC31" s="480"/>
      <c r="BD31" s="480"/>
      <c r="BE31" s="480"/>
      <c r="BF31" s="480"/>
      <c r="BG31" s="480"/>
      <c r="BH31" s="480"/>
      <c r="BI31" s="480"/>
      <c r="BJ31" s="480"/>
      <c r="BK31" s="480"/>
      <c r="BL31" s="480"/>
      <c r="BM31" s="480"/>
      <c r="BN31" s="480"/>
      <c r="BO31" s="480"/>
      <c r="BP31" s="480"/>
      <c r="BQ31" s="480"/>
      <c r="BR31" s="480"/>
      <c r="BS31" s="480"/>
      <c r="BT31" s="480"/>
      <c r="BU31" s="480"/>
      <c r="BV31" s="480"/>
      <c r="BW31" s="480"/>
      <c r="BX31" s="480"/>
      <c r="BY31" s="480"/>
      <c r="BZ31" s="480"/>
      <c r="CA31" s="480"/>
      <c r="CB31" s="480"/>
      <c r="CC31" s="480"/>
      <c r="CD31" s="480"/>
      <c r="CE31" s="480"/>
      <c r="CF31" s="480"/>
      <c r="CG31" s="480"/>
      <c r="CH31" s="480"/>
      <c r="CI31" s="480"/>
      <c r="CJ31" s="480"/>
      <c r="CK31" s="480"/>
      <c r="CL31" s="480"/>
      <c r="CM31" s="480"/>
      <c r="CN31" s="480"/>
      <c r="CO31" s="480"/>
      <c r="CP31" s="423"/>
      <c r="CQ31" s="423"/>
      <c r="CR31" s="423"/>
      <c r="CS31" s="423"/>
      <c r="CT31" s="423"/>
      <c r="CU31" s="423"/>
      <c r="CV31" s="423"/>
      <c r="CW31" s="423"/>
      <c r="CX31" s="423"/>
      <c r="CY31" s="423"/>
    </row>
    <row r="32" ht="15.75" customHeight="1"/>
    <row r="33" ht="15.75" customHeight="1">
      <c r="A33" s="481"/>
      <c r="B33" s="482" t="s">
        <v>105</v>
      </c>
      <c r="C33" s="481"/>
      <c r="D33" s="483">
        <v>8.0</v>
      </c>
      <c r="E33" s="484">
        <f t="shared" ref="E33:G33" si="167">D33</f>
        <v>8</v>
      </c>
      <c r="F33" s="484">
        <f t="shared" si="167"/>
        <v>8</v>
      </c>
      <c r="G33" s="484">
        <f t="shared" si="167"/>
        <v>8</v>
      </c>
      <c r="H33" s="481"/>
      <c r="I33" s="484">
        <f>D33+12</f>
        <v>20</v>
      </c>
      <c r="J33" s="484">
        <f t="shared" ref="J33:L33" si="168">I33</f>
        <v>20</v>
      </c>
      <c r="K33" s="484">
        <f t="shared" si="168"/>
        <v>20</v>
      </c>
      <c r="L33" s="484">
        <f t="shared" si="168"/>
        <v>20</v>
      </c>
      <c r="M33" s="481"/>
      <c r="N33" s="484">
        <f>I33+12</f>
        <v>32</v>
      </c>
      <c r="O33" s="484">
        <f t="shared" ref="O33:Q33" si="169">N33</f>
        <v>32</v>
      </c>
      <c r="P33" s="484">
        <f t="shared" si="169"/>
        <v>32</v>
      </c>
      <c r="Q33" s="484">
        <f t="shared" si="169"/>
        <v>32</v>
      </c>
      <c r="R33" s="481"/>
      <c r="S33" s="484">
        <f>N33+12</f>
        <v>44</v>
      </c>
      <c r="T33" s="484">
        <f t="shared" ref="T33:V33" si="170">S33</f>
        <v>44</v>
      </c>
      <c r="U33" s="484">
        <f t="shared" si="170"/>
        <v>44</v>
      </c>
      <c r="V33" s="484">
        <f t="shared" si="170"/>
        <v>44</v>
      </c>
      <c r="W33" s="481"/>
      <c r="X33" s="484">
        <f>S33+12</f>
        <v>56</v>
      </c>
      <c r="Y33" s="484">
        <f t="shared" ref="Y33:AA33" si="171">X33</f>
        <v>56</v>
      </c>
      <c r="Z33" s="484">
        <f t="shared" si="171"/>
        <v>56</v>
      </c>
      <c r="AA33" s="484">
        <f t="shared" si="171"/>
        <v>56</v>
      </c>
      <c r="AB33" s="481"/>
      <c r="AC33" s="484">
        <f>X33+12</f>
        <v>68</v>
      </c>
      <c r="AD33" s="484">
        <f t="shared" ref="AD33:AF33" si="172">AC33</f>
        <v>68</v>
      </c>
      <c r="AE33" s="484">
        <f t="shared" si="172"/>
        <v>68</v>
      </c>
      <c r="AF33" s="484">
        <f t="shared" si="172"/>
        <v>68</v>
      </c>
      <c r="AG33" s="481"/>
      <c r="AH33" s="484">
        <f>AC33+12</f>
        <v>80</v>
      </c>
      <c r="AI33" s="484">
        <f t="shared" ref="AI33:AK33" si="173">AH33</f>
        <v>80</v>
      </c>
      <c r="AJ33" s="484">
        <f t="shared" si="173"/>
        <v>80</v>
      </c>
      <c r="AK33" s="484">
        <f t="shared" si="173"/>
        <v>80</v>
      </c>
      <c r="AL33" s="481"/>
      <c r="AM33" s="484">
        <f>AH33+12</f>
        <v>92</v>
      </c>
      <c r="AN33" s="484">
        <f t="shared" ref="AN33:AP33" si="174">AM33</f>
        <v>92</v>
      </c>
      <c r="AO33" s="484">
        <f t="shared" si="174"/>
        <v>92</v>
      </c>
      <c r="AP33" s="484">
        <f t="shared" si="174"/>
        <v>92</v>
      </c>
      <c r="AQ33" s="481"/>
      <c r="AR33" s="484">
        <f>AM33+12</f>
        <v>104</v>
      </c>
      <c r="AS33" s="484">
        <f t="shared" ref="AS33:AU33" si="175">AR33</f>
        <v>104</v>
      </c>
      <c r="AT33" s="484">
        <f t="shared" si="175"/>
        <v>104</v>
      </c>
      <c r="AU33" s="484">
        <f t="shared" si="175"/>
        <v>104</v>
      </c>
      <c r="AV33" s="481"/>
      <c r="AW33" s="484">
        <f>AR33+12</f>
        <v>116</v>
      </c>
      <c r="AX33" s="484">
        <f t="shared" ref="AX33:AZ33" si="176">AW33</f>
        <v>116</v>
      </c>
      <c r="AY33" s="484">
        <f t="shared" si="176"/>
        <v>116</v>
      </c>
      <c r="AZ33" s="484">
        <f t="shared" si="176"/>
        <v>116</v>
      </c>
      <c r="BA33" s="481"/>
      <c r="BB33" s="484">
        <f>AW33+12</f>
        <v>128</v>
      </c>
      <c r="BC33" s="484">
        <f t="shared" ref="BC33:BE33" si="177">BB33</f>
        <v>128</v>
      </c>
      <c r="BD33" s="484">
        <f t="shared" si="177"/>
        <v>128</v>
      </c>
      <c r="BE33" s="484">
        <f t="shared" si="177"/>
        <v>128</v>
      </c>
      <c r="BF33" s="481"/>
      <c r="BG33" s="484">
        <f>BB33+12</f>
        <v>140</v>
      </c>
      <c r="BH33" s="484">
        <f t="shared" ref="BH33:BJ33" si="178">BG33</f>
        <v>140</v>
      </c>
      <c r="BI33" s="484">
        <f t="shared" si="178"/>
        <v>140</v>
      </c>
      <c r="BJ33" s="484">
        <f t="shared" si="178"/>
        <v>140</v>
      </c>
      <c r="BK33" s="481"/>
      <c r="BL33" s="484">
        <f>BG33+12</f>
        <v>152</v>
      </c>
      <c r="BM33" s="484">
        <f t="shared" ref="BM33:BO33" si="179">BL33</f>
        <v>152</v>
      </c>
      <c r="BN33" s="484">
        <f t="shared" si="179"/>
        <v>152</v>
      </c>
      <c r="BO33" s="484">
        <f t="shared" si="179"/>
        <v>152</v>
      </c>
      <c r="BP33" s="481"/>
      <c r="BQ33" s="484">
        <f>BL33+12</f>
        <v>164</v>
      </c>
      <c r="BR33" s="484">
        <f t="shared" ref="BR33:BT33" si="180">BQ33</f>
        <v>164</v>
      </c>
      <c r="BS33" s="484">
        <f t="shared" si="180"/>
        <v>164</v>
      </c>
      <c r="BT33" s="484">
        <f t="shared" si="180"/>
        <v>164</v>
      </c>
      <c r="BU33" s="481"/>
      <c r="BV33" s="484">
        <f>BQ33+12</f>
        <v>176</v>
      </c>
      <c r="BW33" s="484">
        <f t="shared" ref="BW33:BY33" si="181">BV33</f>
        <v>176</v>
      </c>
      <c r="BX33" s="484">
        <f t="shared" si="181"/>
        <v>176</v>
      </c>
      <c r="BY33" s="484">
        <f t="shared" si="181"/>
        <v>176</v>
      </c>
      <c r="BZ33" s="481"/>
      <c r="CA33" s="484">
        <f>BV33+12</f>
        <v>188</v>
      </c>
      <c r="CB33" s="484">
        <f t="shared" ref="CB33:CD33" si="182">CA33</f>
        <v>188</v>
      </c>
      <c r="CC33" s="484">
        <f t="shared" si="182"/>
        <v>188</v>
      </c>
      <c r="CD33" s="484">
        <f t="shared" si="182"/>
        <v>188</v>
      </c>
      <c r="CE33" s="481"/>
      <c r="CF33" s="484">
        <f>CA33+12</f>
        <v>200</v>
      </c>
      <c r="CG33" s="484">
        <f t="shared" ref="CG33:CI33" si="183">CF33</f>
        <v>200</v>
      </c>
      <c r="CH33" s="484">
        <f t="shared" si="183"/>
        <v>200</v>
      </c>
      <c r="CI33" s="484">
        <f t="shared" si="183"/>
        <v>200</v>
      </c>
      <c r="CJ33" s="481"/>
      <c r="CK33" s="484">
        <f>CF33+12</f>
        <v>212</v>
      </c>
      <c r="CL33" s="484">
        <f t="shared" ref="CL33:CN33" si="184">CK33</f>
        <v>212</v>
      </c>
      <c r="CM33" s="484">
        <f t="shared" si="184"/>
        <v>212</v>
      </c>
      <c r="CN33" s="484">
        <f t="shared" si="184"/>
        <v>212</v>
      </c>
      <c r="CO33" s="481"/>
      <c r="CP33" s="481"/>
      <c r="CQ33" s="481"/>
      <c r="CR33" s="481"/>
      <c r="CS33" s="481"/>
      <c r="CT33" s="481"/>
      <c r="CU33" s="481"/>
      <c r="CV33" s="481"/>
      <c r="CW33" s="481"/>
      <c r="CX33" s="481"/>
      <c r="CY33" s="48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